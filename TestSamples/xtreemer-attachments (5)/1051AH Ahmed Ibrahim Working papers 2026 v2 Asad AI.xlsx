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Locumkit\Ahmed Ibrahim\My Workings Ahmed\Latest Ahmed Ibrahim\"/>
    </mc:Choice>
  </mc:AlternateContent>
  <bookViews>
    <workbookView xWindow="0" yWindow="0" windowWidth="25125" windowHeight="12300" activeTab="1"/>
  </bookViews>
  <sheets>
    <sheet name="RAW25" sheetId="5" r:id="rId1"/>
    <sheet name="Analysis 25" sheetId="7" r:id="rId2"/>
  </sheets>
  <definedNames>
    <definedName name="_xlnm._FilterDatabase" localSheetId="0" hidden="1">'RAW25'!$A$1:$J$181</definedName>
  </definedNames>
  <calcPr calcId="162913"/>
  <pivotCaches>
    <pivotCache cacheId="13" r:id="rId3"/>
  </pivotCaches>
</workbook>
</file>

<file path=xl/calcChain.xml><?xml version="1.0" encoding="utf-8"?>
<calcChain xmlns="http://schemas.openxmlformats.org/spreadsheetml/2006/main">
  <c r="L6" i="7" l="1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5" i="7"/>
  <c r="G6" i="7"/>
  <c r="G5" i="7"/>
  <c r="K34" i="7"/>
  <c r="L48" i="7" l="1"/>
  <c r="L47" i="7" l="1"/>
  <c r="L35" i="7"/>
  <c r="L36" i="7"/>
  <c r="L37" i="7"/>
  <c r="L38" i="7"/>
  <c r="L39" i="7"/>
  <c r="L40" i="7"/>
  <c r="J53" i="7"/>
  <c r="J45" i="7"/>
  <c r="I2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K42" i="7"/>
  <c r="K51" i="7"/>
  <c r="K41" i="7"/>
  <c r="L41" i="7" l="1"/>
  <c r="L51" i="7"/>
  <c r="L42" i="7"/>
  <c r="L34" i="7"/>
  <c r="J54" i="7"/>
  <c r="L29" i="7"/>
  <c r="L52" i="7" s="1"/>
  <c r="G7" i="7"/>
  <c r="G8" i="7" s="1"/>
  <c r="L45" i="7" l="1"/>
  <c r="L53" i="7"/>
  <c r="L30" i="7"/>
  <c r="L54" i="7" l="1"/>
</calcChain>
</file>

<file path=xl/sharedStrings.xml><?xml version="1.0" encoding="utf-8"?>
<sst xmlns="http://schemas.openxmlformats.org/spreadsheetml/2006/main" count="960" uniqueCount="183">
  <si>
    <t>Date</t>
  </si>
  <si>
    <t>Details</t>
  </si>
  <si>
    <t>Transaction Type</t>
  </si>
  <si>
    <t>In</t>
  </si>
  <si>
    <t>Out</t>
  </si>
  <si>
    <t>Balance</t>
  </si>
  <si>
    <t>A M Ibrahim Transfer</t>
  </si>
  <si>
    <t>Outward Faster Payment</t>
  </si>
  <si>
    <t>A M Ibrahim Salary</t>
  </si>
  <si>
    <t>SPECSAVERS FINANCE-600920-71021000 858442-SPECSAVERS FINANCE-&amp;--&amp;-SPECSAVERS SEP COM</t>
  </si>
  <si>
    <t>BACS Payment Received</t>
  </si>
  <si>
    <t>A M Ibrahim transfer</t>
  </si>
  <si>
    <t>HMRC Cumbernauld 120PK02422677</t>
  </si>
  <si>
    <t>HMRC Cumbernauld 3239536995K</t>
  </si>
  <si>
    <t>GOGGLE BOX LTD LOCUM</t>
  </si>
  <si>
    <t>Inward Payment</t>
  </si>
  <si>
    <t>No</t>
  </si>
  <si>
    <t>Net</t>
  </si>
  <si>
    <t>UC category</t>
  </si>
  <si>
    <t>Income</t>
  </si>
  <si>
    <t>Income?</t>
  </si>
  <si>
    <t>Wages</t>
  </si>
  <si>
    <t>Dividends</t>
  </si>
  <si>
    <t>1 April 2023 to 31st March 2024</t>
  </si>
  <si>
    <t>Grand Total</t>
  </si>
  <si>
    <t>Sum of Net</t>
  </si>
  <si>
    <t>HMRC PAYE</t>
  </si>
  <si>
    <t>HMRC SA</t>
  </si>
  <si>
    <t>HMRC CT</t>
  </si>
  <si>
    <t>Business Current Account</t>
  </si>
  <si>
    <t>Cash</t>
  </si>
  <si>
    <t>Computer Equipment</t>
  </si>
  <si>
    <t>Less Accumulated Depreciation on Computer Equipment</t>
  </si>
  <si>
    <t>Accruals</t>
  </si>
  <si>
    <t>PAYE Payable</t>
  </si>
  <si>
    <t>Provision for Corporation Tax</t>
  </si>
  <si>
    <t>Directors' Loan Account</t>
  </si>
  <si>
    <t>Capital - x,xxx Ordinary Shares</t>
  </si>
  <si>
    <t>Retained Earnings</t>
  </si>
  <si>
    <t>Dividends Paid</t>
  </si>
  <si>
    <t>BS</t>
  </si>
  <si>
    <t>PL</t>
  </si>
  <si>
    <t>PL PY</t>
  </si>
  <si>
    <t xml:space="preserve">Dividednds </t>
  </si>
  <si>
    <t>Profit CY</t>
  </si>
  <si>
    <t>AOP</t>
  </si>
  <si>
    <t>GOC</t>
  </si>
  <si>
    <t>WFH</t>
  </si>
  <si>
    <t>Accountancy</t>
  </si>
  <si>
    <t>Lunch</t>
  </si>
  <si>
    <t>Mobile</t>
  </si>
  <si>
    <t>Equipment</t>
  </si>
  <si>
    <t>Parking</t>
  </si>
  <si>
    <t>Depreciation</t>
  </si>
  <si>
    <t>31/03/2025</t>
  </si>
  <si>
    <t>28/03/2025</t>
  </si>
  <si>
    <t>A M Ibrahim personal</t>
  </si>
  <si>
    <t>26/03/2025</t>
  </si>
  <si>
    <t>21/03/2025</t>
  </si>
  <si>
    <t>19/03/2025</t>
  </si>
  <si>
    <t>17/03/2025</t>
  </si>
  <si>
    <t>14/03/2025</t>
  </si>
  <si>
    <t>13/03/2025</t>
  </si>
  <si>
    <t>12/03/2025</t>
  </si>
  <si>
    <t>07/03/2025</t>
  </si>
  <si>
    <t>05/03/2025</t>
  </si>
  <si>
    <t>28/02/2025</t>
  </si>
  <si>
    <t>26/02/2025</t>
  </si>
  <si>
    <t>21/02/2025</t>
  </si>
  <si>
    <t>20/02/2025</t>
  </si>
  <si>
    <t>19/02/2025</t>
  </si>
  <si>
    <t>17/02/2025</t>
  </si>
  <si>
    <t>14/02/2025</t>
  </si>
  <si>
    <t>11/02/2025</t>
  </si>
  <si>
    <t>07/02/2025</t>
  </si>
  <si>
    <t>05/02/2025</t>
  </si>
  <si>
    <t>31/01/2025</t>
  </si>
  <si>
    <t>27/01/2025</t>
  </si>
  <si>
    <t>24/01/2025</t>
  </si>
  <si>
    <t>22/01/2025</t>
  </si>
  <si>
    <t>21/01/2025</t>
  </si>
  <si>
    <t>20/01/2025</t>
  </si>
  <si>
    <t>17/01/2025</t>
  </si>
  <si>
    <t>15/01/2025</t>
  </si>
  <si>
    <t>14/01/2025</t>
  </si>
  <si>
    <t>13/01/2025</t>
  </si>
  <si>
    <t>10/01/2025</t>
  </si>
  <si>
    <t>08/01/2025</t>
  </si>
  <si>
    <t>06/01/2025</t>
  </si>
  <si>
    <t>03/01/2025</t>
  </si>
  <si>
    <t>02/01/2025</t>
  </si>
  <si>
    <t>31/12/2024</t>
  </si>
  <si>
    <t>27/12/2024</t>
  </si>
  <si>
    <t>24/12/2024</t>
  </si>
  <si>
    <t>23/12/2024</t>
  </si>
  <si>
    <t>20/12/2024</t>
  </si>
  <si>
    <t>17/12/2024</t>
  </si>
  <si>
    <t>HMRC Cumbernauld 4375411945A00108A</t>
  </si>
  <si>
    <t>16/12/2024</t>
  </si>
  <si>
    <t>13/12/2024</t>
  </si>
  <si>
    <t>11/12/2024</t>
  </si>
  <si>
    <t>06/12/2024</t>
  </si>
  <si>
    <t>03/12/2024</t>
  </si>
  <si>
    <t>29/11/2024</t>
  </si>
  <si>
    <t>27/11/2024</t>
  </si>
  <si>
    <t>26/11/2024</t>
  </si>
  <si>
    <t>22/11/2024</t>
  </si>
  <si>
    <t>20/11/2024</t>
  </si>
  <si>
    <t>19/11/2024</t>
  </si>
  <si>
    <t>15/11/2024</t>
  </si>
  <si>
    <t>13/11/2024</t>
  </si>
  <si>
    <t>08/11/2024</t>
  </si>
  <si>
    <t>01/11/2024</t>
  </si>
  <si>
    <t>25/10/2024</t>
  </si>
  <si>
    <t>24/10/2024</t>
  </si>
  <si>
    <t>21/10/2024</t>
  </si>
  <si>
    <t>18/10/2024</t>
  </si>
  <si>
    <t>16/10/2024</t>
  </si>
  <si>
    <t>15/10/2024</t>
  </si>
  <si>
    <t>14/10/2024</t>
  </si>
  <si>
    <t>09/10/2024</t>
  </si>
  <si>
    <t>04/10/2024</t>
  </si>
  <si>
    <t>27/09/2024</t>
  </si>
  <si>
    <t>25/09/2024</t>
  </si>
  <si>
    <t>24/09/2024</t>
  </si>
  <si>
    <t>20/09/2024</t>
  </si>
  <si>
    <t>18/09/2024</t>
  </si>
  <si>
    <t>16/09/2024</t>
  </si>
  <si>
    <t>13/09/2024</t>
  </si>
  <si>
    <t>11/09/2024</t>
  </si>
  <si>
    <t>04/09/2024</t>
  </si>
  <si>
    <t>30/08/2024</t>
  </si>
  <si>
    <t>23/08/2024</t>
  </si>
  <si>
    <t>21/08/2024</t>
  </si>
  <si>
    <t>16/08/2024</t>
  </si>
  <si>
    <t>14/08/2024</t>
  </si>
  <si>
    <t>09/08/2024</t>
  </si>
  <si>
    <t>07/08/2024</t>
  </si>
  <si>
    <t>02/08/2024</t>
  </si>
  <si>
    <t>31/07/2024</t>
  </si>
  <si>
    <t>26/07/2024</t>
  </si>
  <si>
    <t>24/07/2024</t>
  </si>
  <si>
    <t>19/07/2024</t>
  </si>
  <si>
    <t>15/07/2024</t>
  </si>
  <si>
    <t>11/07/2024</t>
  </si>
  <si>
    <t>10/07/2024</t>
  </si>
  <si>
    <t>05/07/2024</t>
  </si>
  <si>
    <t>03/07/2024</t>
  </si>
  <si>
    <t>28/06/2024</t>
  </si>
  <si>
    <t>Locums Limited Qadi Ltd 24 Invoic</t>
  </si>
  <si>
    <t>Rejected Faster Payment</t>
  </si>
  <si>
    <t>26/06/2024</t>
  </si>
  <si>
    <t>21/06/2024</t>
  </si>
  <si>
    <t>20/06/2024</t>
  </si>
  <si>
    <t>19/06/2024</t>
  </si>
  <si>
    <t>14/06/2024</t>
  </si>
  <si>
    <t>12/06/2024</t>
  </si>
  <si>
    <t>07/06/2024</t>
  </si>
  <si>
    <t>05/06/2024</t>
  </si>
  <si>
    <t>31/05/2024</t>
  </si>
  <si>
    <t>28/05/2024</t>
  </si>
  <si>
    <t>24/05/2024</t>
  </si>
  <si>
    <t>20/05/2024</t>
  </si>
  <si>
    <t>17/05/2024</t>
  </si>
  <si>
    <t>15/05/2024</t>
  </si>
  <si>
    <t>10/05/2024</t>
  </si>
  <si>
    <t>03/05/2024</t>
  </si>
  <si>
    <t>01/05/2024</t>
  </si>
  <si>
    <t>26/04/2024</t>
  </si>
  <si>
    <t>24/04/2024</t>
  </si>
  <si>
    <t>19/04/2024</t>
  </si>
  <si>
    <t>17/04/2024</t>
  </si>
  <si>
    <t>15/04/2024</t>
  </si>
  <si>
    <t>11/04/2024</t>
  </si>
  <si>
    <t>10/04/2024</t>
  </si>
  <si>
    <t>05/04/2024</t>
  </si>
  <si>
    <t>FY</t>
  </si>
  <si>
    <t>2025</t>
  </si>
  <si>
    <t>Row Labels</t>
  </si>
  <si>
    <t>Column Labels</t>
  </si>
  <si>
    <t>Entertainment</t>
  </si>
  <si>
    <t>Miles</t>
  </si>
  <si>
    <t>Donation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</si>
</sst>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#,##0.00_ ;[Red]\-#,##0.00\ "/>
  </numFmts>
  <fonts count="5">
    <font>
      <sz val="10"/>
      <color indexed="8"/>
      <name val="Helvetica Neue"/>
    </font>
    <font>
      <sz val="11"/>
      <color theme="1"/>
      <name val="Helvetica Neue"/>
      <family val="2"/>
      <scheme val="minor"/>
    </font>
    <font>
      <b/>
      <sz val="10"/>
      <color indexed="8"/>
      <name val="Helvetica Neue"/>
    </font>
    <font>
      <sz val="10"/>
      <color indexed="8"/>
      <name val="Helvetica Neue"/>
    </font>
    <font>
      <sz val="12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/>
      <bottom/>
      <diagonal/>
    </border>
    <border>
      <left/>
      <right/>
      <top style="thin">
        <color rgb="FFEBEBEB"/>
      </top>
      <bottom/>
      <diagonal/>
    </border>
    <border>
      <left style="thin">
        <color indexed="10"/>
      </left>
      <right style="thin">
        <color indexed="11"/>
      </right>
      <top/>
      <bottom style="thin">
        <color indexed="10"/>
      </bottom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</borders>
  <cellStyleXfs count="3">
    <xf numFmtId="0" fontId="0" fillId="0" borderId="0" applyNumberFormat="0" applyFill="0" applyBorder="0" applyProtection="0">
      <alignment vertical="top" wrapText="1"/>
    </xf>
    <xf numFmtId="43" fontId="3" fillId="0" borderId="0" applyFont="0" applyFill="0" applyBorder="0" applyAlignment="0" applyProtection="0"/>
    <xf numFmtId="0" fontId="1" fillId="0" borderId="0"/>
  </cellStyleXfs>
  <cellXfs count="44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49" fontId="2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43" fontId="2" fillId="2" borderId="1" xfId="1" applyFont="1" applyFill="1" applyBorder="1" applyAlignment="1">
      <alignment vertical="top"/>
    </xf>
    <xf numFmtId="43" fontId="0" fillId="0" borderId="7" xfId="1" applyFont="1" applyBorder="1" applyAlignment="1">
      <alignment vertical="top"/>
    </xf>
    <xf numFmtId="43" fontId="0" fillId="0" borderId="0" xfId="1" applyFont="1" applyAlignment="1">
      <alignment vertical="top"/>
    </xf>
    <xf numFmtId="43" fontId="0" fillId="0" borderId="0" xfId="0" applyNumberFormat="1" applyAlignment="1">
      <alignment vertical="top"/>
    </xf>
    <xf numFmtId="0" fontId="0" fillId="0" borderId="9" xfId="0" applyBorder="1">
      <alignment vertical="top" wrapText="1"/>
    </xf>
    <xf numFmtId="0" fontId="0" fillId="0" borderId="8" xfId="0" pivotButton="1" applyBorder="1">
      <alignment vertical="top" wrapText="1"/>
    </xf>
    <xf numFmtId="164" fontId="0" fillId="0" borderId="9" xfId="0" applyNumberFormat="1" applyBorder="1">
      <alignment vertical="top" wrapText="1"/>
    </xf>
    <xf numFmtId="164" fontId="0" fillId="0" borderId="10" xfId="0" applyNumberFormat="1" applyBorder="1">
      <alignment vertical="top" wrapText="1"/>
    </xf>
    <xf numFmtId="43" fontId="0" fillId="0" borderId="0" xfId="1" applyFont="1" applyAlignment="1">
      <alignment vertical="top" wrapText="1"/>
    </xf>
    <xf numFmtId="43" fontId="0" fillId="0" borderId="13" xfId="1" applyFont="1" applyBorder="1" applyAlignment="1">
      <alignment vertical="center"/>
    </xf>
    <xf numFmtId="43" fontId="2" fillId="0" borderId="0" xfId="1" applyFont="1" applyAlignment="1">
      <alignment vertical="top" wrapText="1"/>
    </xf>
    <xf numFmtId="43" fontId="0" fillId="4" borderId="0" xfId="1" applyFont="1" applyFill="1" applyAlignment="1">
      <alignment vertical="top" wrapText="1"/>
    </xf>
    <xf numFmtId="43" fontId="0" fillId="0" borderId="0" xfId="1" applyFont="1" applyAlignment="1"/>
    <xf numFmtId="43" fontId="0" fillId="0" borderId="0" xfId="1" applyFont="1" applyFill="1" applyBorder="1" applyAlignment="1">
      <alignment vertical="center"/>
    </xf>
    <xf numFmtId="43" fontId="0" fillId="0" borderId="12" xfId="1" applyFont="1" applyBorder="1" applyAlignment="1">
      <alignment vertical="top"/>
    </xf>
    <xf numFmtId="43" fontId="2" fillId="0" borderId="0" xfId="1" applyFont="1" applyAlignment="1">
      <alignment vertical="top"/>
    </xf>
    <xf numFmtId="43" fontId="0" fillId="0" borderId="0" xfId="0" applyNumberFormat="1">
      <alignment vertical="top" wrapText="1"/>
    </xf>
    <xf numFmtId="0" fontId="0" fillId="0" borderId="7" xfId="0" applyBorder="1" applyAlignment="1">
      <alignment vertical="top"/>
    </xf>
    <xf numFmtId="2" fontId="0" fillId="0" borderId="7" xfId="0" applyNumberFormat="1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7" xfId="0" applyNumberFormat="1" applyBorder="1" applyAlignment="1">
      <alignment vertical="top"/>
    </xf>
    <xf numFmtId="49" fontId="2" fillId="3" borderId="14" xfId="0" applyNumberFormat="1" applyFont="1" applyFill="1" applyBorder="1" applyAlignment="1">
      <alignment vertical="top"/>
    </xf>
    <xf numFmtId="0" fontId="4" fillId="0" borderId="0" xfId="0" applyFont="1" applyAlignment="1">
      <alignment horizontal="left" vertical="center" wrapText="1"/>
    </xf>
    <xf numFmtId="43" fontId="0" fillId="0" borderId="0" xfId="1" applyFont="1" applyBorder="1" applyAlignment="1">
      <alignment vertical="top"/>
    </xf>
    <xf numFmtId="49" fontId="2" fillId="5" borderId="5" xfId="0" applyNumberFormat="1" applyFont="1" applyFill="1" applyBorder="1" applyAlignment="1">
      <alignment vertical="top"/>
    </xf>
    <xf numFmtId="49" fontId="2" fillId="5" borderId="14" xfId="0" applyNumberFormat="1" applyFont="1" applyFill="1" applyBorder="1" applyAlignment="1">
      <alignment vertical="top"/>
    </xf>
    <xf numFmtId="49" fontId="2" fillId="5" borderId="2" xfId="0" applyNumberFormat="1" applyFont="1" applyFill="1" applyBorder="1" applyAlignment="1">
      <alignment vertical="top"/>
    </xf>
    <xf numFmtId="49" fontId="0" fillId="5" borderId="3" xfId="0" applyNumberFormat="1" applyFill="1" applyBorder="1" applyAlignment="1">
      <alignment vertical="top"/>
    </xf>
    <xf numFmtId="49" fontId="0" fillId="5" borderId="4" xfId="0" applyNumberFormat="1" applyFill="1" applyBorder="1" applyAlignment="1">
      <alignment vertical="top"/>
    </xf>
    <xf numFmtId="2" fontId="0" fillId="5" borderId="4" xfId="0" applyNumberFormat="1" applyFill="1" applyBorder="1" applyAlignment="1">
      <alignment vertical="top"/>
    </xf>
    <xf numFmtId="0" fontId="0" fillId="5" borderId="4" xfId="0" applyFill="1" applyBorder="1" applyAlignment="1">
      <alignment vertical="top"/>
    </xf>
    <xf numFmtId="43" fontId="0" fillId="5" borderId="0" xfId="0" applyNumberFormat="1" applyFill="1" applyAlignment="1">
      <alignment vertical="top"/>
    </xf>
    <xf numFmtId="0" fontId="0" fillId="5" borderId="0" xfId="0" applyNumberFormat="1" applyFill="1" applyAlignment="1">
      <alignment vertical="top"/>
    </xf>
    <xf numFmtId="0" fontId="0" fillId="0" borderId="9" xfId="0" pivotButton="1" applyBorder="1">
      <alignment vertical="top" wrapText="1"/>
    </xf>
    <xf numFmtId="0" fontId="0" fillId="0" borderId="8" xfId="0" applyBorder="1" applyAlignment="1">
      <alignment horizontal="left" vertical="top" wrapText="1"/>
    </xf>
    <xf numFmtId="0" fontId="0" fillId="0" borderId="15" xfId="0" applyBorder="1" applyAlignment="1">
      <alignment horizontal="left" vertical="top" wrapText="1"/>
    </xf>
    <xf numFmtId="164" fontId="0" fillId="0" borderId="16" xfId="0" applyNumberFormat="1" applyBorder="1">
      <alignment vertical="top" wrapText="1"/>
    </xf>
    <xf numFmtId="0" fontId="0" fillId="0" borderId="11" xfId="0" applyBorder="1" applyAlignment="1">
      <alignment horizontal="left" vertical="top" wrapText="1"/>
    </xf>
  </cellXfs>
  <cellStyles count="3">
    <cellStyle name="Comma" xfId="1" builtinId="3"/>
    <cellStyle name="Normal" xfId="0" builtinId="0"/>
    <cellStyle name="Normal 2" xfId="2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97D0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hmed Alam" refreshedDate="46204.900641898152" createdVersion="8" refreshedVersion="6" minRefreshableVersion="3" recordCount="180">
  <cacheSource type="worksheet">
    <worksheetSource ref="A1:J181" sheet="RAW25"/>
  </cacheSource>
  <cacheFields count="10">
    <cacheField name="No" numFmtId="49">
      <sharedItems containsSemiMixedTypes="0" containsString="0" containsNumber="1" containsInteger="1" minValue="121" maxValue="300"/>
    </cacheField>
    <cacheField name="FY" numFmtId="49">
      <sharedItems count="2">
        <s v="2025"/>
        <s v="2024" u="1"/>
      </sharedItems>
    </cacheField>
    <cacheField name="Date" numFmtId="49">
      <sharedItems/>
    </cacheField>
    <cacheField name="Details" numFmtId="0">
      <sharedItems containsBlank="1"/>
    </cacheField>
    <cacheField name="Transaction Type" numFmtId="49">
      <sharedItems/>
    </cacheField>
    <cacheField name="In" numFmtId="0">
      <sharedItems containsString="0" containsBlank="1" containsNumber="1" minValue="350" maxValue="3600"/>
    </cacheField>
    <cacheField name="Out" numFmtId="0">
      <sharedItems containsString="0" containsBlank="1" containsNumber="1" minValue="30" maxValue="10449.49"/>
    </cacheField>
    <cacheField name="Balance" numFmtId="2">
      <sharedItems containsSemiMixedTypes="0" containsString="0" containsNumber="1" minValue="15256.79" maxValue="39105.660000000003"/>
    </cacheField>
    <cacheField name="Net" numFmtId="43">
      <sharedItems containsSemiMixedTypes="0" containsString="0" containsNumber="1" minValue="-10449.49" maxValue="3600"/>
    </cacheField>
    <cacheField name="UC category" numFmtId="0">
      <sharedItems count="7">
        <s v="Income"/>
        <s v="Dividends"/>
        <s v="HMRC PAYE"/>
        <s v="Wages"/>
        <s v="Accountancy"/>
        <s v="HMRC CT"/>
        <s v="HMRC S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80">
  <r>
    <n v="121"/>
    <x v="0"/>
    <s v="05/04/2024"/>
    <s v="SPECSAVERS FINANCE-600920-71021000 858442-SPECSAVERS FINANCE-&amp;--&amp;-SPECSAVERS SEP COM"/>
    <s v="BACS Payment Received"/>
    <n v="1825"/>
    <m/>
    <n v="22153.37"/>
    <n v="1825"/>
    <x v="0"/>
  </r>
  <r>
    <n v="122"/>
    <x v="0"/>
    <s v="10/04/2024"/>
    <s v="SPECSAVERS FINANCE-600920-71021000 858442-SPECSAVERS FINANCE-&amp;--&amp;-SPECSAVERS SEP COM"/>
    <s v="BACS Payment Received"/>
    <n v="1450"/>
    <m/>
    <n v="23603.37"/>
    <n v="1450"/>
    <x v="0"/>
  </r>
  <r>
    <n v="123"/>
    <x v="0"/>
    <s v="11/04/2024"/>
    <s v="A M Ibrahim Transfer"/>
    <s v="Outward Faster Payment"/>
    <m/>
    <n v="600"/>
    <n v="23003.37"/>
    <n v="-600"/>
    <x v="1"/>
  </r>
  <r>
    <n v="124"/>
    <x v="0"/>
    <s v="15/04/2024"/>
    <s v="A M Ibrahim Transfer"/>
    <s v="Outward Faster Payment"/>
    <m/>
    <n v="350"/>
    <n v="22653.37"/>
    <n v="-350"/>
    <x v="1"/>
  </r>
  <r>
    <n v="125"/>
    <x v="0"/>
    <s v="17/04/2024"/>
    <s v="SPECSAVERS FINANCE-600920-71021000 858442-SPECSAVERS FINANCE-&amp;--&amp;-SPECSAVERS SEP COM"/>
    <s v="BACS Payment Received"/>
    <n v="750"/>
    <m/>
    <n v="23403.37"/>
    <n v="750"/>
    <x v="0"/>
  </r>
  <r>
    <n v="126"/>
    <x v="0"/>
    <s v="19/04/2024"/>
    <s v="A M Ibrahim Transfer"/>
    <s v="Outward Faster Payment"/>
    <m/>
    <n v="200"/>
    <n v="23203.37"/>
    <n v="-200"/>
    <x v="1"/>
  </r>
  <r>
    <n v="127"/>
    <x v="0"/>
    <s v="19/04/2024"/>
    <s v="HMRC Cumbernauld 120PK02422677"/>
    <s v="Outward Faster Payment"/>
    <m/>
    <n v="119.85"/>
    <n v="23083.52"/>
    <n v="-119.85"/>
    <x v="2"/>
  </r>
  <r>
    <n v="128"/>
    <x v="0"/>
    <s v="19/04/2024"/>
    <s v="A M Ibrahim Transfer"/>
    <s v="Outward Faster Payment"/>
    <m/>
    <n v="300"/>
    <n v="22783.52"/>
    <n v="-300"/>
    <x v="1"/>
  </r>
  <r>
    <n v="129"/>
    <x v="0"/>
    <s v="19/04/2024"/>
    <s v="A M Ibrahim Transfer"/>
    <s v="Outward Faster Payment"/>
    <m/>
    <n v="2500"/>
    <n v="20283.52"/>
    <n v="-2500"/>
    <x v="1"/>
  </r>
  <r>
    <n v="130"/>
    <x v="0"/>
    <s v="24/04/2024"/>
    <s v="SPECSAVERS FINANCE-600920-71021000 858442-SPECSAVERS FINANCE-&amp;--&amp;-SPECSAVERS SEP COM"/>
    <s v="BACS Payment Received"/>
    <n v="2100"/>
    <m/>
    <n v="22383.52"/>
    <n v="2100"/>
    <x v="0"/>
  </r>
  <r>
    <n v="131"/>
    <x v="0"/>
    <s v="26/04/2024"/>
    <s v="SPECSAVERS FINANCE-600920-71021000 858442-SPECSAVERS FINANCE-&amp;--&amp;-SPECSAVERS SEP COM"/>
    <s v="BACS Payment Received"/>
    <n v="750"/>
    <m/>
    <n v="23133.52"/>
    <n v="750"/>
    <x v="0"/>
  </r>
  <r>
    <n v="132"/>
    <x v="0"/>
    <s v="26/04/2024"/>
    <s v="A M Ibrahim Transfer"/>
    <s v="Outward Faster Payment"/>
    <m/>
    <n v="2500"/>
    <n v="20633.52"/>
    <n v="-2500"/>
    <x v="1"/>
  </r>
  <r>
    <n v="133"/>
    <x v="0"/>
    <s v="26/04/2024"/>
    <s v="A M Ibrahim Salary"/>
    <s v="Outward Faster Payment"/>
    <m/>
    <n v="1047"/>
    <n v="19586.52"/>
    <n v="-1047"/>
    <x v="3"/>
  </r>
  <r>
    <n v="134"/>
    <x v="0"/>
    <s v="01/05/2024"/>
    <s v="SPECSAVERS FINANCE-600920-71021000 858442-SPECSAVERS FINANCE-&amp;--&amp;-SPECSAVERS SEP COM"/>
    <s v="BACS Payment Received"/>
    <n v="1500"/>
    <m/>
    <n v="21086.52"/>
    <n v="1500"/>
    <x v="0"/>
  </r>
  <r>
    <n v="135"/>
    <x v="0"/>
    <s v="03/05/2024"/>
    <s v="SPECSAVERS FINANCE-600920-71021000 858442-SPECSAVERS FINANCE-&amp;--&amp;-SPECSAVERS SEP COM"/>
    <s v="BACS Payment Received"/>
    <n v="615"/>
    <m/>
    <n v="21701.52"/>
    <n v="615"/>
    <x v="0"/>
  </r>
  <r>
    <n v="136"/>
    <x v="0"/>
    <s v="03/05/2024"/>
    <s v="A M Ibrahim Transfer"/>
    <s v="Outward Faster Payment"/>
    <m/>
    <n v="700"/>
    <n v="21001.52"/>
    <n v="-700"/>
    <x v="1"/>
  </r>
  <r>
    <n v="137"/>
    <x v="0"/>
    <s v="10/05/2024"/>
    <s v="SPECSAVERS FINANCE-600920-71021000 858442-SPECSAVERS FINANCE-&amp;--&amp;-SPECSAVERS SEP COM"/>
    <s v="BACS Payment Received"/>
    <n v="750"/>
    <m/>
    <n v="21751.52"/>
    <n v="750"/>
    <x v="0"/>
  </r>
  <r>
    <n v="138"/>
    <x v="0"/>
    <s v="15/05/2024"/>
    <s v="SPECSAVERS FINANCE-600920-71021000 858442-SPECSAVERS FINANCE-&amp;--&amp;-SPECSAVERS SEP COM"/>
    <s v="BACS Payment Received"/>
    <n v="3600"/>
    <m/>
    <n v="25351.52"/>
    <n v="3600"/>
    <x v="0"/>
  </r>
  <r>
    <n v="139"/>
    <x v="0"/>
    <s v="17/05/2024"/>
    <s v="A M Ibrahim Transfer"/>
    <s v="Outward Faster Payment"/>
    <m/>
    <n v="1000"/>
    <n v="24351.52"/>
    <n v="-1000"/>
    <x v="1"/>
  </r>
  <r>
    <n v="140"/>
    <x v="0"/>
    <s v="20/05/2024"/>
    <s v="A M Ibrahim Transfer"/>
    <s v="Outward Faster Payment"/>
    <m/>
    <n v="1000"/>
    <n v="23351.52"/>
    <n v="-1000"/>
    <x v="1"/>
  </r>
  <r>
    <n v="141"/>
    <x v="0"/>
    <s v="24/05/2024"/>
    <s v="SPECSAVERS FINANCE-600920-71021000 858442-SPECSAVERS FINANCE-&amp;--&amp;-SPECSAVERS SEP COM"/>
    <s v="BACS Payment Received"/>
    <n v="400"/>
    <m/>
    <n v="23751.52"/>
    <n v="400"/>
    <x v="0"/>
  </r>
  <r>
    <n v="142"/>
    <x v="0"/>
    <s v="28/05/2024"/>
    <s v="A M Ibrahim Transfer"/>
    <s v="Outward Faster Payment"/>
    <m/>
    <n v="2500"/>
    <n v="21251.52"/>
    <n v="-2500"/>
    <x v="1"/>
  </r>
  <r>
    <n v="143"/>
    <x v="0"/>
    <s v="28/05/2024"/>
    <s v="A M Ibrahim Transfer"/>
    <s v="Outward Faster Payment"/>
    <m/>
    <n v="1047"/>
    <n v="20204.52"/>
    <n v="-1047"/>
    <x v="1"/>
  </r>
  <r>
    <n v="144"/>
    <x v="0"/>
    <s v="31/05/2024"/>
    <s v="SPECSAVERS FINANCE-600920-71021000 858442-SPECSAVERS FINANCE-&amp;--&amp;-SPECSAVERS SEP COM"/>
    <s v="BACS Payment Received"/>
    <n v="2850"/>
    <m/>
    <n v="23054.52"/>
    <n v="2850"/>
    <x v="0"/>
  </r>
  <r>
    <n v="145"/>
    <x v="0"/>
    <s v="31/05/2024"/>
    <s v="A M Ibrahim Transfer"/>
    <s v="Outward Faster Payment"/>
    <m/>
    <n v="1000"/>
    <n v="22054.52"/>
    <n v="-1000"/>
    <x v="1"/>
  </r>
  <r>
    <n v="146"/>
    <x v="0"/>
    <s v="31/05/2024"/>
    <s v="A M Ibrahim Transfer"/>
    <s v="Outward Faster Payment"/>
    <m/>
    <n v="500"/>
    <n v="21554.52"/>
    <n v="-500"/>
    <x v="1"/>
  </r>
  <r>
    <n v="147"/>
    <x v="0"/>
    <s v="05/06/2024"/>
    <s v="SPECSAVERS FINANCE-600920-71021000 858442-SPECSAVERS FINANCE-&amp;--&amp;-SPECSAVERS SEP COM"/>
    <s v="BACS Payment Received"/>
    <n v="800"/>
    <m/>
    <n v="22354.52"/>
    <n v="800"/>
    <x v="0"/>
  </r>
  <r>
    <n v="148"/>
    <x v="0"/>
    <s v="07/06/2024"/>
    <s v="SPECSAVERS FINANCE-600920-71021000 858442-SPECSAVERS FINANCE-&amp;--&amp;-SPECSAVERS SEP COM"/>
    <s v="BACS Payment Received"/>
    <n v="400"/>
    <m/>
    <n v="22754.52"/>
    <n v="400"/>
    <x v="0"/>
  </r>
  <r>
    <n v="149"/>
    <x v="0"/>
    <s v="12/06/2024"/>
    <s v="SPECSAVERS FINANCE-600920-71021000 858442-SPECSAVERS FINANCE-&amp;--&amp;-SPECSAVERS SEP COM"/>
    <s v="BACS Payment Received"/>
    <n v="2150"/>
    <m/>
    <n v="24904.52"/>
    <n v="2150"/>
    <x v="0"/>
  </r>
  <r>
    <n v="150"/>
    <x v="0"/>
    <s v="12/06/2024"/>
    <s v="A M Ibrahim Transfer"/>
    <s v="Outward Faster Payment"/>
    <m/>
    <n v="500"/>
    <n v="24404.52"/>
    <n v="-500"/>
    <x v="1"/>
  </r>
  <r>
    <n v="151"/>
    <x v="0"/>
    <s v="14/06/2024"/>
    <s v="SPECSAVERS FINANCE-600920-71021000 858442-SPECSAVERS FINANCE-&amp;--&amp;-SPECSAVERS SEP COM"/>
    <s v="BACS Payment Received"/>
    <n v="400"/>
    <m/>
    <n v="24804.52"/>
    <n v="400"/>
    <x v="0"/>
  </r>
  <r>
    <n v="152"/>
    <x v="0"/>
    <s v="14/06/2024"/>
    <s v="A M Ibrahim Transfer"/>
    <s v="Outward Faster Payment"/>
    <m/>
    <n v="300"/>
    <n v="24504.52"/>
    <n v="-300"/>
    <x v="1"/>
  </r>
  <r>
    <n v="153"/>
    <x v="0"/>
    <s v="19/06/2024"/>
    <s v="SPECSAVERS FINANCE-600920-71021000 858442-SPECSAVERS FINANCE-&amp;--&amp;-SPECSAVERS SEP COM"/>
    <s v="BACS Payment Received"/>
    <n v="825"/>
    <m/>
    <n v="25329.52"/>
    <n v="825"/>
    <x v="0"/>
  </r>
  <r>
    <n v="154"/>
    <x v="0"/>
    <s v="20/06/2024"/>
    <s v="A M Ibrahim Transfer"/>
    <s v="Outward Faster Payment"/>
    <m/>
    <n v="329"/>
    <n v="25000.52"/>
    <n v="-329"/>
    <x v="1"/>
  </r>
  <r>
    <n v="155"/>
    <x v="0"/>
    <s v="21/06/2024"/>
    <s v="SPECSAVERS FINANCE-600920-71021000 858442-SPECSAVERS FINANCE-&amp;--&amp;-SPECSAVERS SEP COM"/>
    <s v="BACS Payment Received"/>
    <n v="400"/>
    <m/>
    <n v="25400.52"/>
    <n v="400"/>
    <x v="0"/>
  </r>
  <r>
    <n v="156"/>
    <x v="0"/>
    <s v="21/06/2024"/>
    <s v="A M Ibrahim Transfer"/>
    <s v="Outward Faster Payment"/>
    <m/>
    <n v="400"/>
    <n v="25000.52"/>
    <n v="-400"/>
    <x v="1"/>
  </r>
  <r>
    <n v="157"/>
    <x v="0"/>
    <s v="26/06/2024"/>
    <s v="SPECSAVERS FINANCE-600920-71021000 858442-SPECSAVERS FINANCE-&amp;--&amp;-SPECSAVERS SEP COM"/>
    <s v="BACS Payment Received"/>
    <n v="3501"/>
    <m/>
    <n v="28501.52"/>
    <n v="3501"/>
    <x v="0"/>
  </r>
  <r>
    <n v="158"/>
    <x v="0"/>
    <s v="26/06/2024"/>
    <s v="A M Ibrahim Transfer"/>
    <s v="Outward Faster Payment"/>
    <m/>
    <n v="500"/>
    <n v="28001.52"/>
    <n v="-500"/>
    <x v="1"/>
  </r>
  <r>
    <n v="159"/>
    <x v="0"/>
    <s v="26/06/2024"/>
    <s v="A M Ibrahim Transfer"/>
    <s v="Outward Faster Payment"/>
    <m/>
    <n v="735"/>
    <n v="27266.52"/>
    <n v="-735"/>
    <x v="1"/>
  </r>
  <r>
    <n v="160"/>
    <x v="0"/>
    <s v="28/06/2024"/>
    <s v="A M Ibrahim Transfer"/>
    <s v="Outward Faster Payment"/>
    <m/>
    <n v="2500"/>
    <n v="24766.52"/>
    <n v="-2500"/>
    <x v="1"/>
  </r>
  <r>
    <n v="161"/>
    <x v="0"/>
    <s v="28/06/2024"/>
    <m/>
    <s v="Rejected Faster Payment"/>
    <n v="2500"/>
    <m/>
    <n v="27266.52"/>
    <n v="2500"/>
    <x v="0"/>
  </r>
  <r>
    <n v="162"/>
    <x v="0"/>
    <s v="28/06/2024"/>
    <s v="A M Ibrahim Salary"/>
    <s v="Outward Faster Payment"/>
    <m/>
    <n v="1047"/>
    <n v="26219.52"/>
    <n v="-1047"/>
    <x v="3"/>
  </r>
  <r>
    <n v="163"/>
    <x v="0"/>
    <s v="28/06/2024"/>
    <m/>
    <s v="Rejected Faster Payment"/>
    <n v="1047"/>
    <m/>
    <n v="27266.52"/>
    <n v="1047"/>
    <x v="0"/>
  </r>
  <r>
    <n v="164"/>
    <x v="0"/>
    <s v="28/06/2024"/>
    <s v="A M Ibrahim Salary"/>
    <s v="Outward Faster Payment"/>
    <m/>
    <n v="1047"/>
    <n v="26219.52"/>
    <n v="-1047"/>
    <x v="3"/>
  </r>
  <r>
    <n v="165"/>
    <x v="0"/>
    <s v="28/06/2024"/>
    <m/>
    <s v="Rejected Faster Payment"/>
    <n v="1047"/>
    <m/>
    <n v="27266.52"/>
    <n v="1047"/>
    <x v="0"/>
  </r>
  <r>
    <n v="166"/>
    <x v="0"/>
    <s v="28/06/2024"/>
    <s v="A M Ibrahim Salary"/>
    <s v="Outward Faster Payment"/>
    <m/>
    <n v="1047"/>
    <n v="26219.52"/>
    <n v="-1047"/>
    <x v="3"/>
  </r>
  <r>
    <n v="167"/>
    <x v="0"/>
    <s v="28/06/2024"/>
    <s v="A M Ibrahim Transfer"/>
    <s v="Outward Faster Payment"/>
    <m/>
    <n v="2500"/>
    <n v="23719.52"/>
    <n v="-2500"/>
    <x v="1"/>
  </r>
  <r>
    <n v="168"/>
    <x v="0"/>
    <s v="28/06/2024"/>
    <s v="Locums Limited Qadi Ltd 24 Invoic"/>
    <s v="Outward Faster Payment"/>
    <m/>
    <n v="613"/>
    <n v="23106.52"/>
    <n v="-613"/>
    <x v="4"/>
  </r>
  <r>
    <n v="169"/>
    <x v="0"/>
    <s v="03/07/2024"/>
    <s v="SPECSAVERS FINANCE-600920-71021000 858442-SPECSAVERS FINANCE-&amp;--&amp;-SPECSAVERS SEP COM"/>
    <s v="BACS Payment Received"/>
    <n v="400"/>
    <m/>
    <n v="23506.52"/>
    <n v="400"/>
    <x v="0"/>
  </r>
  <r>
    <n v="170"/>
    <x v="0"/>
    <s v="05/07/2024"/>
    <s v="SPECSAVERS FINANCE-600920-71021000 858442-SPECSAVERS FINANCE-&amp;--&amp;-SPECSAVERS SEP COM"/>
    <s v="BACS Payment Received"/>
    <n v="1900"/>
    <m/>
    <n v="25406.52"/>
    <n v="1900"/>
    <x v="0"/>
  </r>
  <r>
    <n v="171"/>
    <x v="0"/>
    <s v="10/07/2024"/>
    <s v="A M Ibrahim Transfer"/>
    <s v="Outward Faster Payment"/>
    <m/>
    <n v="406"/>
    <n v="25000.52"/>
    <n v="-406"/>
    <x v="1"/>
  </r>
  <r>
    <n v="172"/>
    <x v="0"/>
    <s v="11/07/2024"/>
    <s v="A M Ibrahim Transfer"/>
    <s v="Outward Faster Payment"/>
    <m/>
    <n v="1500"/>
    <n v="23500.52"/>
    <n v="-1500"/>
    <x v="1"/>
  </r>
  <r>
    <n v="173"/>
    <x v="0"/>
    <s v="15/07/2024"/>
    <s v="A M Ibrahim Transfer"/>
    <s v="Outward Faster Payment"/>
    <m/>
    <n v="500"/>
    <n v="23000.52"/>
    <n v="-500"/>
    <x v="1"/>
  </r>
  <r>
    <n v="174"/>
    <x v="0"/>
    <s v="19/07/2024"/>
    <s v="SPECSAVERS FINANCE-600920-71021000 858442-SPECSAVERS FINANCE-&amp;--&amp;-SPECSAVERS SEP COM"/>
    <s v="BACS Payment Received"/>
    <n v="1100"/>
    <m/>
    <n v="24100.52"/>
    <n v="1100"/>
    <x v="0"/>
  </r>
  <r>
    <n v="175"/>
    <x v="0"/>
    <s v="19/07/2024"/>
    <s v="A M Ibrahim Transfer"/>
    <s v="Outward Faster Payment"/>
    <m/>
    <n v="100"/>
    <n v="24000.52"/>
    <n v="-100"/>
    <x v="1"/>
  </r>
  <r>
    <n v="176"/>
    <x v="0"/>
    <s v="19/07/2024"/>
    <s v="HMRC Cumbernauld 120PK02422677"/>
    <s v="Outward Faster Payment"/>
    <m/>
    <n v="119.85"/>
    <n v="23880.67"/>
    <n v="-119.85"/>
    <x v="2"/>
  </r>
  <r>
    <n v="177"/>
    <x v="0"/>
    <s v="24/07/2024"/>
    <s v="SPECSAVERS FINANCE-600920-71021000 858442-SPECSAVERS FINANCE-&amp;--&amp;-SPECSAVERS SEP COM"/>
    <s v="BACS Payment Received"/>
    <n v="400"/>
    <m/>
    <n v="24280.67"/>
    <n v="400"/>
    <x v="0"/>
  </r>
  <r>
    <n v="178"/>
    <x v="0"/>
    <s v="24/07/2024"/>
    <s v="A M Ibrahim Transfer"/>
    <s v="Outward Faster Payment"/>
    <m/>
    <n v="500"/>
    <n v="23780.67"/>
    <n v="-500"/>
    <x v="1"/>
  </r>
  <r>
    <n v="179"/>
    <x v="0"/>
    <s v="26/07/2024"/>
    <s v="SPECSAVERS FINANCE-600920-71021000 858442-SPECSAVERS FINANCE-&amp;--&amp;-SPECSAVERS SEP COM"/>
    <s v="BACS Payment Received"/>
    <n v="800"/>
    <m/>
    <n v="24580.67"/>
    <n v="800"/>
    <x v="0"/>
  </r>
  <r>
    <n v="180"/>
    <x v="0"/>
    <s v="26/07/2024"/>
    <s v="A M Ibrahim Salary"/>
    <s v="Outward Faster Payment"/>
    <m/>
    <n v="1047"/>
    <n v="23533.67"/>
    <n v="-1047"/>
    <x v="3"/>
  </r>
  <r>
    <n v="181"/>
    <x v="0"/>
    <s v="26/07/2024"/>
    <s v="A M Ibrahim Transfer"/>
    <s v="Outward Faster Payment"/>
    <m/>
    <n v="2500"/>
    <n v="21033.67"/>
    <n v="-2500"/>
    <x v="1"/>
  </r>
  <r>
    <n v="182"/>
    <x v="0"/>
    <s v="31/07/2024"/>
    <s v="SPECSAVERS FINANCE-600920-71021000 858442-SPECSAVERS FINANCE-&amp;--&amp;-SPECSAVERS SEP COM"/>
    <s v="BACS Payment Received"/>
    <n v="1525"/>
    <m/>
    <n v="22558.67"/>
    <n v="1525"/>
    <x v="0"/>
  </r>
  <r>
    <n v="183"/>
    <x v="0"/>
    <s v="02/08/2024"/>
    <s v="SPECSAVERS FINANCE-600920-71021000 858442-SPECSAVERS FINANCE-&amp;--&amp;-SPECSAVERS SEP COM"/>
    <s v="BACS Payment Received"/>
    <n v="400"/>
    <m/>
    <n v="22958.67"/>
    <n v="400"/>
    <x v="0"/>
  </r>
  <r>
    <n v="184"/>
    <x v="0"/>
    <s v="07/08/2024"/>
    <s v="SPECSAVERS FINANCE-600920-71021000 858442-SPECSAVERS FINANCE-&amp;--&amp;-SPECSAVERS SEP COM"/>
    <s v="BACS Payment Received"/>
    <n v="1080"/>
    <m/>
    <n v="24038.67"/>
    <n v="1080"/>
    <x v="0"/>
  </r>
  <r>
    <n v="185"/>
    <x v="0"/>
    <s v="09/08/2024"/>
    <s v="SPECSAVERS FINANCE-600920-71021000 858442-SPECSAVERS FINANCE-&amp;--&amp;-SPECSAVERS SEP COM"/>
    <s v="BACS Payment Received"/>
    <n v="1175"/>
    <m/>
    <n v="25213.67"/>
    <n v="1175"/>
    <x v="0"/>
  </r>
  <r>
    <n v="186"/>
    <x v="0"/>
    <s v="14/08/2024"/>
    <s v="SPECSAVERS FINANCE-600920-71021000 858442-SPECSAVERS FINANCE-&amp;--&amp;-SPECSAVERS SEP COM"/>
    <s v="BACS Payment Received"/>
    <n v="799.99"/>
    <m/>
    <n v="26013.66"/>
    <n v="799.99"/>
    <x v="0"/>
  </r>
  <r>
    <n v="187"/>
    <x v="0"/>
    <s v="16/08/2024"/>
    <s v="SPECSAVERS FINANCE-600920-71021000 858442-SPECSAVERS FINANCE-&amp;--&amp;-SPECSAVERS SEP COM"/>
    <s v="BACS Payment Received"/>
    <n v="1200"/>
    <m/>
    <n v="27213.66"/>
    <n v="1200"/>
    <x v="0"/>
  </r>
  <r>
    <n v="188"/>
    <x v="0"/>
    <s v="21/08/2024"/>
    <s v="SPECSAVERS FINANCE-600920-71021000 858442-SPECSAVERS FINANCE-&amp;--&amp;-SPECSAVERS SEP COM"/>
    <s v="BACS Payment Received"/>
    <n v="1050"/>
    <m/>
    <n v="28263.66"/>
    <n v="1050"/>
    <x v="0"/>
  </r>
  <r>
    <n v="189"/>
    <x v="0"/>
    <s v="23/08/2024"/>
    <s v="A M Ibrahim Salary"/>
    <s v="Outward Faster Payment"/>
    <m/>
    <n v="1047"/>
    <n v="27216.66"/>
    <n v="-1047"/>
    <x v="3"/>
  </r>
  <r>
    <n v="190"/>
    <x v="0"/>
    <s v="23/08/2024"/>
    <s v="A M Ibrahim Transfer"/>
    <s v="Outward Faster Payment"/>
    <m/>
    <n v="2500"/>
    <n v="24716.66"/>
    <n v="-2500"/>
    <x v="1"/>
  </r>
  <r>
    <n v="191"/>
    <x v="0"/>
    <s v="30/08/2024"/>
    <s v="SPECSAVERS FINANCE-600920-71021000 858442-SPECSAVERS FINANCE-&amp;--&amp;-SPECSAVERS SEP COM"/>
    <s v="BACS Payment Received"/>
    <n v="2450"/>
    <m/>
    <n v="27166.66"/>
    <n v="2450"/>
    <x v="0"/>
  </r>
  <r>
    <n v="192"/>
    <x v="0"/>
    <s v="04/09/2024"/>
    <s v="SPECSAVERS FINANCE-600920-71021000 858442-SPECSAVERS FINANCE-&amp;--&amp;-SPECSAVERS SEP COM"/>
    <s v="BACS Payment Received"/>
    <n v="1400"/>
    <m/>
    <n v="28566.66"/>
    <n v="1400"/>
    <x v="0"/>
  </r>
  <r>
    <n v="193"/>
    <x v="0"/>
    <s v="11/09/2024"/>
    <s v="SPECSAVERS FINANCE-600920-71021000 858442-SPECSAVERS FINANCE-&amp;--&amp;-SPECSAVERS SEP COM"/>
    <s v="BACS Payment Received"/>
    <n v="1275"/>
    <m/>
    <n v="29841.66"/>
    <n v="1275"/>
    <x v="0"/>
  </r>
  <r>
    <n v="194"/>
    <x v="0"/>
    <s v="13/09/2024"/>
    <s v="SPECSAVERS FINANCE-600920-71021000 858442-SPECSAVERS FINANCE-&amp;--&amp;-SPECSAVERS SEP COM"/>
    <s v="BACS Payment Received"/>
    <n v="1175"/>
    <m/>
    <n v="31016.66"/>
    <n v="1175"/>
    <x v="0"/>
  </r>
  <r>
    <n v="195"/>
    <x v="0"/>
    <s v="16/09/2024"/>
    <s v="A M Ibrahim Transfer"/>
    <s v="Outward Faster Payment"/>
    <m/>
    <n v="400"/>
    <n v="30616.66"/>
    <n v="-400"/>
    <x v="1"/>
  </r>
  <r>
    <n v="196"/>
    <x v="0"/>
    <s v="16/09/2024"/>
    <s v="A M Ibrahim Transfer"/>
    <s v="Outward Faster Payment"/>
    <m/>
    <n v="200"/>
    <n v="30416.66"/>
    <n v="-200"/>
    <x v="1"/>
  </r>
  <r>
    <n v="197"/>
    <x v="0"/>
    <s v="18/09/2024"/>
    <s v="A M Ibrahim Transfer"/>
    <s v="Outward Faster Payment"/>
    <m/>
    <n v="400"/>
    <n v="30016.66"/>
    <n v="-400"/>
    <x v="1"/>
  </r>
  <r>
    <n v="198"/>
    <x v="0"/>
    <s v="20/09/2024"/>
    <s v="SPECSAVERS FINANCE-600920-71021000 858442-SPECSAVERS FINANCE-&amp;--&amp;-SPECSAVERS SEP COM"/>
    <s v="BACS Payment Received"/>
    <n v="2450"/>
    <m/>
    <n v="32466.66"/>
    <n v="2450"/>
    <x v="0"/>
  </r>
  <r>
    <n v="199"/>
    <x v="0"/>
    <s v="24/09/2024"/>
    <s v="A M Ibrahim Transfer"/>
    <s v="Outward Faster Payment"/>
    <m/>
    <n v="200"/>
    <n v="32266.66"/>
    <n v="-200"/>
    <x v="1"/>
  </r>
  <r>
    <n v="200"/>
    <x v="0"/>
    <s v="25/09/2024"/>
    <s v="SPECSAVERS FINANCE-600920-71021000 858442-SPECSAVERS FINANCE-&amp;--&amp;-SPECSAVERS SEP COM"/>
    <s v="BACS Payment Received"/>
    <n v="425"/>
    <m/>
    <n v="32691.66"/>
    <n v="425"/>
    <x v="0"/>
  </r>
  <r>
    <n v="201"/>
    <x v="0"/>
    <s v="27/09/2024"/>
    <s v="SPECSAVERS FINANCE-600920-71021000 858442-SPECSAVERS FINANCE-&amp;--&amp;-SPECSAVERS SEP COM"/>
    <s v="BACS Payment Received"/>
    <n v="1125"/>
    <m/>
    <n v="33816.660000000003"/>
    <n v="1125"/>
    <x v="0"/>
  </r>
  <r>
    <n v="202"/>
    <x v="0"/>
    <s v="27/09/2024"/>
    <s v="A M Ibrahim Salary"/>
    <s v="Outward Faster Payment"/>
    <m/>
    <n v="1047"/>
    <n v="32769.660000000003"/>
    <n v="-1047"/>
    <x v="3"/>
  </r>
  <r>
    <n v="203"/>
    <x v="0"/>
    <s v="27/09/2024"/>
    <s v="A M Ibrahim Transfer"/>
    <s v="Outward Faster Payment"/>
    <m/>
    <n v="2500"/>
    <n v="30269.66"/>
    <n v="-2500"/>
    <x v="1"/>
  </r>
  <r>
    <n v="204"/>
    <x v="0"/>
    <s v="04/10/2024"/>
    <s v="SPECSAVERS FINANCE-600920-71021000 858442-SPECSAVERS FINANCE-&amp;--&amp;-SPECSAVERS SEP COM"/>
    <s v="BACS Payment Received"/>
    <n v="1250"/>
    <m/>
    <n v="31519.66"/>
    <n v="1250"/>
    <x v="0"/>
  </r>
  <r>
    <n v="205"/>
    <x v="0"/>
    <s v="09/10/2024"/>
    <s v="SPECSAVERS FINANCE-600920-71021000 858442-SPECSAVERS FINANCE-&amp;--&amp;-SPECSAVERS SEP COM"/>
    <s v="BACS Payment Received"/>
    <n v="400"/>
    <m/>
    <n v="31919.66"/>
    <n v="400"/>
    <x v="0"/>
  </r>
  <r>
    <n v="206"/>
    <x v="0"/>
    <s v="14/10/2024"/>
    <s v="A M Ibrahim Transfer"/>
    <s v="Outward Faster Payment"/>
    <m/>
    <n v="100"/>
    <n v="31819.66"/>
    <n v="-100"/>
    <x v="1"/>
  </r>
  <r>
    <n v="207"/>
    <x v="0"/>
    <s v="15/10/2024"/>
    <s v="GOGGLE BOX LTD LOCUM"/>
    <s v="Inward Payment"/>
    <n v="400"/>
    <m/>
    <n v="32219.66"/>
    <n v="400"/>
    <x v="0"/>
  </r>
  <r>
    <n v="208"/>
    <x v="0"/>
    <s v="15/10/2024"/>
    <s v="A M Ibrahim Transfer"/>
    <s v="Outward Faster Payment"/>
    <m/>
    <n v="100"/>
    <n v="32119.66"/>
    <n v="-100"/>
    <x v="1"/>
  </r>
  <r>
    <n v="209"/>
    <x v="0"/>
    <s v="16/10/2024"/>
    <s v="SPECSAVERS FINANCE-600920-71021000 858442-SPECSAVERS FINANCE-&amp;--&amp;-SPECSAVERS SEP COM"/>
    <s v="BACS Payment Received"/>
    <n v="1125"/>
    <m/>
    <n v="33244.660000000003"/>
    <n v="1125"/>
    <x v="0"/>
  </r>
  <r>
    <n v="210"/>
    <x v="0"/>
    <s v="18/10/2024"/>
    <s v="SPECSAVERS FINANCE-600920-71021000 858442-SPECSAVERS FINANCE-&amp;--&amp;-SPECSAVERS SEP COM"/>
    <s v="BACS Payment Received"/>
    <n v="1525"/>
    <m/>
    <n v="34769.660000000003"/>
    <n v="1525"/>
    <x v="0"/>
  </r>
  <r>
    <n v="211"/>
    <x v="0"/>
    <s v="18/10/2024"/>
    <s v="A M Ibrahim Transfer"/>
    <s v="Outward Faster Payment"/>
    <m/>
    <n v="65"/>
    <n v="34704.660000000003"/>
    <n v="-65"/>
    <x v="1"/>
  </r>
  <r>
    <n v="212"/>
    <x v="0"/>
    <s v="21/10/2024"/>
    <s v="A M Ibrahim Transfer"/>
    <s v="Outward Faster Payment"/>
    <m/>
    <n v="200"/>
    <n v="34504.660000000003"/>
    <n v="-200"/>
    <x v="1"/>
  </r>
  <r>
    <n v="213"/>
    <x v="0"/>
    <s v="24/10/2024"/>
    <s v="A M Ibrahim Transfer"/>
    <s v="Outward Faster Payment"/>
    <m/>
    <n v="100"/>
    <n v="34404.660000000003"/>
    <n v="-100"/>
    <x v="1"/>
  </r>
  <r>
    <n v="214"/>
    <x v="0"/>
    <s v="25/10/2024"/>
    <s v="SPECSAVERS FINANCE-600920-71021000 858442-SPECSAVERS FINANCE-&amp;--&amp;-SPECSAVERS SEP COM"/>
    <s v="BACS Payment Received"/>
    <n v="1950"/>
    <m/>
    <n v="36354.660000000003"/>
    <n v="1950"/>
    <x v="0"/>
  </r>
  <r>
    <n v="215"/>
    <x v="0"/>
    <s v="25/10/2024"/>
    <s v="A M Ibrahim Transfer"/>
    <s v="Outward Faster Payment"/>
    <m/>
    <n v="100"/>
    <n v="36254.660000000003"/>
    <n v="-100"/>
    <x v="1"/>
  </r>
  <r>
    <n v="216"/>
    <x v="0"/>
    <s v="25/10/2024"/>
    <s v="A M Ibrahim Transfer"/>
    <s v="Outward Faster Payment"/>
    <m/>
    <n v="50"/>
    <n v="36204.660000000003"/>
    <n v="-50"/>
    <x v="1"/>
  </r>
  <r>
    <n v="217"/>
    <x v="0"/>
    <s v="25/10/2024"/>
    <s v="A M Ibrahim Transfer"/>
    <s v="Outward Faster Payment"/>
    <m/>
    <n v="2400"/>
    <n v="33804.660000000003"/>
    <n v="-2400"/>
    <x v="1"/>
  </r>
  <r>
    <n v="218"/>
    <x v="0"/>
    <s v="25/10/2024"/>
    <s v="A M Ibrahim Salary"/>
    <s v="Outward Faster Payment"/>
    <m/>
    <n v="1047"/>
    <n v="32757.66"/>
    <n v="-1047"/>
    <x v="3"/>
  </r>
  <r>
    <n v="219"/>
    <x v="0"/>
    <s v="01/11/2024"/>
    <s v="SPECSAVERS FINANCE-600920-71021000 858442-SPECSAVERS FINANCE-&amp;--&amp;-SPECSAVERS SEP COM"/>
    <s v="BACS Payment Received"/>
    <n v="1125"/>
    <m/>
    <n v="33882.660000000003"/>
    <n v="1125"/>
    <x v="0"/>
  </r>
  <r>
    <n v="220"/>
    <x v="0"/>
    <s v="08/11/2024"/>
    <s v="SPECSAVERS FINANCE-600920-71021000 858442-SPECSAVERS FINANCE-&amp;--&amp;-SPECSAVERS SEP COM"/>
    <s v="BACS Payment Received"/>
    <n v="1100"/>
    <m/>
    <n v="34982.660000000003"/>
    <n v="1100"/>
    <x v="0"/>
  </r>
  <r>
    <n v="221"/>
    <x v="0"/>
    <s v="13/11/2024"/>
    <s v="SPECSAVERS FINANCE-600920-71021000 858442-SPECSAVERS FINANCE-&amp;--&amp;-SPECSAVERS SEP COM"/>
    <s v="BACS Payment Received"/>
    <n v="2050"/>
    <m/>
    <n v="37032.660000000003"/>
    <n v="2050"/>
    <x v="0"/>
  </r>
  <r>
    <n v="222"/>
    <x v="0"/>
    <s v="15/11/2024"/>
    <s v="SPECSAVERS FINANCE-600920-71021000 858442-SPECSAVERS FINANCE-&amp;--&amp;-SPECSAVERS SEP COM"/>
    <s v="BACS Payment Received"/>
    <n v="750"/>
    <m/>
    <n v="37782.660000000003"/>
    <n v="750"/>
    <x v="0"/>
  </r>
  <r>
    <n v="223"/>
    <x v="0"/>
    <s v="15/11/2024"/>
    <s v="A M Ibrahim Transfer"/>
    <s v="Outward Faster Payment"/>
    <m/>
    <n v="160"/>
    <n v="37622.660000000003"/>
    <n v="-160"/>
    <x v="1"/>
  </r>
  <r>
    <n v="224"/>
    <x v="0"/>
    <s v="19/11/2024"/>
    <s v="A M Ibrahim Transfer"/>
    <s v="Outward Faster Payment"/>
    <m/>
    <n v="100"/>
    <n v="37522.660000000003"/>
    <n v="-100"/>
    <x v="1"/>
  </r>
  <r>
    <n v="225"/>
    <x v="0"/>
    <s v="20/11/2024"/>
    <s v="SPECSAVERS FINANCE-600920-71021000 858442-SPECSAVERS FINANCE-&amp;--&amp;-SPECSAVERS SEP COM"/>
    <s v="BACS Payment Received"/>
    <n v="450"/>
    <m/>
    <n v="37972.660000000003"/>
    <n v="450"/>
    <x v="0"/>
  </r>
  <r>
    <n v="226"/>
    <x v="0"/>
    <s v="20/11/2024"/>
    <s v="A M Ibrahim Transfer"/>
    <s v="Outward Faster Payment"/>
    <m/>
    <n v="130"/>
    <n v="37842.660000000003"/>
    <n v="-130"/>
    <x v="1"/>
  </r>
  <r>
    <n v="227"/>
    <x v="0"/>
    <s v="20/11/2024"/>
    <s v="A M Ibrahim Transfer"/>
    <s v="Outward Faster Payment"/>
    <m/>
    <n v="240"/>
    <n v="37602.660000000003"/>
    <n v="-240"/>
    <x v="1"/>
  </r>
  <r>
    <n v="228"/>
    <x v="0"/>
    <s v="22/11/2024"/>
    <s v="SPECSAVERS FINANCE-600920-71021000 858442-SPECSAVERS FINANCE-&amp;--&amp;-SPECSAVERS SEP COM"/>
    <s v="BACS Payment Received"/>
    <n v="800"/>
    <m/>
    <n v="38402.660000000003"/>
    <n v="800"/>
    <x v="0"/>
  </r>
  <r>
    <n v="229"/>
    <x v="0"/>
    <s v="26/11/2024"/>
    <s v="A M Ibrahim Transfer"/>
    <s v="Outward Faster Payment"/>
    <m/>
    <n v="2500"/>
    <n v="35902.660000000003"/>
    <n v="-2500"/>
    <x v="1"/>
  </r>
  <r>
    <n v="230"/>
    <x v="0"/>
    <s v="27/11/2024"/>
    <s v="SPECSAVERS FINANCE-600920-71021000 858442-SPECSAVERS FINANCE-&amp;--&amp;-SPECSAVERS SEP COM"/>
    <s v="BACS Payment Received"/>
    <n v="1125"/>
    <m/>
    <n v="37027.660000000003"/>
    <n v="1125"/>
    <x v="0"/>
  </r>
  <r>
    <n v="231"/>
    <x v="0"/>
    <s v="27/11/2024"/>
    <s v="A M Ibrahim Salary"/>
    <s v="Outward Faster Payment"/>
    <m/>
    <n v="1047"/>
    <n v="35980.660000000003"/>
    <n v="-1047"/>
    <x v="3"/>
  </r>
  <r>
    <n v="232"/>
    <x v="0"/>
    <s v="29/11/2024"/>
    <s v="SPECSAVERS FINANCE-600920-71021000 858442-SPECSAVERS FINANCE-&amp;--&amp;-SPECSAVERS SEP COM"/>
    <s v="BACS Payment Received"/>
    <n v="375"/>
    <m/>
    <n v="36355.660000000003"/>
    <n v="375"/>
    <x v="0"/>
  </r>
  <r>
    <n v="233"/>
    <x v="0"/>
    <s v="03/12/2024"/>
    <s v="A M Ibrahim Transfer"/>
    <s v="Outward Faster Payment"/>
    <m/>
    <n v="600"/>
    <n v="35755.660000000003"/>
    <n v="-600"/>
    <x v="1"/>
  </r>
  <r>
    <n v="234"/>
    <x v="0"/>
    <s v="06/12/2024"/>
    <s v="SPECSAVERS FINANCE-600920-71021000 858442-SPECSAVERS FINANCE-&amp;--&amp;-SPECSAVERS SEP COM"/>
    <s v="BACS Payment Received"/>
    <n v="2650"/>
    <m/>
    <n v="38405.660000000003"/>
    <n v="2650"/>
    <x v="0"/>
  </r>
  <r>
    <n v="235"/>
    <x v="0"/>
    <s v="11/12/2024"/>
    <s v="A M Ibrahim Transfer"/>
    <s v="Outward Faster Payment"/>
    <m/>
    <n v="400"/>
    <n v="38005.660000000003"/>
    <n v="-400"/>
    <x v="1"/>
  </r>
  <r>
    <n v="236"/>
    <x v="0"/>
    <s v="13/12/2024"/>
    <s v="SPECSAVERS FINANCE-600920-71021000 858442-SPECSAVERS FINANCE-&amp;--&amp;-SPECSAVERS SEP COM"/>
    <s v="BACS Payment Received"/>
    <n v="1100"/>
    <m/>
    <n v="39105.660000000003"/>
    <n v="1100"/>
    <x v="0"/>
  </r>
  <r>
    <n v="237"/>
    <x v="0"/>
    <s v="16/12/2024"/>
    <s v="A M Ibrahim Transfer"/>
    <s v="Outward Faster Payment"/>
    <m/>
    <n v="2500"/>
    <n v="36605.660000000003"/>
    <n v="-2500"/>
    <x v="1"/>
  </r>
  <r>
    <n v="238"/>
    <x v="0"/>
    <s v="17/12/2024"/>
    <s v="HMRC Cumbernauld 4375411945A00108A"/>
    <s v="Outward Faster Payment"/>
    <m/>
    <n v="10449.49"/>
    <n v="26156.17"/>
    <n v="-10449.49"/>
    <x v="5"/>
  </r>
  <r>
    <n v="239"/>
    <x v="0"/>
    <s v="17/12/2024"/>
    <s v="HMRC Cumbernauld 3239536995K"/>
    <s v="Outward Faster Payment"/>
    <m/>
    <n v="6466.69"/>
    <n v="19689.48"/>
    <n v="-6466.69"/>
    <x v="6"/>
  </r>
  <r>
    <n v="240"/>
    <x v="0"/>
    <s v="17/12/2024"/>
    <s v="A M Ibrahim Transfer"/>
    <s v="Outward Faster Payment"/>
    <m/>
    <n v="600"/>
    <n v="19089.48"/>
    <n v="-600"/>
    <x v="1"/>
  </r>
  <r>
    <n v="241"/>
    <x v="0"/>
    <s v="20/12/2024"/>
    <s v="SPECSAVERS FINANCE-600920-71021000 858442-SPECSAVERS FINANCE-&amp;--&amp;-SPECSAVERS SEP COM"/>
    <s v="BACS Payment Received"/>
    <n v="1525"/>
    <m/>
    <n v="20614.48"/>
    <n v="1525"/>
    <x v="0"/>
  </r>
  <r>
    <n v="242"/>
    <x v="0"/>
    <s v="20/12/2024"/>
    <s v="A M Ibrahim Transfer"/>
    <s v="Outward Faster Payment"/>
    <m/>
    <n v="600"/>
    <n v="20014.48"/>
    <n v="-600"/>
    <x v="1"/>
  </r>
  <r>
    <n v="243"/>
    <x v="0"/>
    <s v="23/12/2024"/>
    <s v="A M Ibrahim Transfer"/>
    <s v="Outward Faster Payment"/>
    <m/>
    <n v="1000"/>
    <n v="19014.48"/>
    <n v="-1000"/>
    <x v="1"/>
  </r>
  <r>
    <n v="244"/>
    <x v="0"/>
    <s v="24/12/2024"/>
    <s v="A M Ibrahim Salary"/>
    <s v="Outward Faster Payment"/>
    <m/>
    <n v="1047"/>
    <n v="17967.48"/>
    <n v="-1047"/>
    <x v="3"/>
  </r>
  <r>
    <n v="245"/>
    <x v="0"/>
    <s v="24/12/2024"/>
    <s v="A M Ibrahim Transfer"/>
    <s v="Outward Faster Payment"/>
    <m/>
    <n v="900"/>
    <n v="17067.48"/>
    <n v="-900"/>
    <x v="1"/>
  </r>
  <r>
    <n v="246"/>
    <x v="0"/>
    <s v="27/12/2024"/>
    <s v="SPECSAVERS FINANCE-600920-71021000 858442-SPECSAVERS FINANCE-&amp;--&amp;-SPECSAVERS SEP COM"/>
    <s v="BACS Payment Received"/>
    <n v="375"/>
    <m/>
    <n v="17442.48"/>
    <n v="375"/>
    <x v="0"/>
  </r>
  <r>
    <n v="247"/>
    <x v="0"/>
    <s v="31/12/2024"/>
    <s v="SPECSAVERS FINANCE-600920-71021000 858442-SPECSAVERS FINANCE-&amp;--&amp;-SPECSAVERS SEP COM"/>
    <s v="BACS Payment Received"/>
    <n v="750"/>
    <m/>
    <n v="18192.48"/>
    <n v="750"/>
    <x v="0"/>
  </r>
  <r>
    <n v="248"/>
    <x v="0"/>
    <s v="02/01/2025"/>
    <s v="SPECSAVERS FINANCE-600920-71021000 858442-SPECSAVERS FINANCE-&amp;--&amp;-SPECSAVERS SEP COM"/>
    <s v="BACS Payment Received"/>
    <n v="566.5"/>
    <m/>
    <n v="18758.98"/>
    <n v="566.5"/>
    <x v="0"/>
  </r>
  <r>
    <n v="249"/>
    <x v="0"/>
    <s v="03/01/2025"/>
    <s v="A M Ibrahim Transfer"/>
    <s v="Outward Faster Payment"/>
    <m/>
    <n v="500"/>
    <n v="18258.98"/>
    <n v="-500"/>
    <x v="1"/>
  </r>
  <r>
    <n v="250"/>
    <x v="0"/>
    <s v="06/01/2025"/>
    <s v="SPECSAVERS FINANCE-600920-71021000 858442-SPECSAVERS FINANCE-&amp;--&amp;-SPECSAVERS SEP COM"/>
    <s v="BACS Payment Received"/>
    <n v="400"/>
    <m/>
    <n v="18658.98"/>
    <n v="400"/>
    <x v="0"/>
  </r>
  <r>
    <n v="251"/>
    <x v="0"/>
    <s v="08/01/2025"/>
    <s v="SPECSAVERS FINANCE-600920-71021000 858442-SPECSAVERS FINANCE-&amp;--&amp;-SPECSAVERS SEP COM"/>
    <s v="BACS Payment Received"/>
    <n v="800"/>
    <m/>
    <n v="19458.98"/>
    <n v="800"/>
    <x v="0"/>
  </r>
  <r>
    <n v="252"/>
    <x v="0"/>
    <s v="08/01/2025"/>
    <s v="HMRC Cumbernauld 120PK02422677"/>
    <s v="Outward Faster Payment"/>
    <m/>
    <n v="45.19"/>
    <n v="19413.79"/>
    <n v="-45.19"/>
    <x v="2"/>
  </r>
  <r>
    <n v="253"/>
    <x v="0"/>
    <s v="10/01/2025"/>
    <s v="A M Ibrahim Transfer"/>
    <s v="Outward Faster Payment"/>
    <m/>
    <n v="410"/>
    <n v="19003.79"/>
    <n v="-410"/>
    <x v="1"/>
  </r>
  <r>
    <n v="254"/>
    <x v="0"/>
    <s v="10/01/2025"/>
    <s v="A M Ibrahim Transfer"/>
    <s v="Outward Faster Payment"/>
    <m/>
    <n v="1000"/>
    <n v="18003.79"/>
    <n v="-1000"/>
    <x v="1"/>
  </r>
  <r>
    <n v="255"/>
    <x v="0"/>
    <s v="13/01/2025"/>
    <s v="A M Ibrahim Transfer"/>
    <s v="Outward Faster Payment"/>
    <m/>
    <n v="500"/>
    <n v="17503.79"/>
    <n v="-500"/>
    <x v="1"/>
  </r>
  <r>
    <n v="256"/>
    <x v="0"/>
    <s v="14/01/2025"/>
    <s v="A M Ibrahim Transfer"/>
    <s v="Outward Faster Payment"/>
    <m/>
    <n v="500"/>
    <n v="17003.79"/>
    <n v="-500"/>
    <x v="1"/>
  </r>
  <r>
    <n v="257"/>
    <x v="0"/>
    <s v="15/01/2025"/>
    <s v="SPECSAVERS FINANCE-600920-71021000 858442-SPECSAVERS FINANCE-&amp;--&amp;-SPECSAVERS SEP COM"/>
    <s v="BACS Payment Received"/>
    <n v="750"/>
    <m/>
    <n v="17753.79"/>
    <n v="750"/>
    <x v="0"/>
  </r>
  <r>
    <n v="258"/>
    <x v="0"/>
    <s v="17/01/2025"/>
    <s v="A M Ibrahim Transfer"/>
    <s v="Outward Faster Payment"/>
    <m/>
    <n v="1500"/>
    <n v="16253.79"/>
    <n v="-1500"/>
    <x v="1"/>
  </r>
  <r>
    <n v="259"/>
    <x v="0"/>
    <s v="20/01/2025"/>
    <s v="A M Ibrahim Transfer"/>
    <s v="Outward Faster Payment"/>
    <m/>
    <n v="100"/>
    <n v="16153.79"/>
    <n v="-100"/>
    <x v="1"/>
  </r>
  <r>
    <n v="260"/>
    <x v="0"/>
    <s v="21/01/2025"/>
    <s v="A M Ibrahim Transfer"/>
    <s v="Outward Faster Payment"/>
    <m/>
    <n v="100"/>
    <n v="16053.79"/>
    <n v="-100"/>
    <x v="1"/>
  </r>
  <r>
    <n v="261"/>
    <x v="0"/>
    <s v="22/01/2025"/>
    <s v="SPECSAVERS FINANCE-600920-71021000 858442-SPECSAVERS FINANCE-&amp;--&amp;-SPECSAVERS SEP COM"/>
    <s v="BACS Payment Received"/>
    <n v="2000"/>
    <m/>
    <n v="18053.79"/>
    <n v="2000"/>
    <x v="0"/>
  </r>
  <r>
    <n v="262"/>
    <x v="0"/>
    <s v="24/01/2025"/>
    <s v="SPECSAVERS FINANCE-600920-71021000 858442-SPECSAVERS FINANCE-&amp;--&amp;-SPECSAVERS SEP COM"/>
    <s v="BACS Payment Received"/>
    <n v="750"/>
    <m/>
    <n v="18803.79"/>
    <n v="750"/>
    <x v="0"/>
  </r>
  <r>
    <n v="263"/>
    <x v="0"/>
    <s v="24/01/2025"/>
    <s v="A M Ibrahim Transfer"/>
    <s v="Outward Faster Payment"/>
    <m/>
    <n v="2500"/>
    <n v="16303.79"/>
    <n v="-2500"/>
    <x v="1"/>
  </r>
  <r>
    <n v="264"/>
    <x v="0"/>
    <s v="27/01/2025"/>
    <s v="A M Ibrahim Salary"/>
    <s v="Outward Faster Payment"/>
    <m/>
    <n v="1047"/>
    <n v="15256.79"/>
    <n v="-1047"/>
    <x v="3"/>
  </r>
  <r>
    <n v="265"/>
    <x v="0"/>
    <s v="31/01/2025"/>
    <s v="SPECSAVERS FINANCE-600920-71021000 858442-SPECSAVERS FINANCE-&amp;--&amp;-SPECSAVERS SEP COM"/>
    <s v="BACS Payment Received"/>
    <n v="750"/>
    <m/>
    <n v="16006.79"/>
    <n v="750"/>
    <x v="0"/>
  </r>
  <r>
    <n v="266"/>
    <x v="0"/>
    <s v="05/02/2025"/>
    <s v="SPECSAVERS FINANCE-600920-71021000 858442-SPECSAVERS FINANCE-&amp;--&amp;-SPECSAVERS SEP COM"/>
    <s v="BACS Payment Received"/>
    <n v="1150"/>
    <m/>
    <n v="17156.79"/>
    <n v="1150"/>
    <x v="0"/>
  </r>
  <r>
    <n v="267"/>
    <x v="0"/>
    <s v="07/02/2025"/>
    <s v="SPECSAVERS FINANCE-600920-71021000 858442-SPECSAVERS FINANCE-&amp;--&amp;-SPECSAVERS SEP COM"/>
    <s v="BACS Payment Received"/>
    <n v="1650"/>
    <m/>
    <n v="18806.79"/>
    <n v="1650"/>
    <x v="0"/>
  </r>
  <r>
    <n v="268"/>
    <x v="0"/>
    <s v="07/02/2025"/>
    <s v="A M Ibrahim Transfer"/>
    <s v="Outward Faster Payment"/>
    <m/>
    <n v="200"/>
    <n v="18606.79"/>
    <n v="-200"/>
    <x v="1"/>
  </r>
  <r>
    <n v="269"/>
    <x v="0"/>
    <s v="11/02/2025"/>
    <s v="A M Ibrahim Transfer"/>
    <s v="Outward Faster Payment"/>
    <m/>
    <n v="600"/>
    <n v="18006.79"/>
    <n v="-600"/>
    <x v="1"/>
  </r>
  <r>
    <n v="270"/>
    <x v="0"/>
    <s v="14/02/2025"/>
    <s v="SPECSAVERS FINANCE-600920-71021000 858442-SPECSAVERS FINANCE-&amp;--&amp;-SPECSAVERS SEP COM"/>
    <s v="BACS Payment Received"/>
    <n v="825"/>
    <m/>
    <n v="18831.79"/>
    <n v="825"/>
    <x v="0"/>
  </r>
  <r>
    <n v="271"/>
    <x v="0"/>
    <s v="14/02/2025"/>
    <s v="A M Ibrahim Transfer"/>
    <s v="Outward Faster Payment"/>
    <m/>
    <n v="200"/>
    <n v="18631.79"/>
    <n v="-200"/>
    <x v="1"/>
  </r>
  <r>
    <n v="272"/>
    <x v="0"/>
    <s v="17/02/2025"/>
    <s v="A M Ibrahim Transfer"/>
    <s v="Outward Faster Payment"/>
    <m/>
    <n v="35"/>
    <n v="18596.79"/>
    <n v="-35"/>
    <x v="1"/>
  </r>
  <r>
    <n v="273"/>
    <x v="0"/>
    <s v="17/02/2025"/>
    <s v="A M Ibrahim Transfer"/>
    <s v="Outward Faster Payment"/>
    <m/>
    <n v="166"/>
    <n v="18430.79"/>
    <n v="-166"/>
    <x v="1"/>
  </r>
  <r>
    <n v="274"/>
    <x v="0"/>
    <s v="19/02/2025"/>
    <s v="A M Ibrahim Transfer"/>
    <s v="Outward Faster Payment"/>
    <m/>
    <n v="200"/>
    <n v="18230.79"/>
    <n v="-200"/>
    <x v="1"/>
  </r>
  <r>
    <n v="275"/>
    <x v="0"/>
    <s v="19/02/2025"/>
    <s v="A M Ibrahim Transfer"/>
    <s v="Outward Faster Payment"/>
    <m/>
    <n v="800"/>
    <n v="17430.79"/>
    <n v="-800"/>
    <x v="1"/>
  </r>
  <r>
    <n v="276"/>
    <x v="0"/>
    <s v="20/02/2025"/>
    <s v="SPECSAVERS FINANCE-600920-71021000 858442-SPECSAVERS FINANCE-&amp;--&amp;-SPECSAVERS SEP COM"/>
    <s v="BACS Payment Received"/>
    <n v="350"/>
    <m/>
    <n v="17780.79"/>
    <n v="350"/>
    <x v="0"/>
  </r>
  <r>
    <n v="277"/>
    <x v="0"/>
    <s v="20/02/2025"/>
    <s v="A M Ibrahim Transfer"/>
    <s v="Outward Faster Payment"/>
    <m/>
    <n v="30"/>
    <n v="17750.79"/>
    <n v="-30"/>
    <x v="1"/>
  </r>
  <r>
    <n v="278"/>
    <x v="0"/>
    <s v="21/02/2025"/>
    <s v="SPECSAVERS FINANCE-600920-71021000 858442-SPECSAVERS FINANCE-&amp;--&amp;-SPECSAVERS SEP COM"/>
    <s v="BACS Payment Received"/>
    <n v="400"/>
    <m/>
    <n v="18150.79"/>
    <n v="400"/>
    <x v="0"/>
  </r>
  <r>
    <n v="279"/>
    <x v="0"/>
    <s v="21/02/2025"/>
    <s v="A M Ibrahim Transfer"/>
    <s v="Outward Faster Payment"/>
    <m/>
    <n v="150"/>
    <n v="18000.79"/>
    <n v="-150"/>
    <x v="1"/>
  </r>
  <r>
    <n v="280"/>
    <x v="0"/>
    <s v="21/02/2025"/>
    <s v="A M Ibrahim Transfer"/>
    <s v="Outward Faster Payment"/>
    <m/>
    <n v="2500"/>
    <n v="15500.79"/>
    <n v="-2500"/>
    <x v="1"/>
  </r>
  <r>
    <n v="281"/>
    <x v="0"/>
    <s v="26/02/2025"/>
    <s v="SPECSAVERS FINANCE-600920-71021000 858442-SPECSAVERS FINANCE-&amp;--&amp;-SPECSAVERS SEP COM"/>
    <s v="BACS Payment Received"/>
    <n v="1175"/>
    <m/>
    <n v="16675.79"/>
    <n v="1175"/>
    <x v="0"/>
  </r>
  <r>
    <n v="282"/>
    <x v="0"/>
    <s v="28/02/2025"/>
    <s v="SPECSAVERS FINANCE-600920-71021000 858442-SPECSAVERS FINANCE-&amp;--&amp;-SPECSAVERS SEP COM"/>
    <s v="BACS Payment Received"/>
    <n v="775"/>
    <m/>
    <n v="17450.79"/>
    <n v="775"/>
    <x v="0"/>
  </r>
  <r>
    <n v="283"/>
    <x v="0"/>
    <s v="28/02/2025"/>
    <s v="A M Ibrahim Salary"/>
    <s v="Outward Faster Payment"/>
    <m/>
    <n v="1047"/>
    <n v="16403.79"/>
    <n v="-1047"/>
    <x v="3"/>
  </r>
  <r>
    <n v="284"/>
    <x v="0"/>
    <s v="28/02/2025"/>
    <s v="GOGGLE BOX LTD LOCUM"/>
    <s v="Inward Payment"/>
    <n v="375"/>
    <m/>
    <n v="16778.79"/>
    <n v="375"/>
    <x v="0"/>
  </r>
  <r>
    <n v="285"/>
    <x v="0"/>
    <s v="05/03/2025"/>
    <s v="SPECSAVERS FINANCE-600920-71021000 858442-SPECSAVERS FINANCE-&amp;--&amp;-SPECSAVERS SEP COM"/>
    <s v="BACS Payment Received"/>
    <n v="350"/>
    <m/>
    <n v="17128.79"/>
    <n v="350"/>
    <x v="0"/>
  </r>
  <r>
    <n v="286"/>
    <x v="0"/>
    <s v="07/03/2025"/>
    <s v="SPECSAVERS FINANCE-600920-71021000 858442-SPECSAVERS FINANCE-&amp;--&amp;-SPECSAVERS SEP COM"/>
    <s v="BACS Payment Received"/>
    <n v="1475"/>
    <m/>
    <n v="18603.79"/>
    <n v="1475"/>
    <x v="0"/>
  </r>
  <r>
    <n v="287"/>
    <x v="0"/>
    <s v="12/03/2025"/>
    <s v="SPECSAVERS FINANCE-600920-71021000 858442-SPECSAVERS FINANCE-&amp;--&amp;-SPECSAVERS SEP COM"/>
    <s v="BACS Payment Received"/>
    <n v="1250"/>
    <m/>
    <n v="19853.79"/>
    <n v="1250"/>
    <x v="0"/>
  </r>
  <r>
    <n v="288"/>
    <x v="0"/>
    <s v="12/03/2025"/>
    <s v="A M Ibrahim Transfer"/>
    <s v="Outward Faster Payment"/>
    <m/>
    <n v="500"/>
    <n v="19353.79"/>
    <n v="-500"/>
    <x v="1"/>
  </r>
  <r>
    <n v="289"/>
    <x v="0"/>
    <s v="13/03/2025"/>
    <s v="A M Ibrahim Transfer"/>
    <s v="Outward Faster Payment"/>
    <m/>
    <n v="300"/>
    <n v="19053.79"/>
    <n v="-300"/>
    <x v="1"/>
  </r>
  <r>
    <n v="290"/>
    <x v="0"/>
    <s v="14/03/2025"/>
    <s v="SPECSAVERS FINANCE-600920-71021000 858442-SPECSAVERS FINANCE-&amp;--&amp;-SPECSAVERS SEP COM"/>
    <s v="BACS Payment Received"/>
    <n v="775"/>
    <m/>
    <n v="19828.79"/>
    <n v="775"/>
    <x v="0"/>
  </r>
  <r>
    <n v="291"/>
    <x v="0"/>
    <s v="17/03/2025"/>
    <s v="A M Ibrahim Transfer"/>
    <s v="Outward Faster Payment"/>
    <m/>
    <n v="300"/>
    <n v="19528.79"/>
    <n v="-300"/>
    <x v="1"/>
  </r>
  <r>
    <n v="292"/>
    <x v="0"/>
    <s v="19/03/2025"/>
    <s v="SPECSAVERS FINANCE-600920-71021000 858442-SPECSAVERS FINANCE-&amp;--&amp;-SPECSAVERS SEP COM"/>
    <s v="BACS Payment Received"/>
    <n v="1225"/>
    <m/>
    <n v="20753.79"/>
    <n v="1225"/>
    <x v="0"/>
  </r>
  <r>
    <n v="293"/>
    <x v="0"/>
    <s v="21/03/2025"/>
    <s v="SPECSAVERS FINANCE-600920-71021000 858442-SPECSAVERS FINANCE-&amp;--&amp;-SPECSAVERS SEP COM"/>
    <s v="BACS Payment Received"/>
    <n v="750"/>
    <m/>
    <n v="21503.79"/>
    <n v="750"/>
    <x v="0"/>
  </r>
  <r>
    <n v="294"/>
    <x v="0"/>
    <s v="21/03/2025"/>
    <s v="A M Ibrahim Transfer"/>
    <s v="Outward Faster Payment"/>
    <m/>
    <n v="500"/>
    <n v="21003.79"/>
    <n v="-500"/>
    <x v="1"/>
  </r>
  <r>
    <n v="295"/>
    <x v="0"/>
    <s v="26/03/2025"/>
    <s v="SPECSAVERS FINANCE-600920-71021000 858442-SPECSAVERS FINANCE-&amp;--&amp;-SPECSAVERS SEP COM"/>
    <s v="BACS Payment Received"/>
    <n v="1225"/>
    <m/>
    <n v="22228.79"/>
    <n v="1225"/>
    <x v="0"/>
  </r>
  <r>
    <n v="296"/>
    <x v="0"/>
    <s v="28/03/2025"/>
    <s v="SPECSAVERS FINANCE-600920-71021000 858442-SPECSAVERS FINANCE-&amp;--&amp;-SPECSAVERS SEP COM"/>
    <s v="BACS Payment Received"/>
    <n v="800"/>
    <m/>
    <n v="23028.79"/>
    <n v="800"/>
    <x v="0"/>
  </r>
  <r>
    <n v="297"/>
    <x v="0"/>
    <s v="28/03/2025"/>
    <s v="A M Ibrahim personal"/>
    <s v="Outward Faster Payment"/>
    <m/>
    <n v="2500"/>
    <n v="20528.79"/>
    <n v="-2500"/>
    <x v="1"/>
  </r>
  <r>
    <n v="298"/>
    <x v="0"/>
    <s v="28/03/2025"/>
    <s v="A M Ibrahim Salary"/>
    <s v="Outward Faster Payment"/>
    <m/>
    <n v="528"/>
    <n v="20000.79"/>
    <n v="-528"/>
    <x v="3"/>
  </r>
  <r>
    <n v="299"/>
    <x v="0"/>
    <s v="28/03/2025"/>
    <s v="A M Ibrahim Salary"/>
    <s v="Outward Faster Payment"/>
    <m/>
    <n v="1047"/>
    <n v="18953.79"/>
    <n v="-1047"/>
    <x v="3"/>
  </r>
  <r>
    <n v="300"/>
    <x v="0"/>
    <s v="31/03/2025"/>
    <s v="A M Ibrahim Transfer"/>
    <s v="Outward Faster Payment"/>
    <m/>
    <n v="500"/>
    <n v="18453.79"/>
    <n v="-50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3" applyNumberFormats="0" applyBorderFormats="0" applyFontFormats="0" applyPatternFormats="0" applyAlignmentFormats="0" applyWidthHeightFormats="1" dataCaption="Values" updatedVersion="6" minRefreshableVersion="3" useAutoFormatting="1" colGrandTotals="0" itemPrintTitles="1" createdVersion="8" indent="0" outline="1" outlineData="1" multipleFieldFilters="0">
  <location ref="A3:B12" firstHeaderRow="1" firstDataRow="2" firstDataCol="1"/>
  <pivotFields count="10">
    <pivotField numFmtId="49" showAll="0"/>
    <pivotField axis="axisCol" showAll="0">
      <items count="3">
        <item m="1"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numFmtId="43" showAll="0"/>
    <pivotField axis="axisRow" showAll="0">
      <items count="8">
        <item x="4"/>
        <item x="1"/>
        <item x="5"/>
        <item x="2"/>
        <item x="6"/>
        <item x="0"/>
        <item x="3"/>
        <item t="default"/>
      </items>
    </pivotField>
  </pivotFields>
  <rowFields count="1">
    <field x="9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"/>
  </colFields>
  <colItems count="1">
    <i>
      <x v="1"/>
    </i>
  </colItems>
  <dataFields count="1">
    <dataField name="Sum of Net" fld="8" baseField="9" baseItem="0" numFmtId="164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81"/>
  <sheetViews>
    <sheetView showGridLines="0" workbookViewId="0">
      <selection activeCell="C2" sqref="C2"/>
    </sheetView>
  </sheetViews>
  <sheetFormatPr defaultColWidth="8.28515625" defaultRowHeight="19.899999999999999" customHeight="1"/>
  <cols>
    <col min="1" max="2" width="6.85546875" style="1" customWidth="1"/>
    <col min="3" max="3" width="10.140625" style="1" customWidth="1"/>
    <col min="4" max="4" width="82.42578125" style="1" customWidth="1"/>
    <col min="5" max="5" width="22.5703125" style="1" bestFit="1" customWidth="1"/>
    <col min="6" max="6" width="9.42578125" style="8" bestFit="1" customWidth="1"/>
    <col min="7" max="8" width="10.28515625" style="8" bestFit="1" customWidth="1"/>
    <col min="9" max="9" width="10.28515625" style="1" bestFit="1" customWidth="1"/>
    <col min="10" max="10" width="13.28515625" style="1" bestFit="1" customWidth="1"/>
    <col min="11" max="16384" width="8.28515625" style="1"/>
  </cols>
  <sheetData>
    <row r="1" spans="1:12" ht="20.25" customHeight="1">
      <c r="A1" s="2" t="s">
        <v>16</v>
      </c>
      <c r="B1" s="2" t="s">
        <v>176</v>
      </c>
      <c r="C1" s="2" t="s">
        <v>0</v>
      </c>
      <c r="D1" s="2" t="s">
        <v>1</v>
      </c>
      <c r="E1" s="2" t="s">
        <v>2</v>
      </c>
      <c r="F1" s="6" t="s">
        <v>3</v>
      </c>
      <c r="G1" s="6" t="s">
        <v>4</v>
      </c>
      <c r="H1" s="6" t="s">
        <v>5</v>
      </c>
      <c r="I1" s="6" t="s">
        <v>17</v>
      </c>
      <c r="J1" s="6" t="s">
        <v>18</v>
      </c>
      <c r="L1" s="1" t="s">
        <v>23</v>
      </c>
    </row>
    <row r="2" spans="1:12" ht="20.25" customHeight="1">
      <c r="A2" s="30">
        <v>121</v>
      </c>
      <c r="B2" s="31" t="s">
        <v>177</v>
      </c>
      <c r="C2" s="32" t="s">
        <v>175</v>
      </c>
      <c r="D2" s="33" t="s">
        <v>9</v>
      </c>
      <c r="E2" s="34" t="s">
        <v>10</v>
      </c>
      <c r="F2" s="35">
        <v>1825</v>
      </c>
      <c r="G2" s="36"/>
      <c r="H2" s="35">
        <v>22153.37</v>
      </c>
      <c r="I2" s="37">
        <f t="shared" ref="I2:I9" si="0">F2-G2</f>
        <v>1825</v>
      </c>
      <c r="J2" s="38" t="s">
        <v>19</v>
      </c>
    </row>
    <row r="3" spans="1:12" ht="20.100000000000001" customHeight="1">
      <c r="A3" s="3">
        <v>122</v>
      </c>
      <c r="B3" s="27" t="s">
        <v>177</v>
      </c>
      <c r="C3" s="3" t="s">
        <v>174</v>
      </c>
      <c r="D3" s="4" t="s">
        <v>9</v>
      </c>
      <c r="E3" s="5" t="s">
        <v>10</v>
      </c>
      <c r="F3" s="24">
        <v>1450</v>
      </c>
      <c r="G3" s="23"/>
      <c r="H3" s="24">
        <v>23603.37</v>
      </c>
      <c r="I3" s="9">
        <f t="shared" si="0"/>
        <v>1450</v>
      </c>
      <c r="J3" s="1" t="s">
        <v>19</v>
      </c>
    </row>
    <row r="4" spans="1:12" ht="20.100000000000001" customHeight="1">
      <c r="A4" s="3">
        <v>123</v>
      </c>
      <c r="B4" s="27" t="s">
        <v>177</v>
      </c>
      <c r="C4" s="3" t="s">
        <v>173</v>
      </c>
      <c r="D4" s="4" t="s">
        <v>6</v>
      </c>
      <c r="E4" s="5" t="s">
        <v>7</v>
      </c>
      <c r="F4" s="23"/>
      <c r="G4" s="24">
        <v>600</v>
      </c>
      <c r="H4" s="24">
        <v>23003.37</v>
      </c>
      <c r="I4" s="9">
        <f t="shared" si="0"/>
        <v>-600</v>
      </c>
      <c r="J4" s="1" t="s">
        <v>22</v>
      </c>
    </row>
    <row r="5" spans="1:12" ht="20.100000000000001" customHeight="1">
      <c r="A5" s="3">
        <v>124</v>
      </c>
      <c r="B5" s="27" t="s">
        <v>177</v>
      </c>
      <c r="C5" s="3" t="s">
        <v>172</v>
      </c>
      <c r="D5" s="4" t="s">
        <v>6</v>
      </c>
      <c r="E5" s="5" t="s">
        <v>7</v>
      </c>
      <c r="F5" s="23"/>
      <c r="G5" s="24">
        <v>350</v>
      </c>
      <c r="H5" s="24">
        <v>22653.37</v>
      </c>
      <c r="I5" s="9">
        <f t="shared" si="0"/>
        <v>-350</v>
      </c>
      <c r="J5" s="1" t="s">
        <v>22</v>
      </c>
    </row>
    <row r="6" spans="1:12" ht="20.100000000000001" customHeight="1">
      <c r="A6" s="3">
        <v>125</v>
      </c>
      <c r="B6" s="27" t="s">
        <v>177</v>
      </c>
      <c r="C6" s="3" t="s">
        <v>171</v>
      </c>
      <c r="D6" s="4" t="s">
        <v>9</v>
      </c>
      <c r="E6" s="5" t="s">
        <v>10</v>
      </c>
      <c r="F6" s="24">
        <v>750</v>
      </c>
      <c r="G6" s="23"/>
      <c r="H6" s="24">
        <v>23403.37</v>
      </c>
      <c r="I6" s="9">
        <f t="shared" si="0"/>
        <v>750</v>
      </c>
      <c r="J6" s="1" t="s">
        <v>19</v>
      </c>
    </row>
    <row r="7" spans="1:12" ht="20.100000000000001" customHeight="1">
      <c r="A7" s="3">
        <v>126</v>
      </c>
      <c r="B7" s="27" t="s">
        <v>177</v>
      </c>
      <c r="C7" s="3" t="s">
        <v>170</v>
      </c>
      <c r="D7" s="4" t="s">
        <v>6</v>
      </c>
      <c r="E7" s="5" t="s">
        <v>7</v>
      </c>
      <c r="F7" s="23"/>
      <c r="G7" s="24">
        <v>200</v>
      </c>
      <c r="H7" s="24">
        <v>23203.37</v>
      </c>
      <c r="I7" s="9">
        <f t="shared" si="0"/>
        <v>-200</v>
      </c>
      <c r="J7" s="1" t="s">
        <v>22</v>
      </c>
    </row>
    <row r="8" spans="1:12" ht="20.100000000000001" customHeight="1">
      <c r="A8" s="3">
        <v>127</v>
      </c>
      <c r="B8" s="27" t="s">
        <v>177</v>
      </c>
      <c r="C8" s="3" t="s">
        <v>170</v>
      </c>
      <c r="D8" s="4" t="s">
        <v>12</v>
      </c>
      <c r="E8" s="5" t="s">
        <v>7</v>
      </c>
      <c r="F8" s="23"/>
      <c r="G8" s="24">
        <v>119.85</v>
      </c>
      <c r="H8" s="24">
        <v>23083.52</v>
      </c>
      <c r="I8" s="9">
        <f t="shared" si="0"/>
        <v>-119.85</v>
      </c>
      <c r="J8" s="1" t="s">
        <v>26</v>
      </c>
    </row>
    <row r="9" spans="1:12" ht="20.100000000000001" customHeight="1">
      <c r="A9" s="3">
        <v>128</v>
      </c>
      <c r="B9" s="27" t="s">
        <v>177</v>
      </c>
      <c r="C9" s="3" t="s">
        <v>170</v>
      </c>
      <c r="D9" s="4" t="s">
        <v>11</v>
      </c>
      <c r="E9" s="5" t="s">
        <v>7</v>
      </c>
      <c r="F9" s="23"/>
      <c r="G9" s="24">
        <v>300</v>
      </c>
      <c r="H9" s="24">
        <v>22783.52</v>
      </c>
      <c r="I9" s="9">
        <f t="shared" si="0"/>
        <v>-300</v>
      </c>
      <c r="J9" s="1" t="s">
        <v>22</v>
      </c>
    </row>
    <row r="10" spans="1:12" ht="20.100000000000001" customHeight="1">
      <c r="A10" s="3">
        <v>129</v>
      </c>
      <c r="B10" s="27" t="s">
        <v>177</v>
      </c>
      <c r="C10" s="3" t="s">
        <v>170</v>
      </c>
      <c r="D10" s="4" t="s">
        <v>6</v>
      </c>
      <c r="E10" s="5" t="s">
        <v>7</v>
      </c>
      <c r="F10" s="23"/>
      <c r="G10" s="24">
        <v>2500</v>
      </c>
      <c r="H10" s="24">
        <v>20283.52</v>
      </c>
      <c r="I10" s="9">
        <f t="shared" ref="I10:I73" si="1">F10-G10</f>
        <v>-2500</v>
      </c>
      <c r="J10" s="1" t="s">
        <v>22</v>
      </c>
    </row>
    <row r="11" spans="1:12" ht="20.100000000000001" customHeight="1">
      <c r="A11" s="3">
        <v>130</v>
      </c>
      <c r="B11" s="27" t="s">
        <v>177</v>
      </c>
      <c r="C11" s="3" t="s">
        <v>169</v>
      </c>
      <c r="D11" s="4" t="s">
        <v>9</v>
      </c>
      <c r="E11" s="5" t="s">
        <v>10</v>
      </c>
      <c r="F11" s="24">
        <v>2100</v>
      </c>
      <c r="G11" s="23"/>
      <c r="H11" s="24">
        <v>22383.52</v>
      </c>
      <c r="I11" s="9">
        <f t="shared" si="1"/>
        <v>2100</v>
      </c>
      <c r="J11" s="1" t="s">
        <v>19</v>
      </c>
    </row>
    <row r="12" spans="1:12" ht="20.100000000000001" customHeight="1">
      <c r="A12" s="3">
        <v>131</v>
      </c>
      <c r="B12" s="27" t="s">
        <v>177</v>
      </c>
      <c r="C12" s="3" t="s">
        <v>168</v>
      </c>
      <c r="D12" s="4" t="s">
        <v>9</v>
      </c>
      <c r="E12" s="5" t="s">
        <v>10</v>
      </c>
      <c r="F12" s="24">
        <v>750</v>
      </c>
      <c r="G12" s="23"/>
      <c r="H12" s="24">
        <v>23133.52</v>
      </c>
      <c r="I12" s="9">
        <f t="shared" si="1"/>
        <v>750</v>
      </c>
      <c r="J12" s="1" t="s">
        <v>19</v>
      </c>
    </row>
    <row r="13" spans="1:12" ht="20.100000000000001" customHeight="1">
      <c r="A13" s="3">
        <v>132</v>
      </c>
      <c r="B13" s="27" t="s">
        <v>177</v>
      </c>
      <c r="C13" s="3" t="s">
        <v>168</v>
      </c>
      <c r="D13" s="4" t="s">
        <v>11</v>
      </c>
      <c r="E13" s="5" t="s">
        <v>7</v>
      </c>
      <c r="F13" s="23"/>
      <c r="G13" s="24">
        <v>2500</v>
      </c>
      <c r="H13" s="24">
        <v>20633.52</v>
      </c>
      <c r="I13" s="9">
        <f t="shared" si="1"/>
        <v>-2500</v>
      </c>
      <c r="J13" s="1" t="s">
        <v>22</v>
      </c>
    </row>
    <row r="14" spans="1:12" ht="20.100000000000001" customHeight="1">
      <c r="A14" s="3">
        <v>133</v>
      </c>
      <c r="B14" s="27" t="s">
        <v>177</v>
      </c>
      <c r="C14" s="3" t="s">
        <v>168</v>
      </c>
      <c r="D14" s="4" t="s">
        <v>8</v>
      </c>
      <c r="E14" s="5" t="s">
        <v>7</v>
      </c>
      <c r="F14" s="23"/>
      <c r="G14" s="24">
        <v>1047</v>
      </c>
      <c r="H14" s="24">
        <v>19586.52</v>
      </c>
      <c r="I14" s="9">
        <f t="shared" si="1"/>
        <v>-1047</v>
      </c>
      <c r="J14" s="1" t="s">
        <v>21</v>
      </c>
    </row>
    <row r="15" spans="1:12" ht="20.100000000000001" customHeight="1">
      <c r="A15" s="3">
        <v>134</v>
      </c>
      <c r="B15" s="27" t="s">
        <v>177</v>
      </c>
      <c r="C15" s="3" t="s">
        <v>167</v>
      </c>
      <c r="D15" s="4" t="s">
        <v>9</v>
      </c>
      <c r="E15" s="5" t="s">
        <v>10</v>
      </c>
      <c r="F15" s="24">
        <v>1500</v>
      </c>
      <c r="G15" s="23"/>
      <c r="H15" s="24">
        <v>21086.52</v>
      </c>
      <c r="I15" s="9">
        <f t="shared" si="1"/>
        <v>1500</v>
      </c>
      <c r="J15" s="1" t="s">
        <v>19</v>
      </c>
    </row>
    <row r="16" spans="1:12" ht="20.100000000000001" customHeight="1">
      <c r="A16" s="3">
        <v>135</v>
      </c>
      <c r="B16" s="27" t="s">
        <v>177</v>
      </c>
      <c r="C16" s="3" t="s">
        <v>166</v>
      </c>
      <c r="D16" s="4" t="s">
        <v>9</v>
      </c>
      <c r="E16" s="5" t="s">
        <v>10</v>
      </c>
      <c r="F16" s="24">
        <v>615</v>
      </c>
      <c r="G16" s="23"/>
      <c r="H16" s="24">
        <v>21701.52</v>
      </c>
      <c r="I16" s="9">
        <f t="shared" si="1"/>
        <v>615</v>
      </c>
      <c r="J16" s="1" t="s">
        <v>19</v>
      </c>
    </row>
    <row r="17" spans="1:10" ht="20.100000000000001" customHeight="1">
      <c r="A17" s="3">
        <v>136</v>
      </c>
      <c r="B17" s="27" t="s">
        <v>177</v>
      </c>
      <c r="C17" s="3" t="s">
        <v>166</v>
      </c>
      <c r="D17" s="4" t="s">
        <v>6</v>
      </c>
      <c r="E17" s="5" t="s">
        <v>7</v>
      </c>
      <c r="F17" s="23"/>
      <c r="G17" s="24">
        <v>700</v>
      </c>
      <c r="H17" s="24">
        <v>21001.52</v>
      </c>
      <c r="I17" s="9">
        <f t="shared" si="1"/>
        <v>-700</v>
      </c>
      <c r="J17" s="1" t="s">
        <v>22</v>
      </c>
    </row>
    <row r="18" spans="1:10" ht="20.100000000000001" customHeight="1">
      <c r="A18" s="3">
        <v>137</v>
      </c>
      <c r="B18" s="27" t="s">
        <v>177</v>
      </c>
      <c r="C18" s="3" t="s">
        <v>165</v>
      </c>
      <c r="D18" s="4" t="s">
        <v>9</v>
      </c>
      <c r="E18" s="5" t="s">
        <v>10</v>
      </c>
      <c r="F18" s="24">
        <v>750</v>
      </c>
      <c r="G18" s="23"/>
      <c r="H18" s="24">
        <v>21751.52</v>
      </c>
      <c r="I18" s="9">
        <f t="shared" si="1"/>
        <v>750</v>
      </c>
      <c r="J18" s="1" t="s">
        <v>19</v>
      </c>
    </row>
    <row r="19" spans="1:10" ht="20.100000000000001" customHeight="1">
      <c r="A19" s="3">
        <v>138</v>
      </c>
      <c r="B19" s="27" t="s">
        <v>177</v>
      </c>
      <c r="C19" s="3" t="s">
        <v>164</v>
      </c>
      <c r="D19" s="4" t="s">
        <v>9</v>
      </c>
      <c r="E19" s="5" t="s">
        <v>10</v>
      </c>
      <c r="F19" s="24">
        <v>3600</v>
      </c>
      <c r="G19" s="23"/>
      <c r="H19" s="24">
        <v>25351.52</v>
      </c>
      <c r="I19" s="9">
        <f t="shared" si="1"/>
        <v>3600</v>
      </c>
      <c r="J19" s="1" t="s">
        <v>19</v>
      </c>
    </row>
    <row r="20" spans="1:10" ht="20.100000000000001" customHeight="1">
      <c r="A20" s="3">
        <v>139</v>
      </c>
      <c r="B20" s="27" t="s">
        <v>177</v>
      </c>
      <c r="C20" s="3" t="s">
        <v>163</v>
      </c>
      <c r="D20" s="4" t="s">
        <v>11</v>
      </c>
      <c r="E20" s="5" t="s">
        <v>7</v>
      </c>
      <c r="F20" s="23"/>
      <c r="G20" s="24">
        <v>1000</v>
      </c>
      <c r="H20" s="24">
        <v>24351.52</v>
      </c>
      <c r="I20" s="9">
        <f t="shared" si="1"/>
        <v>-1000</v>
      </c>
      <c r="J20" s="1" t="s">
        <v>22</v>
      </c>
    </row>
    <row r="21" spans="1:10" ht="20.100000000000001" customHeight="1">
      <c r="A21" s="3">
        <v>140</v>
      </c>
      <c r="B21" s="27" t="s">
        <v>177</v>
      </c>
      <c r="C21" s="3" t="s">
        <v>162</v>
      </c>
      <c r="D21" s="4" t="s">
        <v>11</v>
      </c>
      <c r="E21" s="5" t="s">
        <v>7</v>
      </c>
      <c r="F21" s="23"/>
      <c r="G21" s="24">
        <v>1000</v>
      </c>
      <c r="H21" s="24">
        <v>23351.52</v>
      </c>
      <c r="I21" s="9">
        <f t="shared" si="1"/>
        <v>-1000</v>
      </c>
      <c r="J21" s="1" t="s">
        <v>22</v>
      </c>
    </row>
    <row r="22" spans="1:10" ht="20.100000000000001" customHeight="1">
      <c r="A22" s="3">
        <v>141</v>
      </c>
      <c r="B22" s="27" t="s">
        <v>177</v>
      </c>
      <c r="C22" s="3" t="s">
        <v>161</v>
      </c>
      <c r="D22" s="4" t="s">
        <v>9</v>
      </c>
      <c r="E22" s="5" t="s">
        <v>10</v>
      </c>
      <c r="F22" s="24">
        <v>400</v>
      </c>
      <c r="G22" s="23"/>
      <c r="H22" s="24">
        <v>23751.52</v>
      </c>
      <c r="I22" s="9">
        <f t="shared" si="1"/>
        <v>400</v>
      </c>
      <c r="J22" s="1" t="s">
        <v>19</v>
      </c>
    </row>
    <row r="23" spans="1:10" ht="20.100000000000001" customHeight="1">
      <c r="A23" s="3">
        <v>142</v>
      </c>
      <c r="B23" s="27" t="s">
        <v>177</v>
      </c>
      <c r="C23" s="3" t="s">
        <v>160</v>
      </c>
      <c r="D23" s="4" t="s">
        <v>6</v>
      </c>
      <c r="E23" s="5" t="s">
        <v>7</v>
      </c>
      <c r="F23" s="23"/>
      <c r="G23" s="24">
        <v>2500</v>
      </c>
      <c r="H23" s="24">
        <v>21251.52</v>
      </c>
      <c r="I23" s="9">
        <f t="shared" si="1"/>
        <v>-2500</v>
      </c>
      <c r="J23" s="1" t="s">
        <v>22</v>
      </c>
    </row>
    <row r="24" spans="1:10" ht="20.100000000000001" customHeight="1">
      <c r="A24" s="3">
        <v>143</v>
      </c>
      <c r="B24" s="27" t="s">
        <v>177</v>
      </c>
      <c r="C24" s="3" t="s">
        <v>160</v>
      </c>
      <c r="D24" s="4" t="s">
        <v>6</v>
      </c>
      <c r="E24" s="5" t="s">
        <v>7</v>
      </c>
      <c r="F24" s="23"/>
      <c r="G24" s="24">
        <v>1047</v>
      </c>
      <c r="H24" s="24">
        <v>20204.52</v>
      </c>
      <c r="I24" s="9">
        <f t="shared" si="1"/>
        <v>-1047</v>
      </c>
      <c r="J24" s="1" t="s">
        <v>22</v>
      </c>
    </row>
    <row r="25" spans="1:10" ht="20.100000000000001" customHeight="1">
      <c r="A25" s="3">
        <v>144</v>
      </c>
      <c r="B25" s="27" t="s">
        <v>177</v>
      </c>
      <c r="C25" s="3" t="s">
        <v>159</v>
      </c>
      <c r="D25" s="4" t="s">
        <v>9</v>
      </c>
      <c r="E25" s="5" t="s">
        <v>10</v>
      </c>
      <c r="F25" s="24">
        <v>2850</v>
      </c>
      <c r="G25" s="23"/>
      <c r="H25" s="24">
        <v>23054.52</v>
      </c>
      <c r="I25" s="9">
        <f t="shared" si="1"/>
        <v>2850</v>
      </c>
      <c r="J25" s="1" t="s">
        <v>19</v>
      </c>
    </row>
    <row r="26" spans="1:10" ht="20.100000000000001" customHeight="1">
      <c r="A26" s="3">
        <v>145</v>
      </c>
      <c r="B26" s="27" t="s">
        <v>177</v>
      </c>
      <c r="C26" s="3" t="s">
        <v>159</v>
      </c>
      <c r="D26" s="4" t="s">
        <v>6</v>
      </c>
      <c r="E26" s="5" t="s">
        <v>7</v>
      </c>
      <c r="F26" s="23"/>
      <c r="G26" s="24">
        <v>1000</v>
      </c>
      <c r="H26" s="24">
        <v>22054.52</v>
      </c>
      <c r="I26" s="9">
        <f t="shared" si="1"/>
        <v>-1000</v>
      </c>
      <c r="J26" s="1" t="s">
        <v>22</v>
      </c>
    </row>
    <row r="27" spans="1:10" ht="20.100000000000001" customHeight="1">
      <c r="A27" s="3">
        <v>146</v>
      </c>
      <c r="B27" s="27" t="s">
        <v>177</v>
      </c>
      <c r="C27" s="3" t="s">
        <v>159</v>
      </c>
      <c r="D27" s="4" t="s">
        <v>6</v>
      </c>
      <c r="E27" s="5" t="s">
        <v>7</v>
      </c>
      <c r="F27" s="23"/>
      <c r="G27" s="24">
        <v>500</v>
      </c>
      <c r="H27" s="24">
        <v>21554.52</v>
      </c>
      <c r="I27" s="9">
        <f t="shared" si="1"/>
        <v>-500</v>
      </c>
      <c r="J27" s="1" t="s">
        <v>22</v>
      </c>
    </row>
    <row r="28" spans="1:10" ht="20.100000000000001" customHeight="1">
      <c r="A28" s="3">
        <v>147</v>
      </c>
      <c r="B28" s="27" t="s">
        <v>177</v>
      </c>
      <c r="C28" s="3" t="s">
        <v>158</v>
      </c>
      <c r="D28" s="4" t="s">
        <v>9</v>
      </c>
      <c r="E28" s="5" t="s">
        <v>10</v>
      </c>
      <c r="F28" s="24">
        <v>800</v>
      </c>
      <c r="G28" s="23"/>
      <c r="H28" s="24">
        <v>22354.52</v>
      </c>
      <c r="I28" s="9">
        <f t="shared" si="1"/>
        <v>800</v>
      </c>
      <c r="J28" s="1" t="s">
        <v>19</v>
      </c>
    </row>
    <row r="29" spans="1:10" ht="20.100000000000001" customHeight="1">
      <c r="A29" s="3">
        <v>148</v>
      </c>
      <c r="B29" s="27" t="s">
        <v>177</v>
      </c>
      <c r="C29" s="3" t="s">
        <v>157</v>
      </c>
      <c r="D29" s="4" t="s">
        <v>9</v>
      </c>
      <c r="E29" s="5" t="s">
        <v>10</v>
      </c>
      <c r="F29" s="24">
        <v>400</v>
      </c>
      <c r="G29" s="23"/>
      <c r="H29" s="24">
        <v>22754.52</v>
      </c>
      <c r="I29" s="9">
        <f t="shared" si="1"/>
        <v>400</v>
      </c>
      <c r="J29" s="1" t="s">
        <v>19</v>
      </c>
    </row>
    <row r="30" spans="1:10" ht="20.100000000000001" customHeight="1">
      <c r="A30" s="3">
        <v>149</v>
      </c>
      <c r="B30" s="27" t="s">
        <v>177</v>
      </c>
      <c r="C30" s="3" t="s">
        <v>156</v>
      </c>
      <c r="D30" s="4" t="s">
        <v>9</v>
      </c>
      <c r="E30" s="5" t="s">
        <v>10</v>
      </c>
      <c r="F30" s="24">
        <v>2150</v>
      </c>
      <c r="G30" s="23"/>
      <c r="H30" s="24">
        <v>24904.52</v>
      </c>
      <c r="I30" s="9">
        <f t="shared" si="1"/>
        <v>2150</v>
      </c>
      <c r="J30" s="1" t="s">
        <v>19</v>
      </c>
    </row>
    <row r="31" spans="1:10" ht="20.100000000000001" customHeight="1">
      <c r="A31" s="3">
        <v>150</v>
      </c>
      <c r="B31" s="27" t="s">
        <v>177</v>
      </c>
      <c r="C31" s="3" t="s">
        <v>156</v>
      </c>
      <c r="D31" s="4" t="s">
        <v>6</v>
      </c>
      <c r="E31" s="5" t="s">
        <v>7</v>
      </c>
      <c r="F31" s="23"/>
      <c r="G31" s="24">
        <v>500</v>
      </c>
      <c r="H31" s="24">
        <v>24404.52</v>
      </c>
      <c r="I31" s="9">
        <f t="shared" si="1"/>
        <v>-500</v>
      </c>
      <c r="J31" s="1" t="s">
        <v>22</v>
      </c>
    </row>
    <row r="32" spans="1:10" ht="20.100000000000001" customHeight="1">
      <c r="A32" s="3">
        <v>151</v>
      </c>
      <c r="B32" s="27" t="s">
        <v>177</v>
      </c>
      <c r="C32" s="3" t="s">
        <v>155</v>
      </c>
      <c r="D32" s="4" t="s">
        <v>9</v>
      </c>
      <c r="E32" s="5" t="s">
        <v>10</v>
      </c>
      <c r="F32" s="24">
        <v>400</v>
      </c>
      <c r="G32" s="23"/>
      <c r="H32" s="24">
        <v>24804.52</v>
      </c>
      <c r="I32" s="9">
        <f t="shared" si="1"/>
        <v>400</v>
      </c>
      <c r="J32" s="1" t="s">
        <v>19</v>
      </c>
    </row>
    <row r="33" spans="1:10" ht="20.100000000000001" customHeight="1">
      <c r="A33" s="3">
        <v>152</v>
      </c>
      <c r="B33" s="27" t="s">
        <v>177</v>
      </c>
      <c r="C33" s="3" t="s">
        <v>155</v>
      </c>
      <c r="D33" s="4" t="s">
        <v>6</v>
      </c>
      <c r="E33" s="5" t="s">
        <v>7</v>
      </c>
      <c r="F33" s="23"/>
      <c r="G33" s="24">
        <v>300</v>
      </c>
      <c r="H33" s="24">
        <v>24504.52</v>
      </c>
      <c r="I33" s="9">
        <f t="shared" si="1"/>
        <v>-300</v>
      </c>
      <c r="J33" s="1" t="s">
        <v>22</v>
      </c>
    </row>
    <row r="34" spans="1:10" ht="20.100000000000001" customHeight="1">
      <c r="A34" s="3">
        <v>153</v>
      </c>
      <c r="B34" s="27" t="s">
        <v>177</v>
      </c>
      <c r="C34" s="3" t="s">
        <v>154</v>
      </c>
      <c r="D34" s="4" t="s">
        <v>9</v>
      </c>
      <c r="E34" s="5" t="s">
        <v>10</v>
      </c>
      <c r="F34" s="24">
        <v>825</v>
      </c>
      <c r="G34" s="23"/>
      <c r="H34" s="24">
        <v>25329.52</v>
      </c>
      <c r="I34" s="9">
        <f t="shared" si="1"/>
        <v>825</v>
      </c>
      <c r="J34" s="1" t="s">
        <v>19</v>
      </c>
    </row>
    <row r="35" spans="1:10" ht="20.100000000000001" customHeight="1">
      <c r="A35" s="3">
        <v>154</v>
      </c>
      <c r="B35" s="27" t="s">
        <v>177</v>
      </c>
      <c r="C35" s="3" t="s">
        <v>153</v>
      </c>
      <c r="D35" s="4" t="s">
        <v>6</v>
      </c>
      <c r="E35" s="5" t="s">
        <v>7</v>
      </c>
      <c r="F35" s="23"/>
      <c r="G35" s="24">
        <v>329</v>
      </c>
      <c r="H35" s="24">
        <v>25000.52</v>
      </c>
      <c r="I35" s="9">
        <f t="shared" si="1"/>
        <v>-329</v>
      </c>
      <c r="J35" s="1" t="s">
        <v>22</v>
      </c>
    </row>
    <row r="36" spans="1:10" ht="20.100000000000001" customHeight="1">
      <c r="A36" s="3">
        <v>155</v>
      </c>
      <c r="B36" s="27" t="s">
        <v>177</v>
      </c>
      <c r="C36" s="3" t="s">
        <v>152</v>
      </c>
      <c r="D36" s="4" t="s">
        <v>9</v>
      </c>
      <c r="E36" s="5" t="s">
        <v>10</v>
      </c>
      <c r="F36" s="24">
        <v>400</v>
      </c>
      <c r="G36" s="23"/>
      <c r="H36" s="24">
        <v>25400.52</v>
      </c>
      <c r="I36" s="9">
        <f t="shared" si="1"/>
        <v>400</v>
      </c>
      <c r="J36" s="1" t="s">
        <v>19</v>
      </c>
    </row>
    <row r="37" spans="1:10" ht="20.100000000000001" customHeight="1">
      <c r="A37" s="3">
        <v>156</v>
      </c>
      <c r="B37" s="27" t="s">
        <v>177</v>
      </c>
      <c r="C37" s="3" t="s">
        <v>152</v>
      </c>
      <c r="D37" s="4" t="s">
        <v>11</v>
      </c>
      <c r="E37" s="5" t="s">
        <v>7</v>
      </c>
      <c r="F37" s="23"/>
      <c r="G37" s="24">
        <v>400</v>
      </c>
      <c r="H37" s="24">
        <v>25000.52</v>
      </c>
      <c r="I37" s="9">
        <f t="shared" si="1"/>
        <v>-400</v>
      </c>
      <c r="J37" s="1" t="s">
        <v>22</v>
      </c>
    </row>
    <row r="38" spans="1:10" ht="20.100000000000001" customHeight="1">
      <c r="A38" s="3">
        <v>157</v>
      </c>
      <c r="B38" s="27" t="s">
        <v>177</v>
      </c>
      <c r="C38" s="3" t="s">
        <v>151</v>
      </c>
      <c r="D38" s="4" t="s">
        <v>9</v>
      </c>
      <c r="E38" s="5" t="s">
        <v>10</v>
      </c>
      <c r="F38" s="24">
        <v>3501</v>
      </c>
      <c r="G38" s="23"/>
      <c r="H38" s="24">
        <v>28501.52</v>
      </c>
      <c r="I38" s="9">
        <f t="shared" si="1"/>
        <v>3501</v>
      </c>
      <c r="J38" s="1" t="s">
        <v>19</v>
      </c>
    </row>
    <row r="39" spans="1:10" ht="20.100000000000001" customHeight="1">
      <c r="A39" s="3">
        <v>158</v>
      </c>
      <c r="B39" s="27" t="s">
        <v>177</v>
      </c>
      <c r="C39" s="3" t="s">
        <v>151</v>
      </c>
      <c r="D39" s="4" t="s">
        <v>6</v>
      </c>
      <c r="E39" s="5" t="s">
        <v>7</v>
      </c>
      <c r="F39" s="23"/>
      <c r="G39" s="24">
        <v>500</v>
      </c>
      <c r="H39" s="24">
        <v>28001.52</v>
      </c>
      <c r="I39" s="9">
        <f t="shared" si="1"/>
        <v>-500</v>
      </c>
      <c r="J39" s="1" t="s">
        <v>22</v>
      </c>
    </row>
    <row r="40" spans="1:10" ht="20.100000000000001" customHeight="1">
      <c r="A40" s="3">
        <v>159</v>
      </c>
      <c r="B40" s="27" t="s">
        <v>177</v>
      </c>
      <c r="C40" s="3" t="s">
        <v>151</v>
      </c>
      <c r="D40" s="4" t="s">
        <v>6</v>
      </c>
      <c r="E40" s="5" t="s">
        <v>7</v>
      </c>
      <c r="F40" s="23"/>
      <c r="G40" s="24">
        <v>735</v>
      </c>
      <c r="H40" s="24">
        <v>27266.52</v>
      </c>
      <c r="I40" s="9">
        <f t="shared" si="1"/>
        <v>-735</v>
      </c>
      <c r="J40" s="1" t="s">
        <v>22</v>
      </c>
    </row>
    <row r="41" spans="1:10" ht="20.100000000000001" customHeight="1">
      <c r="A41" s="3">
        <v>160</v>
      </c>
      <c r="B41" s="27" t="s">
        <v>177</v>
      </c>
      <c r="C41" s="3" t="s">
        <v>148</v>
      </c>
      <c r="D41" s="4" t="s">
        <v>6</v>
      </c>
      <c r="E41" s="5" t="s">
        <v>7</v>
      </c>
      <c r="F41" s="23"/>
      <c r="G41" s="24">
        <v>2500</v>
      </c>
      <c r="H41" s="24">
        <v>24766.52</v>
      </c>
      <c r="I41" s="9">
        <f t="shared" si="1"/>
        <v>-2500</v>
      </c>
      <c r="J41" s="1" t="s">
        <v>22</v>
      </c>
    </row>
    <row r="42" spans="1:10" ht="20.100000000000001" customHeight="1">
      <c r="A42" s="3">
        <v>161</v>
      </c>
      <c r="B42" s="27" t="s">
        <v>177</v>
      </c>
      <c r="C42" s="3" t="s">
        <v>148</v>
      </c>
      <c r="D42" s="25"/>
      <c r="E42" s="5" t="s">
        <v>150</v>
      </c>
      <c r="F42" s="24">
        <v>2500</v>
      </c>
      <c r="G42" s="23"/>
      <c r="H42" s="24">
        <v>27266.52</v>
      </c>
      <c r="I42" s="9">
        <f t="shared" si="1"/>
        <v>2500</v>
      </c>
      <c r="J42" s="1" t="s">
        <v>19</v>
      </c>
    </row>
    <row r="43" spans="1:10" ht="20.100000000000001" customHeight="1">
      <c r="A43" s="3">
        <v>162</v>
      </c>
      <c r="B43" s="27" t="s">
        <v>177</v>
      </c>
      <c r="C43" s="3" t="s">
        <v>148</v>
      </c>
      <c r="D43" s="4" t="s">
        <v>8</v>
      </c>
      <c r="E43" s="5" t="s">
        <v>7</v>
      </c>
      <c r="F43" s="23"/>
      <c r="G43" s="24">
        <v>1047</v>
      </c>
      <c r="H43" s="24">
        <v>26219.52</v>
      </c>
      <c r="I43" s="9">
        <f t="shared" si="1"/>
        <v>-1047</v>
      </c>
      <c r="J43" s="1" t="s">
        <v>21</v>
      </c>
    </row>
    <row r="44" spans="1:10" ht="20.100000000000001" customHeight="1">
      <c r="A44" s="3">
        <v>163</v>
      </c>
      <c r="B44" s="27" t="s">
        <v>177</v>
      </c>
      <c r="C44" s="3" t="s">
        <v>148</v>
      </c>
      <c r="D44" s="25"/>
      <c r="E44" s="5" t="s">
        <v>150</v>
      </c>
      <c r="F44" s="24">
        <v>1047</v>
      </c>
      <c r="G44" s="23"/>
      <c r="H44" s="24">
        <v>27266.52</v>
      </c>
      <c r="I44" s="9">
        <f t="shared" si="1"/>
        <v>1047</v>
      </c>
      <c r="J44" s="1" t="s">
        <v>19</v>
      </c>
    </row>
    <row r="45" spans="1:10" ht="20.100000000000001" customHeight="1">
      <c r="A45" s="3">
        <v>164</v>
      </c>
      <c r="B45" s="27" t="s">
        <v>177</v>
      </c>
      <c r="C45" s="3" t="s">
        <v>148</v>
      </c>
      <c r="D45" s="4" t="s">
        <v>8</v>
      </c>
      <c r="E45" s="5" t="s">
        <v>7</v>
      </c>
      <c r="F45" s="23"/>
      <c r="G45" s="24">
        <v>1047</v>
      </c>
      <c r="H45" s="24">
        <v>26219.52</v>
      </c>
      <c r="I45" s="9">
        <f t="shared" si="1"/>
        <v>-1047</v>
      </c>
      <c r="J45" s="1" t="s">
        <v>21</v>
      </c>
    </row>
    <row r="46" spans="1:10" ht="20.100000000000001" customHeight="1">
      <c r="A46" s="3">
        <v>165</v>
      </c>
      <c r="B46" s="27" t="s">
        <v>177</v>
      </c>
      <c r="C46" s="3" t="s">
        <v>148</v>
      </c>
      <c r="D46" s="25"/>
      <c r="E46" s="5" t="s">
        <v>150</v>
      </c>
      <c r="F46" s="24">
        <v>1047</v>
      </c>
      <c r="G46" s="23"/>
      <c r="H46" s="24">
        <v>27266.52</v>
      </c>
      <c r="I46" s="9">
        <f t="shared" si="1"/>
        <v>1047</v>
      </c>
      <c r="J46" s="1" t="s">
        <v>19</v>
      </c>
    </row>
    <row r="47" spans="1:10" ht="20.100000000000001" customHeight="1">
      <c r="A47" s="3">
        <v>166</v>
      </c>
      <c r="B47" s="27" t="s">
        <v>177</v>
      </c>
      <c r="C47" s="3" t="s">
        <v>148</v>
      </c>
      <c r="D47" s="4" t="s">
        <v>8</v>
      </c>
      <c r="E47" s="5" t="s">
        <v>7</v>
      </c>
      <c r="F47" s="23"/>
      <c r="G47" s="24">
        <v>1047</v>
      </c>
      <c r="H47" s="24">
        <v>26219.52</v>
      </c>
      <c r="I47" s="9">
        <f t="shared" si="1"/>
        <v>-1047</v>
      </c>
      <c r="J47" s="1" t="s">
        <v>21</v>
      </c>
    </row>
    <row r="48" spans="1:10" ht="20.100000000000001" customHeight="1">
      <c r="A48" s="3">
        <v>167</v>
      </c>
      <c r="B48" s="27" t="s">
        <v>177</v>
      </c>
      <c r="C48" s="3" t="s">
        <v>148</v>
      </c>
      <c r="D48" s="4" t="s">
        <v>6</v>
      </c>
      <c r="E48" s="5" t="s">
        <v>7</v>
      </c>
      <c r="F48" s="23"/>
      <c r="G48" s="24">
        <v>2500</v>
      </c>
      <c r="H48" s="24">
        <v>23719.52</v>
      </c>
      <c r="I48" s="9">
        <f t="shared" si="1"/>
        <v>-2500</v>
      </c>
      <c r="J48" s="1" t="s">
        <v>22</v>
      </c>
    </row>
    <row r="49" spans="1:10" ht="20.100000000000001" customHeight="1">
      <c r="A49" s="3">
        <v>168</v>
      </c>
      <c r="B49" s="27" t="s">
        <v>177</v>
      </c>
      <c r="C49" s="3" t="s">
        <v>148</v>
      </c>
      <c r="D49" s="4" t="s">
        <v>149</v>
      </c>
      <c r="E49" s="5" t="s">
        <v>7</v>
      </c>
      <c r="F49" s="23"/>
      <c r="G49" s="7">
        <v>613</v>
      </c>
      <c r="H49" s="24">
        <v>23106.52</v>
      </c>
      <c r="I49" s="9">
        <f t="shared" si="1"/>
        <v>-613</v>
      </c>
      <c r="J49" s="1" t="s">
        <v>48</v>
      </c>
    </row>
    <row r="50" spans="1:10" ht="20.100000000000001" customHeight="1">
      <c r="A50" s="3">
        <v>169</v>
      </c>
      <c r="B50" s="27" t="s">
        <v>177</v>
      </c>
      <c r="C50" s="3" t="s">
        <v>147</v>
      </c>
      <c r="D50" s="4" t="s">
        <v>9</v>
      </c>
      <c r="E50" s="5" t="s">
        <v>10</v>
      </c>
      <c r="F50" s="24">
        <v>400</v>
      </c>
      <c r="G50" s="23"/>
      <c r="H50" s="24">
        <v>23506.52</v>
      </c>
      <c r="I50" s="9">
        <f t="shared" si="1"/>
        <v>400</v>
      </c>
      <c r="J50" s="1" t="s">
        <v>19</v>
      </c>
    </row>
    <row r="51" spans="1:10" ht="20.100000000000001" customHeight="1">
      <c r="A51" s="3">
        <v>170</v>
      </c>
      <c r="B51" s="27" t="s">
        <v>177</v>
      </c>
      <c r="C51" s="3" t="s">
        <v>146</v>
      </c>
      <c r="D51" s="4" t="s">
        <v>9</v>
      </c>
      <c r="E51" s="5" t="s">
        <v>10</v>
      </c>
      <c r="F51" s="24">
        <v>1900</v>
      </c>
      <c r="G51" s="23"/>
      <c r="H51" s="24">
        <v>25406.52</v>
      </c>
      <c r="I51" s="9">
        <f t="shared" si="1"/>
        <v>1900</v>
      </c>
      <c r="J51" s="1" t="s">
        <v>19</v>
      </c>
    </row>
    <row r="52" spans="1:10" ht="20.100000000000001" customHeight="1">
      <c r="A52" s="3">
        <v>171</v>
      </c>
      <c r="B52" s="27" t="s">
        <v>177</v>
      </c>
      <c r="C52" s="3" t="s">
        <v>145</v>
      </c>
      <c r="D52" s="4" t="s">
        <v>11</v>
      </c>
      <c r="E52" s="5" t="s">
        <v>7</v>
      </c>
      <c r="F52" s="23"/>
      <c r="G52" s="24">
        <v>406</v>
      </c>
      <c r="H52" s="24">
        <v>25000.52</v>
      </c>
      <c r="I52" s="9">
        <f t="shared" si="1"/>
        <v>-406</v>
      </c>
      <c r="J52" s="1" t="s">
        <v>22</v>
      </c>
    </row>
    <row r="53" spans="1:10" ht="20.100000000000001" customHeight="1">
      <c r="A53" s="3">
        <v>172</v>
      </c>
      <c r="B53" s="27" t="s">
        <v>177</v>
      </c>
      <c r="C53" s="3" t="s">
        <v>144</v>
      </c>
      <c r="D53" s="4" t="s">
        <v>11</v>
      </c>
      <c r="E53" s="5" t="s">
        <v>7</v>
      </c>
      <c r="F53" s="23"/>
      <c r="G53" s="24">
        <v>1500</v>
      </c>
      <c r="H53" s="24">
        <v>23500.52</v>
      </c>
      <c r="I53" s="9">
        <f t="shared" si="1"/>
        <v>-1500</v>
      </c>
      <c r="J53" s="1" t="s">
        <v>22</v>
      </c>
    </row>
    <row r="54" spans="1:10" ht="20.100000000000001" customHeight="1">
      <c r="A54" s="3">
        <v>173</v>
      </c>
      <c r="B54" s="27" t="s">
        <v>177</v>
      </c>
      <c r="C54" s="3" t="s">
        <v>143</v>
      </c>
      <c r="D54" s="4" t="s">
        <v>6</v>
      </c>
      <c r="E54" s="5" t="s">
        <v>7</v>
      </c>
      <c r="F54" s="23"/>
      <c r="G54" s="24">
        <v>500</v>
      </c>
      <c r="H54" s="24">
        <v>23000.52</v>
      </c>
      <c r="I54" s="9">
        <f t="shared" si="1"/>
        <v>-500</v>
      </c>
      <c r="J54" s="1" t="s">
        <v>22</v>
      </c>
    </row>
    <row r="55" spans="1:10" ht="20.100000000000001" customHeight="1">
      <c r="A55" s="3">
        <v>174</v>
      </c>
      <c r="B55" s="27" t="s">
        <v>177</v>
      </c>
      <c r="C55" s="3" t="s">
        <v>142</v>
      </c>
      <c r="D55" s="4" t="s">
        <v>9</v>
      </c>
      <c r="E55" s="5" t="s">
        <v>10</v>
      </c>
      <c r="F55" s="24">
        <v>1100</v>
      </c>
      <c r="G55" s="23"/>
      <c r="H55" s="24">
        <v>24100.52</v>
      </c>
      <c r="I55" s="9">
        <f t="shared" si="1"/>
        <v>1100</v>
      </c>
      <c r="J55" s="1" t="s">
        <v>19</v>
      </c>
    </row>
    <row r="56" spans="1:10" ht="20.100000000000001" customHeight="1">
      <c r="A56" s="3">
        <v>175</v>
      </c>
      <c r="B56" s="27" t="s">
        <v>177</v>
      </c>
      <c r="C56" s="3" t="s">
        <v>142</v>
      </c>
      <c r="D56" s="4" t="s">
        <v>6</v>
      </c>
      <c r="E56" s="5" t="s">
        <v>7</v>
      </c>
      <c r="F56" s="23"/>
      <c r="G56" s="24">
        <v>100</v>
      </c>
      <c r="H56" s="24">
        <v>24000.52</v>
      </c>
      <c r="I56" s="9">
        <f t="shared" si="1"/>
        <v>-100</v>
      </c>
      <c r="J56" s="1" t="s">
        <v>22</v>
      </c>
    </row>
    <row r="57" spans="1:10" ht="20.100000000000001" customHeight="1">
      <c r="A57" s="3">
        <v>176</v>
      </c>
      <c r="B57" s="27" t="s">
        <v>177</v>
      </c>
      <c r="C57" s="3" t="s">
        <v>142</v>
      </c>
      <c r="D57" s="4" t="s">
        <v>12</v>
      </c>
      <c r="E57" s="5" t="s">
        <v>7</v>
      </c>
      <c r="F57" s="23"/>
      <c r="G57" s="24">
        <v>119.85</v>
      </c>
      <c r="H57" s="24">
        <v>23880.67</v>
      </c>
      <c r="I57" s="9">
        <f t="shared" si="1"/>
        <v>-119.85</v>
      </c>
      <c r="J57" s="1" t="s">
        <v>26</v>
      </c>
    </row>
    <row r="58" spans="1:10" ht="20.100000000000001" customHeight="1">
      <c r="A58" s="3">
        <v>177</v>
      </c>
      <c r="B58" s="27" t="s">
        <v>177</v>
      </c>
      <c r="C58" s="3" t="s">
        <v>141</v>
      </c>
      <c r="D58" s="4" t="s">
        <v>9</v>
      </c>
      <c r="E58" s="5" t="s">
        <v>10</v>
      </c>
      <c r="F58" s="24">
        <v>400</v>
      </c>
      <c r="G58" s="23"/>
      <c r="H58" s="24">
        <v>24280.67</v>
      </c>
      <c r="I58" s="9">
        <f t="shared" si="1"/>
        <v>400</v>
      </c>
      <c r="J58" s="1" t="s">
        <v>19</v>
      </c>
    </row>
    <row r="59" spans="1:10" ht="20.100000000000001" customHeight="1">
      <c r="A59" s="3">
        <v>178</v>
      </c>
      <c r="B59" s="27" t="s">
        <v>177</v>
      </c>
      <c r="C59" s="3" t="s">
        <v>141</v>
      </c>
      <c r="D59" s="4" t="s">
        <v>6</v>
      </c>
      <c r="E59" s="5" t="s">
        <v>7</v>
      </c>
      <c r="F59" s="23"/>
      <c r="G59" s="24">
        <v>500</v>
      </c>
      <c r="H59" s="24">
        <v>23780.67</v>
      </c>
      <c r="I59" s="9">
        <f t="shared" si="1"/>
        <v>-500</v>
      </c>
      <c r="J59" s="1" t="s">
        <v>22</v>
      </c>
    </row>
    <row r="60" spans="1:10" ht="20.100000000000001" customHeight="1">
      <c r="A60" s="3">
        <v>179</v>
      </c>
      <c r="B60" s="27" t="s">
        <v>177</v>
      </c>
      <c r="C60" s="3" t="s">
        <v>140</v>
      </c>
      <c r="D60" s="4" t="s">
        <v>9</v>
      </c>
      <c r="E60" s="5" t="s">
        <v>10</v>
      </c>
      <c r="F60" s="24">
        <v>800</v>
      </c>
      <c r="G60" s="23"/>
      <c r="H60" s="24">
        <v>24580.67</v>
      </c>
      <c r="I60" s="9">
        <f t="shared" si="1"/>
        <v>800</v>
      </c>
      <c r="J60" s="1" t="s">
        <v>19</v>
      </c>
    </row>
    <row r="61" spans="1:10" ht="20.100000000000001" customHeight="1">
      <c r="A61" s="3">
        <v>180</v>
      </c>
      <c r="B61" s="27" t="s">
        <v>177</v>
      </c>
      <c r="C61" s="3" t="s">
        <v>140</v>
      </c>
      <c r="D61" s="4" t="s">
        <v>8</v>
      </c>
      <c r="E61" s="5" t="s">
        <v>7</v>
      </c>
      <c r="F61" s="23"/>
      <c r="G61" s="24">
        <v>1047</v>
      </c>
      <c r="H61" s="24">
        <v>23533.67</v>
      </c>
      <c r="I61" s="9">
        <f t="shared" si="1"/>
        <v>-1047</v>
      </c>
      <c r="J61" s="1" t="s">
        <v>21</v>
      </c>
    </row>
    <row r="62" spans="1:10" ht="20.100000000000001" customHeight="1">
      <c r="A62" s="3">
        <v>181</v>
      </c>
      <c r="B62" s="27" t="s">
        <v>177</v>
      </c>
      <c r="C62" s="3" t="s">
        <v>140</v>
      </c>
      <c r="D62" s="4" t="s">
        <v>6</v>
      </c>
      <c r="E62" s="5" t="s">
        <v>7</v>
      </c>
      <c r="F62" s="23"/>
      <c r="G62" s="24">
        <v>2500</v>
      </c>
      <c r="H62" s="24">
        <v>21033.67</v>
      </c>
      <c r="I62" s="9">
        <f t="shared" si="1"/>
        <v>-2500</v>
      </c>
      <c r="J62" s="1" t="s">
        <v>22</v>
      </c>
    </row>
    <row r="63" spans="1:10" ht="20.100000000000001" customHeight="1">
      <c r="A63" s="3">
        <v>182</v>
      </c>
      <c r="B63" s="27" t="s">
        <v>177</v>
      </c>
      <c r="C63" s="3" t="s">
        <v>139</v>
      </c>
      <c r="D63" s="4" t="s">
        <v>9</v>
      </c>
      <c r="E63" s="5" t="s">
        <v>10</v>
      </c>
      <c r="F63" s="24">
        <v>1525</v>
      </c>
      <c r="G63" s="23"/>
      <c r="H63" s="24">
        <v>22558.67</v>
      </c>
      <c r="I63" s="9">
        <f t="shared" si="1"/>
        <v>1525</v>
      </c>
      <c r="J63" s="1" t="s">
        <v>19</v>
      </c>
    </row>
    <row r="64" spans="1:10" ht="20.100000000000001" customHeight="1">
      <c r="A64" s="3">
        <v>183</v>
      </c>
      <c r="B64" s="27" t="s">
        <v>177</v>
      </c>
      <c r="C64" s="3" t="s">
        <v>138</v>
      </c>
      <c r="D64" s="4" t="s">
        <v>9</v>
      </c>
      <c r="E64" s="5" t="s">
        <v>10</v>
      </c>
      <c r="F64" s="24">
        <v>400</v>
      </c>
      <c r="G64" s="23"/>
      <c r="H64" s="24">
        <v>22958.67</v>
      </c>
      <c r="I64" s="9">
        <f t="shared" si="1"/>
        <v>400</v>
      </c>
      <c r="J64" s="1" t="s">
        <v>19</v>
      </c>
    </row>
    <row r="65" spans="1:10" ht="20.100000000000001" customHeight="1">
      <c r="A65" s="3">
        <v>184</v>
      </c>
      <c r="B65" s="27" t="s">
        <v>177</v>
      </c>
      <c r="C65" s="3" t="s">
        <v>137</v>
      </c>
      <c r="D65" s="4" t="s">
        <v>9</v>
      </c>
      <c r="E65" s="5" t="s">
        <v>10</v>
      </c>
      <c r="F65" s="24">
        <v>1080</v>
      </c>
      <c r="G65" s="23"/>
      <c r="H65" s="24">
        <v>24038.67</v>
      </c>
      <c r="I65" s="9">
        <f t="shared" si="1"/>
        <v>1080</v>
      </c>
      <c r="J65" s="1" t="s">
        <v>19</v>
      </c>
    </row>
    <row r="66" spans="1:10" ht="20.100000000000001" customHeight="1">
      <c r="A66" s="3">
        <v>185</v>
      </c>
      <c r="B66" s="27" t="s">
        <v>177</v>
      </c>
      <c r="C66" s="3" t="s">
        <v>136</v>
      </c>
      <c r="D66" s="4" t="s">
        <v>9</v>
      </c>
      <c r="E66" s="5" t="s">
        <v>10</v>
      </c>
      <c r="F66" s="24">
        <v>1175</v>
      </c>
      <c r="G66" s="23"/>
      <c r="H66" s="24">
        <v>25213.67</v>
      </c>
      <c r="I66" s="9">
        <f t="shared" si="1"/>
        <v>1175</v>
      </c>
      <c r="J66" s="1" t="s">
        <v>19</v>
      </c>
    </row>
    <row r="67" spans="1:10" ht="20.100000000000001" customHeight="1">
      <c r="A67" s="3">
        <v>186</v>
      </c>
      <c r="B67" s="27" t="s">
        <v>177</v>
      </c>
      <c r="C67" s="3" t="s">
        <v>135</v>
      </c>
      <c r="D67" s="4" t="s">
        <v>9</v>
      </c>
      <c r="E67" s="5" t="s">
        <v>10</v>
      </c>
      <c r="F67" s="24">
        <v>799.99</v>
      </c>
      <c r="G67" s="23"/>
      <c r="H67" s="24">
        <v>26013.66</v>
      </c>
      <c r="I67" s="9">
        <f t="shared" si="1"/>
        <v>799.99</v>
      </c>
      <c r="J67" s="1" t="s">
        <v>19</v>
      </c>
    </row>
    <row r="68" spans="1:10" ht="20.100000000000001" customHeight="1">
      <c r="A68" s="3">
        <v>187</v>
      </c>
      <c r="B68" s="27" t="s">
        <v>177</v>
      </c>
      <c r="C68" s="3" t="s">
        <v>134</v>
      </c>
      <c r="D68" s="4" t="s">
        <v>9</v>
      </c>
      <c r="E68" s="5" t="s">
        <v>10</v>
      </c>
      <c r="F68" s="24">
        <v>1200</v>
      </c>
      <c r="G68" s="23"/>
      <c r="H68" s="24">
        <v>27213.66</v>
      </c>
      <c r="I68" s="9">
        <f t="shared" si="1"/>
        <v>1200</v>
      </c>
      <c r="J68" s="1" t="s">
        <v>19</v>
      </c>
    </row>
    <row r="69" spans="1:10" ht="20.100000000000001" customHeight="1">
      <c r="A69" s="3">
        <v>188</v>
      </c>
      <c r="B69" s="27" t="s">
        <v>177</v>
      </c>
      <c r="C69" s="3" t="s">
        <v>133</v>
      </c>
      <c r="D69" s="4" t="s">
        <v>9</v>
      </c>
      <c r="E69" s="5" t="s">
        <v>10</v>
      </c>
      <c r="F69" s="24">
        <v>1050</v>
      </c>
      <c r="G69" s="23"/>
      <c r="H69" s="24">
        <v>28263.66</v>
      </c>
      <c r="I69" s="9">
        <f t="shared" si="1"/>
        <v>1050</v>
      </c>
      <c r="J69" s="1" t="s">
        <v>19</v>
      </c>
    </row>
    <row r="70" spans="1:10" ht="20.100000000000001" customHeight="1">
      <c r="A70" s="3">
        <v>189</v>
      </c>
      <c r="B70" s="27" t="s">
        <v>177</v>
      </c>
      <c r="C70" s="3" t="s">
        <v>132</v>
      </c>
      <c r="D70" s="4" t="s">
        <v>8</v>
      </c>
      <c r="E70" s="5" t="s">
        <v>7</v>
      </c>
      <c r="F70" s="23"/>
      <c r="G70" s="24">
        <v>1047</v>
      </c>
      <c r="H70" s="24">
        <v>27216.66</v>
      </c>
      <c r="I70" s="9">
        <f t="shared" si="1"/>
        <v>-1047</v>
      </c>
      <c r="J70" s="1" t="s">
        <v>21</v>
      </c>
    </row>
    <row r="71" spans="1:10" ht="20.100000000000001" customHeight="1">
      <c r="A71" s="3">
        <v>190</v>
      </c>
      <c r="B71" s="27" t="s">
        <v>177</v>
      </c>
      <c r="C71" s="3" t="s">
        <v>132</v>
      </c>
      <c r="D71" s="4" t="s">
        <v>6</v>
      </c>
      <c r="E71" s="5" t="s">
        <v>7</v>
      </c>
      <c r="F71" s="23"/>
      <c r="G71" s="24">
        <v>2500</v>
      </c>
      <c r="H71" s="24">
        <v>24716.66</v>
      </c>
      <c r="I71" s="9">
        <f t="shared" si="1"/>
        <v>-2500</v>
      </c>
      <c r="J71" s="1" t="s">
        <v>22</v>
      </c>
    </row>
    <row r="72" spans="1:10" ht="20.100000000000001" customHeight="1">
      <c r="A72" s="3">
        <v>191</v>
      </c>
      <c r="B72" s="27" t="s">
        <v>177</v>
      </c>
      <c r="C72" s="3" t="s">
        <v>131</v>
      </c>
      <c r="D72" s="4" t="s">
        <v>9</v>
      </c>
      <c r="E72" s="5" t="s">
        <v>10</v>
      </c>
      <c r="F72" s="24">
        <v>2450</v>
      </c>
      <c r="G72" s="23"/>
      <c r="H72" s="24">
        <v>27166.66</v>
      </c>
      <c r="I72" s="9">
        <f t="shared" si="1"/>
        <v>2450</v>
      </c>
      <c r="J72" s="1" t="s">
        <v>19</v>
      </c>
    </row>
    <row r="73" spans="1:10" ht="20.100000000000001" customHeight="1">
      <c r="A73" s="3">
        <v>192</v>
      </c>
      <c r="B73" s="27" t="s">
        <v>177</v>
      </c>
      <c r="C73" s="3" t="s">
        <v>130</v>
      </c>
      <c r="D73" s="4" t="s">
        <v>9</v>
      </c>
      <c r="E73" s="5" t="s">
        <v>10</v>
      </c>
      <c r="F73" s="24">
        <v>1400</v>
      </c>
      <c r="G73" s="23"/>
      <c r="H73" s="24">
        <v>28566.66</v>
      </c>
      <c r="I73" s="9">
        <f t="shared" si="1"/>
        <v>1400</v>
      </c>
      <c r="J73" s="1" t="s">
        <v>19</v>
      </c>
    </row>
    <row r="74" spans="1:10" ht="20.100000000000001" customHeight="1">
      <c r="A74" s="3">
        <v>193</v>
      </c>
      <c r="B74" s="27" t="s">
        <v>177</v>
      </c>
      <c r="C74" s="3" t="s">
        <v>129</v>
      </c>
      <c r="D74" s="4" t="s">
        <v>9</v>
      </c>
      <c r="E74" s="5" t="s">
        <v>10</v>
      </c>
      <c r="F74" s="24">
        <v>1275</v>
      </c>
      <c r="G74" s="23"/>
      <c r="H74" s="24">
        <v>29841.66</v>
      </c>
      <c r="I74" s="9">
        <f t="shared" ref="I74:I137" si="2">F74-G74</f>
        <v>1275</v>
      </c>
      <c r="J74" s="1" t="s">
        <v>19</v>
      </c>
    </row>
    <row r="75" spans="1:10" ht="20.100000000000001" customHeight="1">
      <c r="A75" s="3">
        <v>194</v>
      </c>
      <c r="B75" s="27" t="s">
        <v>177</v>
      </c>
      <c r="C75" s="3" t="s">
        <v>128</v>
      </c>
      <c r="D75" s="4" t="s">
        <v>9</v>
      </c>
      <c r="E75" s="5" t="s">
        <v>10</v>
      </c>
      <c r="F75" s="24">
        <v>1175</v>
      </c>
      <c r="G75" s="23"/>
      <c r="H75" s="24">
        <v>31016.66</v>
      </c>
      <c r="I75" s="9">
        <f t="shared" si="2"/>
        <v>1175</v>
      </c>
      <c r="J75" s="1" t="s">
        <v>19</v>
      </c>
    </row>
    <row r="76" spans="1:10" ht="20.100000000000001" customHeight="1">
      <c r="A76" s="3">
        <v>195</v>
      </c>
      <c r="B76" s="27" t="s">
        <v>177</v>
      </c>
      <c r="C76" s="3" t="s">
        <v>127</v>
      </c>
      <c r="D76" s="4" t="s">
        <v>6</v>
      </c>
      <c r="E76" s="5" t="s">
        <v>7</v>
      </c>
      <c r="F76" s="23"/>
      <c r="G76" s="24">
        <v>400</v>
      </c>
      <c r="H76" s="24">
        <v>30616.66</v>
      </c>
      <c r="I76" s="9">
        <f t="shared" si="2"/>
        <v>-400</v>
      </c>
      <c r="J76" s="1" t="s">
        <v>22</v>
      </c>
    </row>
    <row r="77" spans="1:10" ht="20.100000000000001" customHeight="1">
      <c r="A77" s="3">
        <v>196</v>
      </c>
      <c r="B77" s="27" t="s">
        <v>177</v>
      </c>
      <c r="C77" s="3" t="s">
        <v>127</v>
      </c>
      <c r="D77" s="4" t="s">
        <v>6</v>
      </c>
      <c r="E77" s="5" t="s">
        <v>7</v>
      </c>
      <c r="F77" s="23"/>
      <c r="G77" s="24">
        <v>200</v>
      </c>
      <c r="H77" s="24">
        <v>30416.66</v>
      </c>
      <c r="I77" s="9">
        <f t="shared" si="2"/>
        <v>-200</v>
      </c>
      <c r="J77" s="1" t="s">
        <v>22</v>
      </c>
    </row>
    <row r="78" spans="1:10" ht="20.100000000000001" customHeight="1">
      <c r="A78" s="3">
        <v>197</v>
      </c>
      <c r="B78" s="27" t="s">
        <v>177</v>
      </c>
      <c r="C78" s="3" t="s">
        <v>126</v>
      </c>
      <c r="D78" s="4" t="s">
        <v>6</v>
      </c>
      <c r="E78" s="5" t="s">
        <v>7</v>
      </c>
      <c r="F78" s="23"/>
      <c r="G78" s="24">
        <v>400</v>
      </c>
      <c r="H78" s="24">
        <v>30016.66</v>
      </c>
      <c r="I78" s="9">
        <f t="shared" si="2"/>
        <v>-400</v>
      </c>
      <c r="J78" s="1" t="s">
        <v>22</v>
      </c>
    </row>
    <row r="79" spans="1:10" ht="20.100000000000001" customHeight="1">
      <c r="A79" s="3">
        <v>198</v>
      </c>
      <c r="B79" s="27" t="s">
        <v>177</v>
      </c>
      <c r="C79" s="3" t="s">
        <v>125</v>
      </c>
      <c r="D79" s="4" t="s">
        <v>9</v>
      </c>
      <c r="E79" s="5" t="s">
        <v>10</v>
      </c>
      <c r="F79" s="24">
        <v>2450</v>
      </c>
      <c r="G79" s="23"/>
      <c r="H79" s="24">
        <v>32466.66</v>
      </c>
      <c r="I79" s="9">
        <f t="shared" si="2"/>
        <v>2450</v>
      </c>
      <c r="J79" s="1" t="s">
        <v>19</v>
      </c>
    </row>
    <row r="80" spans="1:10" ht="20.100000000000001" customHeight="1">
      <c r="A80" s="3">
        <v>199</v>
      </c>
      <c r="B80" s="27" t="s">
        <v>177</v>
      </c>
      <c r="C80" s="3" t="s">
        <v>124</v>
      </c>
      <c r="D80" s="4" t="s">
        <v>6</v>
      </c>
      <c r="E80" s="5" t="s">
        <v>7</v>
      </c>
      <c r="F80" s="23"/>
      <c r="G80" s="24">
        <v>200</v>
      </c>
      <c r="H80" s="24">
        <v>32266.66</v>
      </c>
      <c r="I80" s="9">
        <f t="shared" si="2"/>
        <v>-200</v>
      </c>
      <c r="J80" s="1" t="s">
        <v>22</v>
      </c>
    </row>
    <row r="81" spans="1:10" ht="20.100000000000001" customHeight="1">
      <c r="A81" s="3">
        <v>200</v>
      </c>
      <c r="B81" s="27" t="s">
        <v>177</v>
      </c>
      <c r="C81" s="3" t="s">
        <v>123</v>
      </c>
      <c r="D81" s="4" t="s">
        <v>9</v>
      </c>
      <c r="E81" s="5" t="s">
        <v>10</v>
      </c>
      <c r="F81" s="24">
        <v>425</v>
      </c>
      <c r="G81" s="23"/>
      <c r="H81" s="24">
        <v>32691.66</v>
      </c>
      <c r="I81" s="9">
        <f t="shared" si="2"/>
        <v>425</v>
      </c>
      <c r="J81" s="1" t="s">
        <v>19</v>
      </c>
    </row>
    <row r="82" spans="1:10" ht="20.100000000000001" customHeight="1">
      <c r="A82" s="3">
        <v>201</v>
      </c>
      <c r="B82" s="27" t="s">
        <v>177</v>
      </c>
      <c r="C82" s="3" t="s">
        <v>122</v>
      </c>
      <c r="D82" s="4" t="s">
        <v>9</v>
      </c>
      <c r="E82" s="5" t="s">
        <v>10</v>
      </c>
      <c r="F82" s="24">
        <v>1125</v>
      </c>
      <c r="G82" s="23"/>
      <c r="H82" s="24">
        <v>33816.660000000003</v>
      </c>
      <c r="I82" s="9">
        <f t="shared" si="2"/>
        <v>1125</v>
      </c>
      <c r="J82" s="1" t="s">
        <v>19</v>
      </c>
    </row>
    <row r="83" spans="1:10" ht="20.100000000000001" customHeight="1">
      <c r="A83" s="3">
        <v>202</v>
      </c>
      <c r="B83" s="27" t="s">
        <v>177</v>
      </c>
      <c r="C83" s="3" t="s">
        <v>122</v>
      </c>
      <c r="D83" s="4" t="s">
        <v>8</v>
      </c>
      <c r="E83" s="5" t="s">
        <v>7</v>
      </c>
      <c r="F83" s="23"/>
      <c r="G83" s="24">
        <v>1047</v>
      </c>
      <c r="H83" s="24">
        <v>32769.660000000003</v>
      </c>
      <c r="I83" s="9">
        <f t="shared" si="2"/>
        <v>-1047</v>
      </c>
      <c r="J83" s="1" t="s">
        <v>21</v>
      </c>
    </row>
    <row r="84" spans="1:10" ht="20.100000000000001" customHeight="1">
      <c r="A84" s="3">
        <v>203</v>
      </c>
      <c r="B84" s="27" t="s">
        <v>177</v>
      </c>
      <c r="C84" s="3" t="s">
        <v>122</v>
      </c>
      <c r="D84" s="4" t="s">
        <v>6</v>
      </c>
      <c r="E84" s="5" t="s">
        <v>7</v>
      </c>
      <c r="F84" s="23"/>
      <c r="G84" s="24">
        <v>2500</v>
      </c>
      <c r="H84" s="24">
        <v>30269.66</v>
      </c>
      <c r="I84" s="9">
        <f t="shared" si="2"/>
        <v>-2500</v>
      </c>
      <c r="J84" s="1" t="s">
        <v>22</v>
      </c>
    </row>
    <row r="85" spans="1:10" ht="20.100000000000001" customHeight="1">
      <c r="A85" s="3">
        <v>204</v>
      </c>
      <c r="B85" s="27" t="s">
        <v>177</v>
      </c>
      <c r="C85" s="3" t="s">
        <v>121</v>
      </c>
      <c r="D85" s="4" t="s">
        <v>9</v>
      </c>
      <c r="E85" s="5" t="s">
        <v>10</v>
      </c>
      <c r="F85" s="24">
        <v>1250</v>
      </c>
      <c r="G85" s="23"/>
      <c r="H85" s="24">
        <v>31519.66</v>
      </c>
      <c r="I85" s="9">
        <f t="shared" si="2"/>
        <v>1250</v>
      </c>
      <c r="J85" s="1" t="s">
        <v>19</v>
      </c>
    </row>
    <row r="86" spans="1:10" ht="20.100000000000001" customHeight="1">
      <c r="A86" s="3">
        <v>205</v>
      </c>
      <c r="B86" s="27" t="s">
        <v>177</v>
      </c>
      <c r="C86" s="3" t="s">
        <v>120</v>
      </c>
      <c r="D86" s="4" t="s">
        <v>9</v>
      </c>
      <c r="E86" s="5" t="s">
        <v>10</v>
      </c>
      <c r="F86" s="24">
        <v>400</v>
      </c>
      <c r="G86" s="23"/>
      <c r="H86" s="24">
        <v>31919.66</v>
      </c>
      <c r="I86" s="9">
        <f t="shared" si="2"/>
        <v>400</v>
      </c>
      <c r="J86" s="1" t="s">
        <v>19</v>
      </c>
    </row>
    <row r="87" spans="1:10" ht="20.100000000000001" customHeight="1">
      <c r="A87" s="3">
        <v>206</v>
      </c>
      <c r="B87" s="27" t="s">
        <v>177</v>
      </c>
      <c r="C87" s="3" t="s">
        <v>119</v>
      </c>
      <c r="D87" s="4" t="s">
        <v>11</v>
      </c>
      <c r="E87" s="5" t="s">
        <v>7</v>
      </c>
      <c r="F87" s="23"/>
      <c r="G87" s="24">
        <v>100</v>
      </c>
      <c r="H87" s="24">
        <v>31819.66</v>
      </c>
      <c r="I87" s="9">
        <f t="shared" si="2"/>
        <v>-100</v>
      </c>
      <c r="J87" s="1" t="s">
        <v>22</v>
      </c>
    </row>
    <row r="88" spans="1:10" ht="20.100000000000001" customHeight="1">
      <c r="A88" s="3">
        <v>207</v>
      </c>
      <c r="B88" s="27" t="s">
        <v>177</v>
      </c>
      <c r="C88" s="3" t="s">
        <v>118</v>
      </c>
      <c r="D88" s="4" t="s">
        <v>14</v>
      </c>
      <c r="E88" s="5" t="s">
        <v>15</v>
      </c>
      <c r="F88" s="24">
        <v>400</v>
      </c>
      <c r="G88" s="23"/>
      <c r="H88" s="24">
        <v>32219.66</v>
      </c>
      <c r="I88" s="9">
        <f t="shared" si="2"/>
        <v>400</v>
      </c>
      <c r="J88" s="1" t="s">
        <v>19</v>
      </c>
    </row>
    <row r="89" spans="1:10" ht="20.100000000000001" customHeight="1">
      <c r="A89" s="3">
        <v>208</v>
      </c>
      <c r="B89" s="27" t="s">
        <v>177</v>
      </c>
      <c r="C89" s="3" t="s">
        <v>118</v>
      </c>
      <c r="D89" s="4" t="s">
        <v>6</v>
      </c>
      <c r="E89" s="5" t="s">
        <v>7</v>
      </c>
      <c r="F89" s="23"/>
      <c r="G89" s="24">
        <v>100</v>
      </c>
      <c r="H89" s="24">
        <v>32119.66</v>
      </c>
      <c r="I89" s="9">
        <f t="shared" si="2"/>
        <v>-100</v>
      </c>
      <c r="J89" s="1" t="s">
        <v>22</v>
      </c>
    </row>
    <row r="90" spans="1:10" ht="20.100000000000001" customHeight="1">
      <c r="A90" s="3">
        <v>209</v>
      </c>
      <c r="B90" s="27" t="s">
        <v>177</v>
      </c>
      <c r="C90" s="3" t="s">
        <v>117</v>
      </c>
      <c r="D90" s="4" t="s">
        <v>9</v>
      </c>
      <c r="E90" s="5" t="s">
        <v>10</v>
      </c>
      <c r="F90" s="24">
        <v>1125</v>
      </c>
      <c r="G90" s="23"/>
      <c r="H90" s="24">
        <v>33244.660000000003</v>
      </c>
      <c r="I90" s="9">
        <f t="shared" si="2"/>
        <v>1125</v>
      </c>
      <c r="J90" s="1" t="s">
        <v>19</v>
      </c>
    </row>
    <row r="91" spans="1:10" ht="20.100000000000001" customHeight="1">
      <c r="A91" s="3">
        <v>210</v>
      </c>
      <c r="B91" s="27" t="s">
        <v>177</v>
      </c>
      <c r="C91" s="3" t="s">
        <v>116</v>
      </c>
      <c r="D91" s="4" t="s">
        <v>9</v>
      </c>
      <c r="E91" s="5" t="s">
        <v>10</v>
      </c>
      <c r="F91" s="24">
        <v>1525</v>
      </c>
      <c r="G91" s="23"/>
      <c r="H91" s="24">
        <v>34769.660000000003</v>
      </c>
      <c r="I91" s="9">
        <f t="shared" si="2"/>
        <v>1525</v>
      </c>
      <c r="J91" s="1" t="s">
        <v>19</v>
      </c>
    </row>
    <row r="92" spans="1:10" ht="20.100000000000001" customHeight="1">
      <c r="A92" s="3">
        <v>211</v>
      </c>
      <c r="B92" s="27" t="s">
        <v>177</v>
      </c>
      <c r="C92" s="3" t="s">
        <v>116</v>
      </c>
      <c r="D92" s="4" t="s">
        <v>11</v>
      </c>
      <c r="E92" s="5" t="s">
        <v>7</v>
      </c>
      <c r="F92" s="23"/>
      <c r="G92" s="24">
        <v>65</v>
      </c>
      <c r="H92" s="24">
        <v>34704.660000000003</v>
      </c>
      <c r="I92" s="9">
        <f t="shared" si="2"/>
        <v>-65</v>
      </c>
      <c r="J92" s="1" t="s">
        <v>22</v>
      </c>
    </row>
    <row r="93" spans="1:10" ht="20.100000000000001" customHeight="1">
      <c r="A93" s="3">
        <v>212</v>
      </c>
      <c r="B93" s="27" t="s">
        <v>177</v>
      </c>
      <c r="C93" s="3" t="s">
        <v>115</v>
      </c>
      <c r="D93" s="4" t="s">
        <v>11</v>
      </c>
      <c r="E93" s="5" t="s">
        <v>7</v>
      </c>
      <c r="F93" s="23"/>
      <c r="G93" s="24">
        <v>200</v>
      </c>
      <c r="H93" s="24">
        <v>34504.660000000003</v>
      </c>
      <c r="I93" s="9">
        <f t="shared" si="2"/>
        <v>-200</v>
      </c>
      <c r="J93" s="1" t="s">
        <v>22</v>
      </c>
    </row>
    <row r="94" spans="1:10" ht="20.100000000000001" customHeight="1">
      <c r="A94" s="3">
        <v>213</v>
      </c>
      <c r="B94" s="27" t="s">
        <v>177</v>
      </c>
      <c r="C94" s="3" t="s">
        <v>114</v>
      </c>
      <c r="D94" s="4" t="s">
        <v>6</v>
      </c>
      <c r="E94" s="5" t="s">
        <v>7</v>
      </c>
      <c r="F94" s="23"/>
      <c r="G94" s="24">
        <v>100</v>
      </c>
      <c r="H94" s="24">
        <v>34404.660000000003</v>
      </c>
      <c r="I94" s="9">
        <f t="shared" si="2"/>
        <v>-100</v>
      </c>
      <c r="J94" s="1" t="s">
        <v>22</v>
      </c>
    </row>
    <row r="95" spans="1:10" ht="20.100000000000001" customHeight="1">
      <c r="A95" s="3">
        <v>214</v>
      </c>
      <c r="B95" s="27" t="s">
        <v>177</v>
      </c>
      <c r="C95" s="3" t="s">
        <v>113</v>
      </c>
      <c r="D95" s="4" t="s">
        <v>9</v>
      </c>
      <c r="E95" s="5" t="s">
        <v>10</v>
      </c>
      <c r="F95" s="24">
        <v>1950</v>
      </c>
      <c r="G95" s="23"/>
      <c r="H95" s="24">
        <v>36354.660000000003</v>
      </c>
      <c r="I95" s="9">
        <f t="shared" si="2"/>
        <v>1950</v>
      </c>
      <c r="J95" s="1" t="s">
        <v>19</v>
      </c>
    </row>
    <row r="96" spans="1:10" ht="20.100000000000001" customHeight="1">
      <c r="A96" s="3">
        <v>215</v>
      </c>
      <c r="B96" s="27" t="s">
        <v>177</v>
      </c>
      <c r="C96" s="3" t="s">
        <v>113</v>
      </c>
      <c r="D96" s="4" t="s">
        <v>11</v>
      </c>
      <c r="E96" s="5" t="s">
        <v>7</v>
      </c>
      <c r="F96" s="23"/>
      <c r="G96" s="24">
        <v>100</v>
      </c>
      <c r="H96" s="24">
        <v>36254.660000000003</v>
      </c>
      <c r="I96" s="9">
        <f t="shared" si="2"/>
        <v>-100</v>
      </c>
      <c r="J96" s="1" t="s">
        <v>22</v>
      </c>
    </row>
    <row r="97" spans="1:10" ht="20.100000000000001" customHeight="1">
      <c r="A97" s="3">
        <v>216</v>
      </c>
      <c r="B97" s="27" t="s">
        <v>177</v>
      </c>
      <c r="C97" s="3" t="s">
        <v>113</v>
      </c>
      <c r="D97" s="4" t="s">
        <v>11</v>
      </c>
      <c r="E97" s="5" t="s">
        <v>7</v>
      </c>
      <c r="F97" s="23"/>
      <c r="G97" s="24">
        <v>50</v>
      </c>
      <c r="H97" s="24">
        <v>36204.660000000003</v>
      </c>
      <c r="I97" s="9">
        <f t="shared" si="2"/>
        <v>-50</v>
      </c>
      <c r="J97" s="1" t="s">
        <v>22</v>
      </c>
    </row>
    <row r="98" spans="1:10" ht="20.100000000000001" customHeight="1">
      <c r="A98" s="3">
        <v>217</v>
      </c>
      <c r="B98" s="27" t="s">
        <v>177</v>
      </c>
      <c r="C98" s="3" t="s">
        <v>113</v>
      </c>
      <c r="D98" s="4" t="s">
        <v>6</v>
      </c>
      <c r="E98" s="5" t="s">
        <v>7</v>
      </c>
      <c r="F98" s="23"/>
      <c r="G98" s="24">
        <v>2400</v>
      </c>
      <c r="H98" s="24">
        <v>33804.660000000003</v>
      </c>
      <c r="I98" s="9">
        <f t="shared" si="2"/>
        <v>-2400</v>
      </c>
      <c r="J98" s="1" t="s">
        <v>22</v>
      </c>
    </row>
    <row r="99" spans="1:10" ht="20.100000000000001" customHeight="1">
      <c r="A99" s="3">
        <v>218</v>
      </c>
      <c r="B99" s="27" t="s">
        <v>177</v>
      </c>
      <c r="C99" s="3" t="s">
        <v>113</v>
      </c>
      <c r="D99" s="4" t="s">
        <v>8</v>
      </c>
      <c r="E99" s="5" t="s">
        <v>7</v>
      </c>
      <c r="F99" s="23"/>
      <c r="G99" s="24">
        <v>1047</v>
      </c>
      <c r="H99" s="24">
        <v>32757.66</v>
      </c>
      <c r="I99" s="9">
        <f t="shared" si="2"/>
        <v>-1047</v>
      </c>
      <c r="J99" s="1" t="s">
        <v>21</v>
      </c>
    </row>
    <row r="100" spans="1:10" ht="20.100000000000001" customHeight="1">
      <c r="A100" s="3">
        <v>219</v>
      </c>
      <c r="B100" s="27" t="s">
        <v>177</v>
      </c>
      <c r="C100" s="3" t="s">
        <v>112</v>
      </c>
      <c r="D100" s="4" t="s">
        <v>9</v>
      </c>
      <c r="E100" s="5" t="s">
        <v>10</v>
      </c>
      <c r="F100" s="24">
        <v>1125</v>
      </c>
      <c r="G100" s="23"/>
      <c r="H100" s="24">
        <v>33882.660000000003</v>
      </c>
      <c r="I100" s="9">
        <f t="shared" si="2"/>
        <v>1125</v>
      </c>
      <c r="J100" s="1" t="s">
        <v>19</v>
      </c>
    </row>
    <row r="101" spans="1:10" ht="20.100000000000001" customHeight="1">
      <c r="A101" s="3">
        <v>220</v>
      </c>
      <c r="B101" s="27" t="s">
        <v>177</v>
      </c>
      <c r="C101" s="3" t="s">
        <v>111</v>
      </c>
      <c r="D101" s="4" t="s">
        <v>9</v>
      </c>
      <c r="E101" s="5" t="s">
        <v>10</v>
      </c>
      <c r="F101" s="24">
        <v>1100</v>
      </c>
      <c r="G101" s="23"/>
      <c r="H101" s="24">
        <v>34982.660000000003</v>
      </c>
      <c r="I101" s="9">
        <f t="shared" si="2"/>
        <v>1100</v>
      </c>
      <c r="J101" s="1" t="s">
        <v>19</v>
      </c>
    </row>
    <row r="102" spans="1:10" ht="20.100000000000001" customHeight="1">
      <c r="A102" s="3">
        <v>221</v>
      </c>
      <c r="B102" s="27" t="s">
        <v>177</v>
      </c>
      <c r="C102" s="3" t="s">
        <v>110</v>
      </c>
      <c r="D102" s="4" t="s">
        <v>9</v>
      </c>
      <c r="E102" s="5" t="s">
        <v>10</v>
      </c>
      <c r="F102" s="24">
        <v>2050</v>
      </c>
      <c r="G102" s="23"/>
      <c r="H102" s="24">
        <v>37032.660000000003</v>
      </c>
      <c r="I102" s="9">
        <f t="shared" si="2"/>
        <v>2050</v>
      </c>
      <c r="J102" s="1" t="s">
        <v>19</v>
      </c>
    </row>
    <row r="103" spans="1:10" ht="20.100000000000001" customHeight="1">
      <c r="A103" s="3">
        <v>222</v>
      </c>
      <c r="B103" s="27" t="s">
        <v>177</v>
      </c>
      <c r="C103" s="3" t="s">
        <v>109</v>
      </c>
      <c r="D103" s="4" t="s">
        <v>9</v>
      </c>
      <c r="E103" s="5" t="s">
        <v>10</v>
      </c>
      <c r="F103" s="24">
        <v>750</v>
      </c>
      <c r="G103" s="23"/>
      <c r="H103" s="24">
        <v>37782.660000000003</v>
      </c>
      <c r="I103" s="9">
        <f t="shared" si="2"/>
        <v>750</v>
      </c>
      <c r="J103" s="1" t="s">
        <v>19</v>
      </c>
    </row>
    <row r="104" spans="1:10" ht="20.100000000000001" customHeight="1">
      <c r="A104" s="3">
        <v>223</v>
      </c>
      <c r="B104" s="27" t="s">
        <v>177</v>
      </c>
      <c r="C104" s="3" t="s">
        <v>109</v>
      </c>
      <c r="D104" s="4" t="s">
        <v>6</v>
      </c>
      <c r="E104" s="5" t="s">
        <v>7</v>
      </c>
      <c r="F104" s="23"/>
      <c r="G104" s="24">
        <v>160</v>
      </c>
      <c r="H104" s="24">
        <v>37622.660000000003</v>
      </c>
      <c r="I104" s="9">
        <f t="shared" si="2"/>
        <v>-160</v>
      </c>
      <c r="J104" s="1" t="s">
        <v>22</v>
      </c>
    </row>
    <row r="105" spans="1:10" ht="20.100000000000001" customHeight="1">
      <c r="A105" s="3">
        <v>224</v>
      </c>
      <c r="B105" s="27" t="s">
        <v>177</v>
      </c>
      <c r="C105" s="3" t="s">
        <v>108</v>
      </c>
      <c r="D105" s="4" t="s">
        <v>11</v>
      </c>
      <c r="E105" s="5" t="s">
        <v>7</v>
      </c>
      <c r="F105" s="23"/>
      <c r="G105" s="24">
        <v>100</v>
      </c>
      <c r="H105" s="24">
        <v>37522.660000000003</v>
      </c>
      <c r="I105" s="9">
        <f t="shared" si="2"/>
        <v>-100</v>
      </c>
      <c r="J105" s="1" t="s">
        <v>22</v>
      </c>
    </row>
    <row r="106" spans="1:10" ht="20.100000000000001" customHeight="1">
      <c r="A106" s="3">
        <v>225</v>
      </c>
      <c r="B106" s="27" t="s">
        <v>177</v>
      </c>
      <c r="C106" s="3" t="s">
        <v>107</v>
      </c>
      <c r="D106" s="4" t="s">
        <v>9</v>
      </c>
      <c r="E106" s="5" t="s">
        <v>10</v>
      </c>
      <c r="F106" s="24">
        <v>450</v>
      </c>
      <c r="G106" s="23"/>
      <c r="H106" s="24">
        <v>37972.660000000003</v>
      </c>
      <c r="I106" s="9">
        <f t="shared" si="2"/>
        <v>450</v>
      </c>
      <c r="J106" s="1" t="s">
        <v>19</v>
      </c>
    </row>
    <row r="107" spans="1:10" ht="20.100000000000001" customHeight="1">
      <c r="A107" s="3">
        <v>226</v>
      </c>
      <c r="B107" s="27" t="s">
        <v>177</v>
      </c>
      <c r="C107" s="3" t="s">
        <v>107</v>
      </c>
      <c r="D107" s="4" t="s">
        <v>6</v>
      </c>
      <c r="E107" s="5" t="s">
        <v>7</v>
      </c>
      <c r="F107" s="23"/>
      <c r="G107" s="24">
        <v>130</v>
      </c>
      <c r="H107" s="24">
        <v>37842.660000000003</v>
      </c>
      <c r="I107" s="9">
        <f t="shared" si="2"/>
        <v>-130</v>
      </c>
      <c r="J107" s="1" t="s">
        <v>22</v>
      </c>
    </row>
    <row r="108" spans="1:10" ht="20.100000000000001" customHeight="1">
      <c r="A108" s="3">
        <v>227</v>
      </c>
      <c r="B108" s="27" t="s">
        <v>177</v>
      </c>
      <c r="C108" s="3" t="s">
        <v>107</v>
      </c>
      <c r="D108" s="4" t="s">
        <v>6</v>
      </c>
      <c r="E108" s="5" t="s">
        <v>7</v>
      </c>
      <c r="F108" s="23"/>
      <c r="G108" s="24">
        <v>240</v>
      </c>
      <c r="H108" s="24">
        <v>37602.660000000003</v>
      </c>
      <c r="I108" s="9">
        <f t="shared" si="2"/>
        <v>-240</v>
      </c>
      <c r="J108" s="1" t="s">
        <v>22</v>
      </c>
    </row>
    <row r="109" spans="1:10" ht="20.100000000000001" customHeight="1">
      <c r="A109" s="3">
        <v>228</v>
      </c>
      <c r="B109" s="27" t="s">
        <v>177</v>
      </c>
      <c r="C109" s="3" t="s">
        <v>106</v>
      </c>
      <c r="D109" s="4" t="s">
        <v>9</v>
      </c>
      <c r="E109" s="5" t="s">
        <v>10</v>
      </c>
      <c r="F109" s="24">
        <v>800</v>
      </c>
      <c r="G109" s="23"/>
      <c r="H109" s="24">
        <v>38402.660000000003</v>
      </c>
      <c r="I109" s="9">
        <f t="shared" si="2"/>
        <v>800</v>
      </c>
      <c r="J109" s="1" t="s">
        <v>19</v>
      </c>
    </row>
    <row r="110" spans="1:10" ht="20.100000000000001" customHeight="1">
      <c r="A110" s="3">
        <v>229</v>
      </c>
      <c r="B110" s="27" t="s">
        <v>177</v>
      </c>
      <c r="C110" s="3" t="s">
        <v>105</v>
      </c>
      <c r="D110" s="4" t="s">
        <v>11</v>
      </c>
      <c r="E110" s="5" t="s">
        <v>7</v>
      </c>
      <c r="F110" s="23"/>
      <c r="G110" s="24">
        <v>2500</v>
      </c>
      <c r="H110" s="24">
        <v>35902.660000000003</v>
      </c>
      <c r="I110" s="9">
        <f t="shared" si="2"/>
        <v>-2500</v>
      </c>
      <c r="J110" s="1" t="s">
        <v>22</v>
      </c>
    </row>
    <row r="111" spans="1:10" ht="20.100000000000001" customHeight="1">
      <c r="A111" s="3">
        <v>230</v>
      </c>
      <c r="B111" s="27" t="s">
        <v>177</v>
      </c>
      <c r="C111" s="3" t="s">
        <v>104</v>
      </c>
      <c r="D111" s="4" t="s">
        <v>9</v>
      </c>
      <c r="E111" s="5" t="s">
        <v>10</v>
      </c>
      <c r="F111" s="24">
        <v>1125</v>
      </c>
      <c r="G111" s="23"/>
      <c r="H111" s="24">
        <v>37027.660000000003</v>
      </c>
      <c r="I111" s="9">
        <f t="shared" si="2"/>
        <v>1125</v>
      </c>
      <c r="J111" s="1" t="s">
        <v>19</v>
      </c>
    </row>
    <row r="112" spans="1:10" ht="20.100000000000001" customHeight="1">
      <c r="A112" s="3">
        <v>231</v>
      </c>
      <c r="B112" s="27" t="s">
        <v>177</v>
      </c>
      <c r="C112" s="3" t="s">
        <v>104</v>
      </c>
      <c r="D112" s="4" t="s">
        <v>8</v>
      </c>
      <c r="E112" s="5" t="s">
        <v>7</v>
      </c>
      <c r="F112" s="23"/>
      <c r="G112" s="24">
        <v>1047</v>
      </c>
      <c r="H112" s="24">
        <v>35980.660000000003</v>
      </c>
      <c r="I112" s="9">
        <f t="shared" si="2"/>
        <v>-1047</v>
      </c>
      <c r="J112" s="1" t="s">
        <v>21</v>
      </c>
    </row>
    <row r="113" spans="1:10" ht="20.100000000000001" customHeight="1">
      <c r="A113" s="3">
        <v>232</v>
      </c>
      <c r="B113" s="27" t="s">
        <v>177</v>
      </c>
      <c r="C113" s="3" t="s">
        <v>103</v>
      </c>
      <c r="D113" s="4" t="s">
        <v>9</v>
      </c>
      <c r="E113" s="5" t="s">
        <v>10</v>
      </c>
      <c r="F113" s="24">
        <v>375</v>
      </c>
      <c r="G113" s="23"/>
      <c r="H113" s="24">
        <v>36355.660000000003</v>
      </c>
      <c r="I113" s="9">
        <f t="shared" si="2"/>
        <v>375</v>
      </c>
      <c r="J113" s="1" t="s">
        <v>19</v>
      </c>
    </row>
    <row r="114" spans="1:10" ht="20.100000000000001" customHeight="1">
      <c r="A114" s="3">
        <v>233</v>
      </c>
      <c r="B114" s="27" t="s">
        <v>177</v>
      </c>
      <c r="C114" s="3" t="s">
        <v>102</v>
      </c>
      <c r="D114" s="4" t="s">
        <v>11</v>
      </c>
      <c r="E114" s="5" t="s">
        <v>7</v>
      </c>
      <c r="F114" s="23"/>
      <c r="G114" s="24">
        <v>600</v>
      </c>
      <c r="H114" s="24">
        <v>35755.660000000003</v>
      </c>
      <c r="I114" s="9">
        <f t="shared" si="2"/>
        <v>-600</v>
      </c>
      <c r="J114" s="1" t="s">
        <v>22</v>
      </c>
    </row>
    <row r="115" spans="1:10" ht="20.100000000000001" customHeight="1">
      <c r="A115" s="3">
        <v>234</v>
      </c>
      <c r="B115" s="27" t="s">
        <v>177</v>
      </c>
      <c r="C115" s="3" t="s">
        <v>101</v>
      </c>
      <c r="D115" s="4" t="s">
        <v>9</v>
      </c>
      <c r="E115" s="5" t="s">
        <v>10</v>
      </c>
      <c r="F115" s="24">
        <v>2650</v>
      </c>
      <c r="G115" s="23"/>
      <c r="H115" s="24">
        <v>38405.660000000003</v>
      </c>
      <c r="I115" s="9">
        <f t="shared" si="2"/>
        <v>2650</v>
      </c>
      <c r="J115" s="1" t="s">
        <v>19</v>
      </c>
    </row>
    <row r="116" spans="1:10" ht="20.100000000000001" customHeight="1">
      <c r="A116" s="3">
        <v>235</v>
      </c>
      <c r="B116" s="27" t="s">
        <v>177</v>
      </c>
      <c r="C116" s="3" t="s">
        <v>100</v>
      </c>
      <c r="D116" s="4" t="s">
        <v>11</v>
      </c>
      <c r="E116" s="5" t="s">
        <v>7</v>
      </c>
      <c r="F116" s="23"/>
      <c r="G116" s="24">
        <v>400</v>
      </c>
      <c r="H116" s="24">
        <v>38005.660000000003</v>
      </c>
      <c r="I116" s="9">
        <f t="shared" si="2"/>
        <v>-400</v>
      </c>
      <c r="J116" s="1" t="s">
        <v>22</v>
      </c>
    </row>
    <row r="117" spans="1:10" ht="20.100000000000001" customHeight="1">
      <c r="A117" s="3">
        <v>236</v>
      </c>
      <c r="B117" s="27" t="s">
        <v>177</v>
      </c>
      <c r="C117" s="3" t="s">
        <v>99</v>
      </c>
      <c r="D117" s="4" t="s">
        <v>9</v>
      </c>
      <c r="E117" s="5" t="s">
        <v>10</v>
      </c>
      <c r="F117" s="24">
        <v>1100</v>
      </c>
      <c r="G117" s="23"/>
      <c r="H117" s="24">
        <v>39105.660000000003</v>
      </c>
      <c r="I117" s="9">
        <f t="shared" si="2"/>
        <v>1100</v>
      </c>
      <c r="J117" s="1" t="s">
        <v>19</v>
      </c>
    </row>
    <row r="118" spans="1:10" ht="20.100000000000001" customHeight="1">
      <c r="A118" s="3">
        <v>237</v>
      </c>
      <c r="B118" s="27" t="s">
        <v>177</v>
      </c>
      <c r="C118" s="3" t="s">
        <v>98</v>
      </c>
      <c r="D118" s="4" t="s">
        <v>6</v>
      </c>
      <c r="E118" s="5" t="s">
        <v>7</v>
      </c>
      <c r="F118" s="23"/>
      <c r="G118" s="24">
        <v>2500</v>
      </c>
      <c r="H118" s="24">
        <v>36605.660000000003</v>
      </c>
      <c r="I118" s="9">
        <f t="shared" si="2"/>
        <v>-2500</v>
      </c>
      <c r="J118" s="1" t="s">
        <v>22</v>
      </c>
    </row>
    <row r="119" spans="1:10" ht="20.100000000000001" customHeight="1">
      <c r="A119" s="3">
        <v>238</v>
      </c>
      <c r="B119" s="27" t="s">
        <v>177</v>
      </c>
      <c r="C119" s="3" t="s">
        <v>96</v>
      </c>
      <c r="D119" s="4" t="s">
        <v>97</v>
      </c>
      <c r="E119" s="5" t="s">
        <v>7</v>
      </c>
      <c r="F119" s="23"/>
      <c r="G119" s="7">
        <v>10449.49</v>
      </c>
      <c r="H119" s="24">
        <v>26156.17</v>
      </c>
      <c r="I119" s="9">
        <f t="shared" si="2"/>
        <v>-10449.49</v>
      </c>
      <c r="J119" s="1" t="s">
        <v>28</v>
      </c>
    </row>
    <row r="120" spans="1:10" ht="20.100000000000001" customHeight="1">
      <c r="A120" s="3">
        <v>239</v>
      </c>
      <c r="B120" s="27" t="s">
        <v>177</v>
      </c>
      <c r="C120" s="3" t="s">
        <v>96</v>
      </c>
      <c r="D120" s="4" t="s">
        <v>13</v>
      </c>
      <c r="E120" s="5" t="s">
        <v>7</v>
      </c>
      <c r="F120" s="23"/>
      <c r="G120" s="7">
        <v>6466.69</v>
      </c>
      <c r="H120" s="24">
        <v>19689.48</v>
      </c>
      <c r="I120" s="9">
        <f t="shared" si="2"/>
        <v>-6466.69</v>
      </c>
      <c r="J120" s="1" t="s">
        <v>27</v>
      </c>
    </row>
    <row r="121" spans="1:10" ht="20.100000000000001" customHeight="1">
      <c r="A121" s="3">
        <v>240</v>
      </c>
      <c r="B121" s="27" t="s">
        <v>177</v>
      </c>
      <c r="C121" s="3" t="s">
        <v>96</v>
      </c>
      <c r="D121" s="4" t="s">
        <v>6</v>
      </c>
      <c r="E121" s="5" t="s">
        <v>7</v>
      </c>
      <c r="F121" s="23"/>
      <c r="G121" s="24">
        <v>600</v>
      </c>
      <c r="H121" s="24">
        <v>19089.48</v>
      </c>
      <c r="I121" s="9">
        <f t="shared" si="2"/>
        <v>-600</v>
      </c>
      <c r="J121" s="1" t="s">
        <v>22</v>
      </c>
    </row>
    <row r="122" spans="1:10" s="38" customFormat="1" ht="19.899999999999999" customHeight="1">
      <c r="A122" s="3">
        <v>241</v>
      </c>
      <c r="B122" s="27" t="s">
        <v>177</v>
      </c>
      <c r="C122" s="3" t="s">
        <v>95</v>
      </c>
      <c r="D122" s="4" t="s">
        <v>9</v>
      </c>
      <c r="E122" s="5" t="s">
        <v>10</v>
      </c>
      <c r="F122" s="24">
        <v>1525</v>
      </c>
      <c r="G122" s="23"/>
      <c r="H122" s="24">
        <v>20614.48</v>
      </c>
      <c r="I122" s="9">
        <f t="shared" si="2"/>
        <v>1525</v>
      </c>
      <c r="J122" s="1" t="s">
        <v>19</v>
      </c>
    </row>
    <row r="123" spans="1:10" ht="19.899999999999999" customHeight="1">
      <c r="A123" s="3">
        <v>242</v>
      </c>
      <c r="B123" s="27" t="s">
        <v>177</v>
      </c>
      <c r="C123" s="3" t="s">
        <v>95</v>
      </c>
      <c r="D123" s="4" t="s">
        <v>6</v>
      </c>
      <c r="E123" s="5" t="s">
        <v>7</v>
      </c>
      <c r="F123" s="23"/>
      <c r="G123" s="24">
        <v>600</v>
      </c>
      <c r="H123" s="24">
        <v>20014.48</v>
      </c>
      <c r="I123" s="9">
        <f t="shared" si="2"/>
        <v>-600</v>
      </c>
      <c r="J123" s="1" t="s">
        <v>22</v>
      </c>
    </row>
    <row r="124" spans="1:10" ht="19.899999999999999" customHeight="1">
      <c r="A124" s="3">
        <v>243</v>
      </c>
      <c r="B124" s="27" t="s">
        <v>177</v>
      </c>
      <c r="C124" s="3" t="s">
        <v>94</v>
      </c>
      <c r="D124" s="4" t="s">
        <v>6</v>
      </c>
      <c r="E124" s="5" t="s">
        <v>7</v>
      </c>
      <c r="F124" s="23"/>
      <c r="G124" s="24">
        <v>1000</v>
      </c>
      <c r="H124" s="24">
        <v>19014.48</v>
      </c>
      <c r="I124" s="9">
        <f t="shared" si="2"/>
        <v>-1000</v>
      </c>
      <c r="J124" s="1" t="s">
        <v>22</v>
      </c>
    </row>
    <row r="125" spans="1:10" ht="19.899999999999999" customHeight="1">
      <c r="A125" s="3">
        <v>244</v>
      </c>
      <c r="B125" s="27" t="s">
        <v>177</v>
      </c>
      <c r="C125" s="3" t="s">
        <v>93</v>
      </c>
      <c r="D125" s="4" t="s">
        <v>8</v>
      </c>
      <c r="E125" s="5" t="s">
        <v>7</v>
      </c>
      <c r="F125" s="23"/>
      <c r="G125" s="24">
        <v>1047</v>
      </c>
      <c r="H125" s="24">
        <v>17967.48</v>
      </c>
      <c r="I125" s="9">
        <f t="shared" si="2"/>
        <v>-1047</v>
      </c>
      <c r="J125" s="1" t="s">
        <v>21</v>
      </c>
    </row>
    <row r="126" spans="1:10" ht="19.899999999999999" customHeight="1">
      <c r="A126" s="3">
        <v>245</v>
      </c>
      <c r="B126" s="27" t="s">
        <v>177</v>
      </c>
      <c r="C126" s="3" t="s">
        <v>93</v>
      </c>
      <c r="D126" s="4" t="s">
        <v>11</v>
      </c>
      <c r="E126" s="5" t="s">
        <v>7</v>
      </c>
      <c r="F126" s="23"/>
      <c r="G126" s="24">
        <v>900</v>
      </c>
      <c r="H126" s="24">
        <v>17067.48</v>
      </c>
      <c r="I126" s="9">
        <f t="shared" si="2"/>
        <v>-900</v>
      </c>
      <c r="J126" s="1" t="s">
        <v>22</v>
      </c>
    </row>
    <row r="127" spans="1:10" ht="19.899999999999999" customHeight="1">
      <c r="A127" s="3">
        <v>246</v>
      </c>
      <c r="B127" s="27" t="s">
        <v>177</v>
      </c>
      <c r="C127" s="3" t="s">
        <v>92</v>
      </c>
      <c r="D127" s="4" t="s">
        <v>9</v>
      </c>
      <c r="E127" s="5" t="s">
        <v>10</v>
      </c>
      <c r="F127" s="24">
        <v>375</v>
      </c>
      <c r="G127" s="23"/>
      <c r="H127" s="24">
        <v>17442.48</v>
      </c>
      <c r="I127" s="9">
        <f t="shared" si="2"/>
        <v>375</v>
      </c>
      <c r="J127" s="1" t="s">
        <v>19</v>
      </c>
    </row>
    <row r="128" spans="1:10" ht="19.899999999999999" customHeight="1">
      <c r="A128" s="3">
        <v>247</v>
      </c>
      <c r="B128" s="27" t="s">
        <v>177</v>
      </c>
      <c r="C128" s="3" t="s">
        <v>91</v>
      </c>
      <c r="D128" s="4" t="s">
        <v>9</v>
      </c>
      <c r="E128" s="5" t="s">
        <v>10</v>
      </c>
      <c r="F128" s="24">
        <v>750</v>
      </c>
      <c r="G128" s="23"/>
      <c r="H128" s="24">
        <v>18192.48</v>
      </c>
      <c r="I128" s="9">
        <f t="shared" si="2"/>
        <v>750</v>
      </c>
      <c r="J128" s="1" t="s">
        <v>19</v>
      </c>
    </row>
    <row r="129" spans="1:10" ht="19.899999999999999" customHeight="1">
      <c r="A129" s="3">
        <v>248</v>
      </c>
      <c r="B129" s="27" t="s">
        <v>177</v>
      </c>
      <c r="C129" s="3" t="s">
        <v>90</v>
      </c>
      <c r="D129" s="4" t="s">
        <v>9</v>
      </c>
      <c r="E129" s="5" t="s">
        <v>10</v>
      </c>
      <c r="F129" s="24">
        <v>566.5</v>
      </c>
      <c r="G129" s="23"/>
      <c r="H129" s="24">
        <v>18758.98</v>
      </c>
      <c r="I129" s="9">
        <f t="shared" si="2"/>
        <v>566.5</v>
      </c>
      <c r="J129" s="1" t="s">
        <v>19</v>
      </c>
    </row>
    <row r="130" spans="1:10" ht="19.899999999999999" customHeight="1">
      <c r="A130" s="3">
        <v>249</v>
      </c>
      <c r="B130" s="27" t="s">
        <v>177</v>
      </c>
      <c r="C130" s="3" t="s">
        <v>89</v>
      </c>
      <c r="D130" s="4" t="s">
        <v>6</v>
      </c>
      <c r="E130" s="5" t="s">
        <v>7</v>
      </c>
      <c r="F130" s="23"/>
      <c r="G130" s="24">
        <v>500</v>
      </c>
      <c r="H130" s="24">
        <v>18258.98</v>
      </c>
      <c r="I130" s="9">
        <f t="shared" si="2"/>
        <v>-500</v>
      </c>
      <c r="J130" s="1" t="s">
        <v>22</v>
      </c>
    </row>
    <row r="131" spans="1:10" ht="19.899999999999999" customHeight="1">
      <c r="A131" s="3">
        <v>250</v>
      </c>
      <c r="B131" s="27" t="s">
        <v>177</v>
      </c>
      <c r="C131" s="3" t="s">
        <v>88</v>
      </c>
      <c r="D131" s="4" t="s">
        <v>9</v>
      </c>
      <c r="E131" s="5" t="s">
        <v>10</v>
      </c>
      <c r="F131" s="24">
        <v>400</v>
      </c>
      <c r="G131" s="23"/>
      <c r="H131" s="24">
        <v>18658.98</v>
      </c>
      <c r="I131" s="9">
        <f t="shared" si="2"/>
        <v>400</v>
      </c>
      <c r="J131" s="1" t="s">
        <v>19</v>
      </c>
    </row>
    <row r="132" spans="1:10" ht="19.899999999999999" customHeight="1">
      <c r="A132" s="3">
        <v>251</v>
      </c>
      <c r="B132" s="27" t="s">
        <v>177</v>
      </c>
      <c r="C132" s="3" t="s">
        <v>87</v>
      </c>
      <c r="D132" s="4" t="s">
        <v>9</v>
      </c>
      <c r="E132" s="5" t="s">
        <v>10</v>
      </c>
      <c r="F132" s="24">
        <v>800</v>
      </c>
      <c r="G132" s="23"/>
      <c r="H132" s="24">
        <v>19458.98</v>
      </c>
      <c r="I132" s="9">
        <f t="shared" si="2"/>
        <v>800</v>
      </c>
      <c r="J132" s="1" t="s">
        <v>19</v>
      </c>
    </row>
    <row r="133" spans="1:10" ht="19.899999999999999" customHeight="1">
      <c r="A133" s="3">
        <v>252</v>
      </c>
      <c r="B133" s="27" t="s">
        <v>177</v>
      </c>
      <c r="C133" s="3" t="s">
        <v>87</v>
      </c>
      <c r="D133" s="4" t="s">
        <v>12</v>
      </c>
      <c r="E133" s="5" t="s">
        <v>7</v>
      </c>
      <c r="F133" s="23"/>
      <c r="G133" s="24">
        <v>45.19</v>
      </c>
      <c r="H133" s="24">
        <v>19413.79</v>
      </c>
      <c r="I133" s="9">
        <f t="shared" si="2"/>
        <v>-45.19</v>
      </c>
      <c r="J133" s="1" t="s">
        <v>26</v>
      </c>
    </row>
    <row r="134" spans="1:10" ht="19.899999999999999" customHeight="1">
      <c r="A134" s="3">
        <v>253</v>
      </c>
      <c r="B134" s="27" t="s">
        <v>177</v>
      </c>
      <c r="C134" s="3" t="s">
        <v>86</v>
      </c>
      <c r="D134" s="4" t="s">
        <v>11</v>
      </c>
      <c r="E134" s="5" t="s">
        <v>7</v>
      </c>
      <c r="F134" s="23"/>
      <c r="G134" s="24">
        <v>410</v>
      </c>
      <c r="H134" s="24">
        <v>19003.79</v>
      </c>
      <c r="I134" s="9">
        <f t="shared" si="2"/>
        <v>-410</v>
      </c>
      <c r="J134" s="1" t="s">
        <v>22</v>
      </c>
    </row>
    <row r="135" spans="1:10" ht="19.899999999999999" customHeight="1">
      <c r="A135" s="3">
        <v>254</v>
      </c>
      <c r="B135" s="27" t="s">
        <v>177</v>
      </c>
      <c r="C135" s="3" t="s">
        <v>86</v>
      </c>
      <c r="D135" s="4" t="s">
        <v>6</v>
      </c>
      <c r="E135" s="5" t="s">
        <v>7</v>
      </c>
      <c r="F135" s="23"/>
      <c r="G135" s="24">
        <v>1000</v>
      </c>
      <c r="H135" s="24">
        <v>18003.79</v>
      </c>
      <c r="I135" s="9">
        <f t="shared" si="2"/>
        <v>-1000</v>
      </c>
      <c r="J135" s="1" t="s">
        <v>22</v>
      </c>
    </row>
    <row r="136" spans="1:10" ht="19.899999999999999" customHeight="1">
      <c r="A136" s="3">
        <v>255</v>
      </c>
      <c r="B136" s="27" t="s">
        <v>177</v>
      </c>
      <c r="C136" s="3" t="s">
        <v>85</v>
      </c>
      <c r="D136" s="4" t="s">
        <v>11</v>
      </c>
      <c r="E136" s="5" t="s">
        <v>7</v>
      </c>
      <c r="F136" s="23"/>
      <c r="G136" s="24">
        <v>500</v>
      </c>
      <c r="H136" s="24">
        <v>17503.79</v>
      </c>
      <c r="I136" s="9">
        <f t="shared" si="2"/>
        <v>-500</v>
      </c>
      <c r="J136" s="1" t="s">
        <v>22</v>
      </c>
    </row>
    <row r="137" spans="1:10" ht="19.899999999999999" customHeight="1">
      <c r="A137" s="3">
        <v>256</v>
      </c>
      <c r="B137" s="27" t="s">
        <v>177</v>
      </c>
      <c r="C137" s="3" t="s">
        <v>84</v>
      </c>
      <c r="D137" s="4" t="s">
        <v>11</v>
      </c>
      <c r="E137" s="5" t="s">
        <v>7</v>
      </c>
      <c r="F137" s="23"/>
      <c r="G137" s="24">
        <v>500</v>
      </c>
      <c r="H137" s="24">
        <v>17003.79</v>
      </c>
      <c r="I137" s="9">
        <f t="shared" si="2"/>
        <v>-500</v>
      </c>
      <c r="J137" s="1" t="s">
        <v>22</v>
      </c>
    </row>
    <row r="138" spans="1:10" ht="19.899999999999999" customHeight="1">
      <c r="A138" s="3">
        <v>257</v>
      </c>
      <c r="B138" s="27" t="s">
        <v>177</v>
      </c>
      <c r="C138" s="3" t="s">
        <v>83</v>
      </c>
      <c r="D138" s="4" t="s">
        <v>9</v>
      </c>
      <c r="E138" s="5" t="s">
        <v>10</v>
      </c>
      <c r="F138" s="24">
        <v>750</v>
      </c>
      <c r="G138" s="23"/>
      <c r="H138" s="24">
        <v>17753.79</v>
      </c>
      <c r="I138" s="9">
        <f t="shared" ref="I138:I181" si="3">F138-G138</f>
        <v>750</v>
      </c>
      <c r="J138" s="1" t="s">
        <v>19</v>
      </c>
    </row>
    <row r="139" spans="1:10" ht="19.899999999999999" customHeight="1">
      <c r="A139" s="3">
        <v>258</v>
      </c>
      <c r="B139" s="27" t="s">
        <v>177</v>
      </c>
      <c r="C139" s="3" t="s">
        <v>82</v>
      </c>
      <c r="D139" s="4" t="s">
        <v>6</v>
      </c>
      <c r="E139" s="5" t="s">
        <v>7</v>
      </c>
      <c r="F139" s="23"/>
      <c r="G139" s="24">
        <v>1500</v>
      </c>
      <c r="H139" s="24">
        <v>16253.79</v>
      </c>
      <c r="I139" s="9">
        <f t="shared" si="3"/>
        <v>-1500</v>
      </c>
      <c r="J139" s="1" t="s">
        <v>22</v>
      </c>
    </row>
    <row r="140" spans="1:10" ht="19.899999999999999" customHeight="1">
      <c r="A140" s="3">
        <v>259</v>
      </c>
      <c r="B140" s="27" t="s">
        <v>177</v>
      </c>
      <c r="C140" s="3" t="s">
        <v>81</v>
      </c>
      <c r="D140" s="4" t="s">
        <v>11</v>
      </c>
      <c r="E140" s="5" t="s">
        <v>7</v>
      </c>
      <c r="F140" s="23"/>
      <c r="G140" s="24">
        <v>100</v>
      </c>
      <c r="H140" s="24">
        <v>16153.79</v>
      </c>
      <c r="I140" s="9">
        <f t="shared" si="3"/>
        <v>-100</v>
      </c>
      <c r="J140" s="1" t="s">
        <v>22</v>
      </c>
    </row>
    <row r="141" spans="1:10" ht="19.899999999999999" customHeight="1">
      <c r="A141" s="3">
        <v>260</v>
      </c>
      <c r="B141" s="27" t="s">
        <v>177</v>
      </c>
      <c r="C141" s="3" t="s">
        <v>80</v>
      </c>
      <c r="D141" s="4" t="s">
        <v>11</v>
      </c>
      <c r="E141" s="5" t="s">
        <v>7</v>
      </c>
      <c r="F141" s="23"/>
      <c r="G141" s="24">
        <v>100</v>
      </c>
      <c r="H141" s="24">
        <v>16053.79</v>
      </c>
      <c r="I141" s="9">
        <f t="shared" si="3"/>
        <v>-100</v>
      </c>
      <c r="J141" s="1" t="s">
        <v>22</v>
      </c>
    </row>
    <row r="142" spans="1:10" ht="19.899999999999999" customHeight="1">
      <c r="A142" s="3">
        <v>261</v>
      </c>
      <c r="B142" s="27" t="s">
        <v>177</v>
      </c>
      <c r="C142" s="3" t="s">
        <v>79</v>
      </c>
      <c r="D142" s="4" t="s">
        <v>9</v>
      </c>
      <c r="E142" s="5" t="s">
        <v>10</v>
      </c>
      <c r="F142" s="24">
        <v>2000</v>
      </c>
      <c r="G142" s="23"/>
      <c r="H142" s="24">
        <v>18053.79</v>
      </c>
      <c r="I142" s="9">
        <f t="shared" si="3"/>
        <v>2000</v>
      </c>
      <c r="J142" s="1" t="s">
        <v>19</v>
      </c>
    </row>
    <row r="143" spans="1:10" ht="19.899999999999999" customHeight="1">
      <c r="A143" s="3">
        <v>262</v>
      </c>
      <c r="B143" s="27" t="s">
        <v>177</v>
      </c>
      <c r="C143" s="3" t="s">
        <v>78</v>
      </c>
      <c r="D143" s="4" t="s">
        <v>9</v>
      </c>
      <c r="E143" s="5" t="s">
        <v>10</v>
      </c>
      <c r="F143" s="24">
        <v>750</v>
      </c>
      <c r="G143" s="23"/>
      <c r="H143" s="24">
        <v>18803.79</v>
      </c>
      <c r="I143" s="9">
        <f t="shared" si="3"/>
        <v>750</v>
      </c>
      <c r="J143" s="1" t="s">
        <v>19</v>
      </c>
    </row>
    <row r="144" spans="1:10" ht="19.899999999999999" customHeight="1">
      <c r="A144" s="3">
        <v>263</v>
      </c>
      <c r="B144" s="27" t="s">
        <v>177</v>
      </c>
      <c r="C144" s="3" t="s">
        <v>78</v>
      </c>
      <c r="D144" s="4" t="s">
        <v>6</v>
      </c>
      <c r="E144" s="5" t="s">
        <v>7</v>
      </c>
      <c r="F144" s="23"/>
      <c r="G144" s="24">
        <v>2500</v>
      </c>
      <c r="H144" s="24">
        <v>16303.79</v>
      </c>
      <c r="I144" s="9">
        <f t="shared" si="3"/>
        <v>-2500</v>
      </c>
      <c r="J144" s="1" t="s">
        <v>22</v>
      </c>
    </row>
    <row r="145" spans="1:10" ht="19.899999999999999" customHeight="1">
      <c r="A145" s="3">
        <v>264</v>
      </c>
      <c r="B145" s="27" t="s">
        <v>177</v>
      </c>
      <c r="C145" s="3" t="s">
        <v>77</v>
      </c>
      <c r="D145" s="4" t="s">
        <v>8</v>
      </c>
      <c r="E145" s="5" t="s">
        <v>7</v>
      </c>
      <c r="F145" s="23"/>
      <c r="G145" s="24">
        <v>1047</v>
      </c>
      <c r="H145" s="24">
        <v>15256.79</v>
      </c>
      <c r="I145" s="9">
        <f t="shared" si="3"/>
        <v>-1047</v>
      </c>
      <c r="J145" s="1" t="s">
        <v>21</v>
      </c>
    </row>
    <row r="146" spans="1:10" ht="19.899999999999999" customHeight="1">
      <c r="A146" s="3">
        <v>265</v>
      </c>
      <c r="B146" s="27" t="s">
        <v>177</v>
      </c>
      <c r="C146" s="3" t="s">
        <v>76</v>
      </c>
      <c r="D146" s="4" t="s">
        <v>9</v>
      </c>
      <c r="E146" s="5" t="s">
        <v>10</v>
      </c>
      <c r="F146" s="24">
        <v>750</v>
      </c>
      <c r="G146" s="23"/>
      <c r="H146" s="24">
        <v>16006.79</v>
      </c>
      <c r="I146" s="9">
        <f t="shared" si="3"/>
        <v>750</v>
      </c>
      <c r="J146" s="1" t="s">
        <v>19</v>
      </c>
    </row>
    <row r="147" spans="1:10" ht="19.899999999999999" customHeight="1">
      <c r="A147" s="3">
        <v>266</v>
      </c>
      <c r="B147" s="27" t="s">
        <v>177</v>
      </c>
      <c r="C147" s="3" t="s">
        <v>75</v>
      </c>
      <c r="D147" s="4" t="s">
        <v>9</v>
      </c>
      <c r="E147" s="5" t="s">
        <v>10</v>
      </c>
      <c r="F147" s="24">
        <v>1150</v>
      </c>
      <c r="G147" s="23"/>
      <c r="H147" s="24">
        <v>17156.79</v>
      </c>
      <c r="I147" s="9">
        <f t="shared" si="3"/>
        <v>1150</v>
      </c>
      <c r="J147" s="1" t="s">
        <v>19</v>
      </c>
    </row>
    <row r="148" spans="1:10" ht="19.899999999999999" customHeight="1">
      <c r="A148" s="3">
        <v>267</v>
      </c>
      <c r="B148" s="27" t="s">
        <v>177</v>
      </c>
      <c r="C148" s="3" t="s">
        <v>74</v>
      </c>
      <c r="D148" s="4" t="s">
        <v>9</v>
      </c>
      <c r="E148" s="5" t="s">
        <v>10</v>
      </c>
      <c r="F148" s="24">
        <v>1650</v>
      </c>
      <c r="G148" s="23"/>
      <c r="H148" s="24">
        <v>18806.79</v>
      </c>
      <c r="I148" s="9">
        <f t="shared" si="3"/>
        <v>1650</v>
      </c>
      <c r="J148" s="1" t="s">
        <v>19</v>
      </c>
    </row>
    <row r="149" spans="1:10" ht="19.899999999999999" customHeight="1">
      <c r="A149" s="3">
        <v>268</v>
      </c>
      <c r="B149" s="27" t="s">
        <v>177</v>
      </c>
      <c r="C149" s="3" t="s">
        <v>74</v>
      </c>
      <c r="D149" s="4" t="s">
        <v>11</v>
      </c>
      <c r="E149" s="5" t="s">
        <v>7</v>
      </c>
      <c r="F149" s="23"/>
      <c r="G149" s="24">
        <v>200</v>
      </c>
      <c r="H149" s="24">
        <v>18606.79</v>
      </c>
      <c r="I149" s="9">
        <f t="shared" si="3"/>
        <v>-200</v>
      </c>
      <c r="J149" s="1" t="s">
        <v>22</v>
      </c>
    </row>
    <row r="150" spans="1:10" ht="19.899999999999999" customHeight="1">
      <c r="A150" s="3">
        <v>269</v>
      </c>
      <c r="B150" s="27" t="s">
        <v>177</v>
      </c>
      <c r="C150" s="3" t="s">
        <v>73</v>
      </c>
      <c r="D150" s="4" t="s">
        <v>11</v>
      </c>
      <c r="E150" s="5" t="s">
        <v>7</v>
      </c>
      <c r="F150" s="23"/>
      <c r="G150" s="24">
        <v>600</v>
      </c>
      <c r="H150" s="24">
        <v>18006.79</v>
      </c>
      <c r="I150" s="9">
        <f t="shared" si="3"/>
        <v>-600</v>
      </c>
      <c r="J150" s="1" t="s">
        <v>22</v>
      </c>
    </row>
    <row r="151" spans="1:10" ht="19.899999999999999" customHeight="1">
      <c r="A151" s="3">
        <v>270</v>
      </c>
      <c r="B151" s="27" t="s">
        <v>177</v>
      </c>
      <c r="C151" s="3" t="s">
        <v>72</v>
      </c>
      <c r="D151" s="4" t="s">
        <v>9</v>
      </c>
      <c r="E151" s="5" t="s">
        <v>10</v>
      </c>
      <c r="F151" s="24">
        <v>825</v>
      </c>
      <c r="G151" s="23"/>
      <c r="H151" s="24">
        <v>18831.79</v>
      </c>
      <c r="I151" s="9">
        <f t="shared" si="3"/>
        <v>825</v>
      </c>
      <c r="J151" s="1" t="s">
        <v>19</v>
      </c>
    </row>
    <row r="152" spans="1:10" ht="19.899999999999999" customHeight="1">
      <c r="A152" s="3">
        <v>271</v>
      </c>
      <c r="B152" s="27" t="s">
        <v>177</v>
      </c>
      <c r="C152" s="3" t="s">
        <v>72</v>
      </c>
      <c r="D152" s="4" t="s">
        <v>11</v>
      </c>
      <c r="E152" s="5" t="s">
        <v>7</v>
      </c>
      <c r="F152" s="23"/>
      <c r="G152" s="24">
        <v>200</v>
      </c>
      <c r="H152" s="24">
        <v>18631.79</v>
      </c>
      <c r="I152" s="9">
        <f t="shared" si="3"/>
        <v>-200</v>
      </c>
      <c r="J152" s="1" t="s">
        <v>22</v>
      </c>
    </row>
    <row r="153" spans="1:10" ht="19.899999999999999" customHeight="1">
      <c r="A153" s="3">
        <v>272</v>
      </c>
      <c r="B153" s="27" t="s">
        <v>177</v>
      </c>
      <c r="C153" s="3" t="s">
        <v>71</v>
      </c>
      <c r="D153" s="4" t="s">
        <v>11</v>
      </c>
      <c r="E153" s="5" t="s">
        <v>7</v>
      </c>
      <c r="F153" s="23"/>
      <c r="G153" s="24">
        <v>35</v>
      </c>
      <c r="H153" s="24">
        <v>18596.79</v>
      </c>
      <c r="I153" s="9">
        <f t="shared" si="3"/>
        <v>-35</v>
      </c>
      <c r="J153" s="1" t="s">
        <v>22</v>
      </c>
    </row>
    <row r="154" spans="1:10" ht="19.899999999999999" customHeight="1">
      <c r="A154" s="3">
        <v>273</v>
      </c>
      <c r="B154" s="27" t="s">
        <v>177</v>
      </c>
      <c r="C154" s="3" t="s">
        <v>71</v>
      </c>
      <c r="D154" s="4" t="s">
        <v>11</v>
      </c>
      <c r="E154" s="5" t="s">
        <v>7</v>
      </c>
      <c r="F154" s="23"/>
      <c r="G154" s="24">
        <v>166</v>
      </c>
      <c r="H154" s="24">
        <v>18430.79</v>
      </c>
      <c r="I154" s="9">
        <f t="shared" si="3"/>
        <v>-166</v>
      </c>
      <c r="J154" s="1" t="s">
        <v>22</v>
      </c>
    </row>
    <row r="155" spans="1:10" ht="19.899999999999999" customHeight="1">
      <c r="A155" s="3">
        <v>274</v>
      </c>
      <c r="B155" s="27" t="s">
        <v>177</v>
      </c>
      <c r="C155" s="3" t="s">
        <v>70</v>
      </c>
      <c r="D155" s="4" t="s">
        <v>11</v>
      </c>
      <c r="E155" s="5" t="s">
        <v>7</v>
      </c>
      <c r="F155" s="23"/>
      <c r="G155" s="24">
        <v>200</v>
      </c>
      <c r="H155" s="24">
        <v>18230.79</v>
      </c>
      <c r="I155" s="9">
        <f t="shared" si="3"/>
        <v>-200</v>
      </c>
      <c r="J155" s="1" t="s">
        <v>22</v>
      </c>
    </row>
    <row r="156" spans="1:10" ht="19.899999999999999" customHeight="1">
      <c r="A156" s="3">
        <v>275</v>
      </c>
      <c r="B156" s="27" t="s">
        <v>177</v>
      </c>
      <c r="C156" s="3" t="s">
        <v>70</v>
      </c>
      <c r="D156" s="4" t="s">
        <v>11</v>
      </c>
      <c r="E156" s="5" t="s">
        <v>7</v>
      </c>
      <c r="F156" s="23"/>
      <c r="G156" s="24">
        <v>800</v>
      </c>
      <c r="H156" s="24">
        <v>17430.79</v>
      </c>
      <c r="I156" s="9">
        <f t="shared" si="3"/>
        <v>-800</v>
      </c>
      <c r="J156" s="1" t="s">
        <v>22</v>
      </c>
    </row>
    <row r="157" spans="1:10" ht="19.899999999999999" customHeight="1">
      <c r="A157" s="3">
        <v>276</v>
      </c>
      <c r="B157" s="27" t="s">
        <v>177</v>
      </c>
      <c r="C157" s="3" t="s">
        <v>69</v>
      </c>
      <c r="D157" s="4" t="s">
        <v>9</v>
      </c>
      <c r="E157" s="5" t="s">
        <v>10</v>
      </c>
      <c r="F157" s="24">
        <v>350</v>
      </c>
      <c r="G157" s="23"/>
      <c r="H157" s="24">
        <v>17780.79</v>
      </c>
      <c r="I157" s="9">
        <f t="shared" si="3"/>
        <v>350</v>
      </c>
      <c r="J157" s="1" t="s">
        <v>19</v>
      </c>
    </row>
    <row r="158" spans="1:10" ht="19.899999999999999" customHeight="1">
      <c r="A158" s="3">
        <v>277</v>
      </c>
      <c r="B158" s="27" t="s">
        <v>177</v>
      </c>
      <c r="C158" s="3" t="s">
        <v>69</v>
      </c>
      <c r="D158" s="4" t="s">
        <v>11</v>
      </c>
      <c r="E158" s="5" t="s">
        <v>7</v>
      </c>
      <c r="F158" s="23"/>
      <c r="G158" s="24">
        <v>30</v>
      </c>
      <c r="H158" s="24">
        <v>17750.79</v>
      </c>
      <c r="I158" s="9">
        <f t="shared" si="3"/>
        <v>-30</v>
      </c>
      <c r="J158" s="1" t="s">
        <v>22</v>
      </c>
    </row>
    <row r="159" spans="1:10" ht="19.899999999999999" customHeight="1">
      <c r="A159" s="3">
        <v>278</v>
      </c>
      <c r="B159" s="27" t="s">
        <v>177</v>
      </c>
      <c r="C159" s="3" t="s">
        <v>68</v>
      </c>
      <c r="D159" s="4" t="s">
        <v>9</v>
      </c>
      <c r="E159" s="5" t="s">
        <v>10</v>
      </c>
      <c r="F159" s="24">
        <v>400</v>
      </c>
      <c r="G159" s="23"/>
      <c r="H159" s="24">
        <v>18150.79</v>
      </c>
      <c r="I159" s="9">
        <f t="shared" si="3"/>
        <v>400</v>
      </c>
      <c r="J159" s="1" t="s">
        <v>19</v>
      </c>
    </row>
    <row r="160" spans="1:10" ht="19.899999999999999" customHeight="1">
      <c r="A160" s="3">
        <v>279</v>
      </c>
      <c r="B160" s="27" t="s">
        <v>177</v>
      </c>
      <c r="C160" s="3" t="s">
        <v>68</v>
      </c>
      <c r="D160" s="4" t="s">
        <v>11</v>
      </c>
      <c r="E160" s="5" t="s">
        <v>7</v>
      </c>
      <c r="F160" s="23"/>
      <c r="G160" s="24">
        <v>150</v>
      </c>
      <c r="H160" s="24">
        <v>18000.79</v>
      </c>
      <c r="I160" s="9">
        <f t="shared" si="3"/>
        <v>-150</v>
      </c>
      <c r="J160" s="1" t="s">
        <v>22</v>
      </c>
    </row>
    <row r="161" spans="1:10" ht="19.899999999999999" customHeight="1">
      <c r="A161" s="3">
        <v>280</v>
      </c>
      <c r="B161" s="27" t="s">
        <v>177</v>
      </c>
      <c r="C161" s="3" t="s">
        <v>68</v>
      </c>
      <c r="D161" s="4" t="s">
        <v>11</v>
      </c>
      <c r="E161" s="5" t="s">
        <v>7</v>
      </c>
      <c r="F161" s="23"/>
      <c r="G161" s="24">
        <v>2500</v>
      </c>
      <c r="H161" s="24">
        <v>15500.79</v>
      </c>
      <c r="I161" s="9">
        <f t="shared" si="3"/>
        <v>-2500</v>
      </c>
      <c r="J161" s="1" t="s">
        <v>22</v>
      </c>
    </row>
    <row r="162" spans="1:10" ht="19.899999999999999" customHeight="1">
      <c r="A162" s="3">
        <v>281</v>
      </c>
      <c r="B162" s="27" t="s">
        <v>177</v>
      </c>
      <c r="C162" s="3" t="s">
        <v>67</v>
      </c>
      <c r="D162" s="4" t="s">
        <v>9</v>
      </c>
      <c r="E162" s="5" t="s">
        <v>10</v>
      </c>
      <c r="F162" s="24">
        <v>1175</v>
      </c>
      <c r="G162" s="23"/>
      <c r="H162" s="24">
        <v>16675.79</v>
      </c>
      <c r="I162" s="9">
        <f t="shared" si="3"/>
        <v>1175</v>
      </c>
      <c r="J162" s="1" t="s">
        <v>19</v>
      </c>
    </row>
    <row r="163" spans="1:10" ht="19.899999999999999" customHeight="1">
      <c r="A163" s="3">
        <v>282</v>
      </c>
      <c r="B163" s="27" t="s">
        <v>177</v>
      </c>
      <c r="C163" s="3" t="s">
        <v>66</v>
      </c>
      <c r="D163" s="4" t="s">
        <v>9</v>
      </c>
      <c r="E163" s="5" t="s">
        <v>10</v>
      </c>
      <c r="F163" s="24">
        <v>775</v>
      </c>
      <c r="G163" s="23"/>
      <c r="H163" s="24">
        <v>17450.79</v>
      </c>
      <c r="I163" s="9">
        <f t="shared" si="3"/>
        <v>775</v>
      </c>
      <c r="J163" s="1" t="s">
        <v>19</v>
      </c>
    </row>
    <row r="164" spans="1:10" ht="19.899999999999999" customHeight="1">
      <c r="A164" s="3">
        <v>283</v>
      </c>
      <c r="B164" s="27" t="s">
        <v>177</v>
      </c>
      <c r="C164" s="3" t="s">
        <v>66</v>
      </c>
      <c r="D164" s="4" t="s">
        <v>8</v>
      </c>
      <c r="E164" s="5" t="s">
        <v>7</v>
      </c>
      <c r="F164" s="23"/>
      <c r="G164" s="24">
        <v>1047</v>
      </c>
      <c r="H164" s="24">
        <v>16403.79</v>
      </c>
      <c r="I164" s="9">
        <f t="shared" si="3"/>
        <v>-1047</v>
      </c>
      <c r="J164" s="1" t="s">
        <v>21</v>
      </c>
    </row>
    <row r="165" spans="1:10" ht="19.899999999999999" customHeight="1">
      <c r="A165" s="3">
        <v>284</v>
      </c>
      <c r="B165" s="27" t="s">
        <v>177</v>
      </c>
      <c r="C165" s="3" t="s">
        <v>66</v>
      </c>
      <c r="D165" s="4" t="s">
        <v>14</v>
      </c>
      <c r="E165" s="5" t="s">
        <v>15</v>
      </c>
      <c r="F165" s="24">
        <v>375</v>
      </c>
      <c r="G165" s="23"/>
      <c r="H165" s="24">
        <v>16778.79</v>
      </c>
      <c r="I165" s="9">
        <f t="shared" si="3"/>
        <v>375</v>
      </c>
      <c r="J165" s="1" t="s">
        <v>19</v>
      </c>
    </row>
    <row r="166" spans="1:10" ht="19.899999999999999" customHeight="1">
      <c r="A166" s="3">
        <v>285</v>
      </c>
      <c r="B166" s="27" t="s">
        <v>177</v>
      </c>
      <c r="C166" s="3" t="s">
        <v>65</v>
      </c>
      <c r="D166" s="4" t="s">
        <v>9</v>
      </c>
      <c r="E166" s="5" t="s">
        <v>10</v>
      </c>
      <c r="F166" s="24">
        <v>350</v>
      </c>
      <c r="G166" s="23"/>
      <c r="H166" s="24">
        <v>17128.79</v>
      </c>
      <c r="I166" s="9">
        <f t="shared" si="3"/>
        <v>350</v>
      </c>
      <c r="J166" s="1" t="s">
        <v>19</v>
      </c>
    </row>
    <row r="167" spans="1:10" ht="19.899999999999999" customHeight="1">
      <c r="A167" s="3">
        <v>286</v>
      </c>
      <c r="B167" s="27" t="s">
        <v>177</v>
      </c>
      <c r="C167" s="3" t="s">
        <v>64</v>
      </c>
      <c r="D167" s="4" t="s">
        <v>9</v>
      </c>
      <c r="E167" s="5" t="s">
        <v>10</v>
      </c>
      <c r="F167" s="24">
        <v>1475</v>
      </c>
      <c r="G167" s="23"/>
      <c r="H167" s="24">
        <v>18603.79</v>
      </c>
      <c r="I167" s="9">
        <f t="shared" si="3"/>
        <v>1475</v>
      </c>
      <c r="J167" s="1" t="s">
        <v>19</v>
      </c>
    </row>
    <row r="168" spans="1:10" ht="19.899999999999999" customHeight="1">
      <c r="A168" s="3">
        <v>287</v>
      </c>
      <c r="B168" s="27" t="s">
        <v>177</v>
      </c>
      <c r="C168" s="3" t="s">
        <v>63</v>
      </c>
      <c r="D168" s="4" t="s">
        <v>9</v>
      </c>
      <c r="E168" s="5" t="s">
        <v>10</v>
      </c>
      <c r="F168" s="24">
        <v>1250</v>
      </c>
      <c r="G168" s="23"/>
      <c r="H168" s="24">
        <v>19853.79</v>
      </c>
      <c r="I168" s="9">
        <f t="shared" si="3"/>
        <v>1250</v>
      </c>
      <c r="J168" s="1" t="s">
        <v>19</v>
      </c>
    </row>
    <row r="169" spans="1:10" ht="19.899999999999999" customHeight="1">
      <c r="A169" s="3">
        <v>288</v>
      </c>
      <c r="B169" s="27" t="s">
        <v>177</v>
      </c>
      <c r="C169" s="3" t="s">
        <v>63</v>
      </c>
      <c r="D169" s="4" t="s">
        <v>11</v>
      </c>
      <c r="E169" s="5" t="s">
        <v>7</v>
      </c>
      <c r="F169" s="23"/>
      <c r="G169" s="24">
        <v>500</v>
      </c>
      <c r="H169" s="24">
        <v>19353.79</v>
      </c>
      <c r="I169" s="9">
        <f t="shared" si="3"/>
        <v>-500</v>
      </c>
      <c r="J169" s="1" t="s">
        <v>22</v>
      </c>
    </row>
    <row r="170" spans="1:10" ht="19.899999999999999" customHeight="1">
      <c r="A170" s="3">
        <v>289</v>
      </c>
      <c r="B170" s="27" t="s">
        <v>177</v>
      </c>
      <c r="C170" s="3" t="s">
        <v>62</v>
      </c>
      <c r="D170" s="4" t="s">
        <v>11</v>
      </c>
      <c r="E170" s="5" t="s">
        <v>7</v>
      </c>
      <c r="F170" s="23"/>
      <c r="G170" s="24">
        <v>300</v>
      </c>
      <c r="H170" s="24">
        <v>19053.79</v>
      </c>
      <c r="I170" s="9">
        <f t="shared" si="3"/>
        <v>-300</v>
      </c>
      <c r="J170" s="1" t="s">
        <v>22</v>
      </c>
    </row>
    <row r="171" spans="1:10" ht="19.899999999999999" customHeight="1">
      <c r="A171" s="3">
        <v>290</v>
      </c>
      <c r="B171" s="27" t="s">
        <v>177</v>
      </c>
      <c r="C171" s="3" t="s">
        <v>61</v>
      </c>
      <c r="D171" s="4" t="s">
        <v>9</v>
      </c>
      <c r="E171" s="5" t="s">
        <v>10</v>
      </c>
      <c r="F171" s="24">
        <v>775</v>
      </c>
      <c r="G171" s="23"/>
      <c r="H171" s="24">
        <v>19828.79</v>
      </c>
      <c r="I171" s="9">
        <f t="shared" si="3"/>
        <v>775</v>
      </c>
      <c r="J171" s="1" t="s">
        <v>19</v>
      </c>
    </row>
    <row r="172" spans="1:10" ht="19.899999999999999" customHeight="1">
      <c r="A172" s="3">
        <v>291</v>
      </c>
      <c r="B172" s="27" t="s">
        <v>177</v>
      </c>
      <c r="C172" s="3" t="s">
        <v>60</v>
      </c>
      <c r="D172" s="4" t="s">
        <v>11</v>
      </c>
      <c r="E172" s="5" t="s">
        <v>7</v>
      </c>
      <c r="F172" s="23"/>
      <c r="G172" s="24">
        <v>300</v>
      </c>
      <c r="H172" s="24">
        <v>19528.79</v>
      </c>
      <c r="I172" s="9">
        <f t="shared" si="3"/>
        <v>-300</v>
      </c>
      <c r="J172" s="1" t="s">
        <v>22</v>
      </c>
    </row>
    <row r="173" spans="1:10" ht="19.899999999999999" customHeight="1">
      <c r="A173" s="3">
        <v>292</v>
      </c>
      <c r="B173" s="27" t="s">
        <v>177</v>
      </c>
      <c r="C173" s="3" t="s">
        <v>59</v>
      </c>
      <c r="D173" s="4" t="s">
        <v>9</v>
      </c>
      <c r="E173" s="5" t="s">
        <v>10</v>
      </c>
      <c r="F173" s="24">
        <v>1225</v>
      </c>
      <c r="G173" s="23"/>
      <c r="H173" s="24">
        <v>20753.79</v>
      </c>
      <c r="I173" s="9">
        <f t="shared" si="3"/>
        <v>1225</v>
      </c>
      <c r="J173" s="1" t="s">
        <v>19</v>
      </c>
    </row>
    <row r="174" spans="1:10" ht="19.899999999999999" customHeight="1">
      <c r="A174" s="3">
        <v>293</v>
      </c>
      <c r="B174" s="27" t="s">
        <v>177</v>
      </c>
      <c r="C174" s="3" t="s">
        <v>58</v>
      </c>
      <c r="D174" s="4" t="s">
        <v>9</v>
      </c>
      <c r="E174" s="5" t="s">
        <v>10</v>
      </c>
      <c r="F174" s="24">
        <v>750</v>
      </c>
      <c r="G174" s="23"/>
      <c r="H174" s="24">
        <v>21503.79</v>
      </c>
      <c r="I174" s="9">
        <f t="shared" si="3"/>
        <v>750</v>
      </c>
      <c r="J174" s="1" t="s">
        <v>19</v>
      </c>
    </row>
    <row r="175" spans="1:10" ht="19.899999999999999" customHeight="1">
      <c r="A175" s="3">
        <v>294</v>
      </c>
      <c r="B175" s="27" t="s">
        <v>177</v>
      </c>
      <c r="C175" s="3" t="s">
        <v>58</v>
      </c>
      <c r="D175" s="4" t="s">
        <v>11</v>
      </c>
      <c r="E175" s="5" t="s">
        <v>7</v>
      </c>
      <c r="F175" s="23"/>
      <c r="G175" s="24">
        <v>500</v>
      </c>
      <c r="H175" s="24">
        <v>21003.79</v>
      </c>
      <c r="I175" s="9">
        <f t="shared" si="3"/>
        <v>-500</v>
      </c>
      <c r="J175" s="1" t="s">
        <v>22</v>
      </c>
    </row>
    <row r="176" spans="1:10" ht="19.899999999999999" customHeight="1">
      <c r="A176" s="3">
        <v>295</v>
      </c>
      <c r="B176" s="27" t="s">
        <v>177</v>
      </c>
      <c r="C176" s="3" t="s">
        <v>57</v>
      </c>
      <c r="D176" s="4" t="s">
        <v>9</v>
      </c>
      <c r="E176" s="5" t="s">
        <v>10</v>
      </c>
      <c r="F176" s="24">
        <v>1225</v>
      </c>
      <c r="G176" s="23"/>
      <c r="H176" s="24">
        <v>22228.79</v>
      </c>
      <c r="I176" s="9">
        <f t="shared" si="3"/>
        <v>1225</v>
      </c>
      <c r="J176" s="1" t="s">
        <v>19</v>
      </c>
    </row>
    <row r="177" spans="1:10" ht="19.899999999999999" customHeight="1">
      <c r="A177" s="3">
        <v>296</v>
      </c>
      <c r="B177" s="27" t="s">
        <v>177</v>
      </c>
      <c r="C177" s="3" t="s">
        <v>55</v>
      </c>
      <c r="D177" s="4" t="s">
        <v>9</v>
      </c>
      <c r="E177" s="5" t="s">
        <v>10</v>
      </c>
      <c r="F177" s="24">
        <v>800</v>
      </c>
      <c r="G177" s="23"/>
      <c r="H177" s="24">
        <v>23028.79</v>
      </c>
      <c r="I177" s="9">
        <f t="shared" si="3"/>
        <v>800</v>
      </c>
      <c r="J177" s="1" t="s">
        <v>19</v>
      </c>
    </row>
    <row r="178" spans="1:10" ht="19.899999999999999" customHeight="1">
      <c r="A178" s="3">
        <v>297</v>
      </c>
      <c r="B178" s="27" t="s">
        <v>177</v>
      </c>
      <c r="C178" s="3" t="s">
        <v>55</v>
      </c>
      <c r="D178" s="4" t="s">
        <v>56</v>
      </c>
      <c r="E178" s="5" t="s">
        <v>7</v>
      </c>
      <c r="F178" s="23"/>
      <c r="G178" s="24">
        <v>2500</v>
      </c>
      <c r="H178" s="24">
        <v>20528.79</v>
      </c>
      <c r="I178" s="9">
        <f t="shared" si="3"/>
        <v>-2500</v>
      </c>
      <c r="J178" s="1" t="s">
        <v>22</v>
      </c>
    </row>
    <row r="179" spans="1:10" ht="19.899999999999999" customHeight="1">
      <c r="A179" s="3">
        <v>298</v>
      </c>
      <c r="B179" s="27" t="s">
        <v>177</v>
      </c>
      <c r="C179" s="3" t="s">
        <v>55</v>
      </c>
      <c r="D179" s="4" t="s">
        <v>8</v>
      </c>
      <c r="E179" s="5" t="s">
        <v>7</v>
      </c>
      <c r="F179" s="23"/>
      <c r="G179" s="24">
        <v>528</v>
      </c>
      <c r="H179" s="24">
        <v>20000.79</v>
      </c>
      <c r="I179" s="9">
        <f t="shared" si="3"/>
        <v>-528</v>
      </c>
      <c r="J179" s="1" t="s">
        <v>21</v>
      </c>
    </row>
    <row r="180" spans="1:10" ht="19.899999999999999" customHeight="1">
      <c r="A180" s="3">
        <v>299</v>
      </c>
      <c r="B180" s="27" t="s">
        <v>177</v>
      </c>
      <c r="C180" s="3" t="s">
        <v>55</v>
      </c>
      <c r="D180" s="4" t="s">
        <v>8</v>
      </c>
      <c r="E180" s="5" t="s">
        <v>7</v>
      </c>
      <c r="F180" s="23"/>
      <c r="G180" s="24">
        <v>1047</v>
      </c>
      <c r="H180" s="24">
        <v>18953.79</v>
      </c>
      <c r="I180" s="9">
        <f t="shared" si="3"/>
        <v>-1047</v>
      </c>
      <c r="J180" s="1" t="s">
        <v>21</v>
      </c>
    </row>
    <row r="181" spans="1:10" ht="19.899999999999999" customHeight="1">
      <c r="A181" s="3">
        <v>300</v>
      </c>
      <c r="B181" s="27" t="s">
        <v>177</v>
      </c>
      <c r="C181" s="3" t="s">
        <v>54</v>
      </c>
      <c r="D181" s="4" t="s">
        <v>11</v>
      </c>
      <c r="E181" s="5" t="s">
        <v>7</v>
      </c>
      <c r="F181" s="23"/>
      <c r="G181" s="26">
        <v>500</v>
      </c>
      <c r="H181" s="24">
        <v>18453.79</v>
      </c>
      <c r="I181" s="9">
        <f t="shared" si="3"/>
        <v>-500</v>
      </c>
      <c r="J181" s="1" t="s">
        <v>22</v>
      </c>
    </row>
  </sheetData>
  <autoFilter ref="A1:J181">
    <sortState ref="A2:J301">
      <sortCondition ref="A1:A301"/>
    </sortState>
  </autoFilter>
  <pageMargins left="1" right="1" top="1" bottom="1" header="0.25" footer="0.25"/>
  <pageSetup orientation="portrait"/>
  <headerFooter>
    <oddHeader>&amp;C&amp;"Calibri"&amp;12&amp;K000000 INTERNAL&amp;1#_x000D_</oddHead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C67"/>
  <sheetViews>
    <sheetView tabSelected="1" topLeftCell="A19" workbookViewId="0">
      <selection activeCell="I26" sqref="I26"/>
    </sheetView>
  </sheetViews>
  <sheetFormatPr defaultRowHeight="12.75"/>
  <cols>
    <col min="1" max="1" width="12.85546875" bestFit="1" customWidth="1"/>
    <col min="2" max="3" width="10.28515625" bestFit="1" customWidth="1"/>
    <col min="4" max="4" width="11.28515625" bestFit="1" customWidth="1"/>
    <col min="5" max="5" width="11.28515625" customWidth="1"/>
    <col min="6" max="6" width="11.5703125" bestFit="1" customWidth="1"/>
    <col min="7" max="7" width="10.28515625" style="14" bestFit="1" customWidth="1"/>
    <col min="9" max="9" width="50.42578125" style="14" bestFit="1" customWidth="1"/>
    <col min="10" max="10" width="10.28515625" style="14" bestFit="1" customWidth="1"/>
    <col min="11" max="11" width="13.42578125" style="8" bestFit="1" customWidth="1"/>
    <col min="12" max="12" width="10.28515625" style="14" bestFit="1" customWidth="1"/>
    <col min="13" max="13" width="9.140625" style="14"/>
    <col min="21" max="21" width="9.28515625" bestFit="1" customWidth="1"/>
    <col min="22" max="23" width="9.28515625" customWidth="1"/>
    <col min="24" max="25" width="10.28515625" bestFit="1" customWidth="1"/>
    <col min="26" max="26" width="10.42578125" style="14" bestFit="1" customWidth="1"/>
    <col min="27" max="27" width="9.140625" style="14"/>
    <col min="28" max="28" width="10.28515625" style="14" bestFit="1" customWidth="1"/>
    <col min="29" max="29" width="9.140625" style="14"/>
  </cols>
  <sheetData>
    <row r="3" spans="1:12" ht="25.5">
      <c r="A3" s="11" t="s">
        <v>25</v>
      </c>
      <c r="B3" s="39" t="s">
        <v>179</v>
      </c>
    </row>
    <row r="4" spans="1:12">
      <c r="A4" s="11" t="s">
        <v>178</v>
      </c>
      <c r="B4" s="10" t="s">
        <v>177</v>
      </c>
    </row>
    <row r="5" spans="1:12" ht="15" customHeight="1">
      <c r="A5" s="40" t="s">
        <v>48</v>
      </c>
      <c r="B5" s="12">
        <v>-613</v>
      </c>
      <c r="D5" t="s">
        <v>41</v>
      </c>
      <c r="F5" t="s">
        <v>41</v>
      </c>
      <c r="G5" s="14">
        <f>SUMIF(D:D,F5,B:B)</f>
        <v>78144.599999999991</v>
      </c>
      <c r="K5" s="20" t="s">
        <v>19</v>
      </c>
      <c r="L5" s="14">
        <f>SUMIF(A:A,K5,B:B)</f>
        <v>93181.489999999991</v>
      </c>
    </row>
    <row r="6" spans="1:12" ht="15" customHeight="1">
      <c r="A6" s="41" t="s">
        <v>22</v>
      </c>
      <c r="B6" s="42">
        <v>-63103</v>
      </c>
      <c r="D6" t="s">
        <v>40</v>
      </c>
      <c r="F6" t="s">
        <v>40</v>
      </c>
      <c r="G6" s="14">
        <f>SUMIF(D:D,F6,B:B)</f>
        <v>-80019.180000000008</v>
      </c>
      <c r="K6" s="20" t="s">
        <v>20</v>
      </c>
      <c r="L6" s="14">
        <f t="shared" ref="L6:L26" si="0">SUMIF(A:A,K6,B:B)</f>
        <v>0</v>
      </c>
    </row>
    <row r="7" spans="1:12" ht="15" customHeight="1">
      <c r="A7" s="41" t="s">
        <v>28</v>
      </c>
      <c r="B7" s="42">
        <v>-10449.49</v>
      </c>
      <c r="D7" t="s">
        <v>40</v>
      </c>
      <c r="G7" s="16">
        <f>SUM(G5:G6)</f>
        <v>-1874.5800000000163</v>
      </c>
      <c r="L7" s="14">
        <f t="shared" si="0"/>
        <v>0</v>
      </c>
    </row>
    <row r="8" spans="1:12" ht="15" customHeight="1">
      <c r="A8" s="41" t="s">
        <v>26</v>
      </c>
      <c r="B8" s="42">
        <v>-284.89</v>
      </c>
      <c r="D8" t="s">
        <v>41</v>
      </c>
      <c r="G8" s="17">
        <f>G7-B12</f>
        <v>0</v>
      </c>
      <c r="K8" s="20" t="s">
        <v>21</v>
      </c>
      <c r="L8" s="14">
        <f t="shared" si="0"/>
        <v>-14139</v>
      </c>
    </row>
    <row r="9" spans="1:12" ht="15" customHeight="1">
      <c r="A9" s="41" t="s">
        <v>27</v>
      </c>
      <c r="B9" s="42">
        <v>-6466.69</v>
      </c>
      <c r="D9" t="s">
        <v>40</v>
      </c>
      <c r="K9" s="20" t="s">
        <v>26</v>
      </c>
      <c r="L9" s="14">
        <f t="shared" si="0"/>
        <v>-284.89</v>
      </c>
    </row>
    <row r="10" spans="1:12" ht="15" customHeight="1">
      <c r="A10" s="41" t="s">
        <v>19</v>
      </c>
      <c r="B10" s="42">
        <v>93181.489999999991</v>
      </c>
      <c r="D10" t="s">
        <v>41</v>
      </c>
      <c r="K10" s="29"/>
      <c r="L10" s="14">
        <f t="shared" si="0"/>
        <v>0</v>
      </c>
    </row>
    <row r="11" spans="1:12" ht="15" customHeight="1">
      <c r="A11" s="41" t="s">
        <v>21</v>
      </c>
      <c r="B11" s="42">
        <v>-14139</v>
      </c>
      <c r="D11" t="s">
        <v>41</v>
      </c>
      <c r="K11" s="8" t="s">
        <v>49</v>
      </c>
      <c r="L11" s="14">
        <f t="shared" si="0"/>
        <v>0</v>
      </c>
    </row>
    <row r="12" spans="1:12" ht="15" customHeight="1">
      <c r="A12" s="43" t="s">
        <v>24</v>
      </c>
      <c r="B12" s="13">
        <v>-1874.5800000000163</v>
      </c>
      <c r="K12" s="8" t="s">
        <v>181</v>
      </c>
      <c r="L12" s="14">
        <f t="shared" si="0"/>
        <v>0</v>
      </c>
    </row>
    <row r="13" spans="1:12" ht="15" customHeight="1">
      <c r="K13" s="29" t="s">
        <v>52</v>
      </c>
      <c r="L13" s="14">
        <f t="shared" si="0"/>
        <v>0</v>
      </c>
    </row>
    <row r="14" spans="1:12" ht="15" customHeight="1">
      <c r="K14" s="8" t="s">
        <v>47</v>
      </c>
      <c r="L14" s="14">
        <f t="shared" si="0"/>
        <v>0</v>
      </c>
    </row>
    <row r="15" spans="1:12" ht="15" customHeight="1">
      <c r="K15" s="8" t="s">
        <v>182</v>
      </c>
      <c r="L15" s="14">
        <f t="shared" si="0"/>
        <v>0</v>
      </c>
    </row>
    <row r="16" spans="1:12">
      <c r="K16" s="8" t="s">
        <v>50</v>
      </c>
      <c r="L16" s="14">
        <f t="shared" si="0"/>
        <v>0</v>
      </c>
    </row>
    <row r="17" spans="11:12">
      <c r="K17" s="8" t="s">
        <v>51</v>
      </c>
      <c r="L17" s="14">
        <f t="shared" si="0"/>
        <v>0</v>
      </c>
    </row>
    <row r="18" spans="11:12">
      <c r="L18" s="14">
        <f t="shared" si="0"/>
        <v>0</v>
      </c>
    </row>
    <row r="19" spans="11:12">
      <c r="K19" s="8" t="s">
        <v>45</v>
      </c>
      <c r="L19" s="14">
        <f t="shared" si="0"/>
        <v>0</v>
      </c>
    </row>
    <row r="20" spans="11:12">
      <c r="K20" s="8" t="s">
        <v>180</v>
      </c>
      <c r="L20" s="14">
        <f t="shared" si="0"/>
        <v>0</v>
      </c>
    </row>
    <row r="21" spans="11:12">
      <c r="L21" s="14">
        <f t="shared" si="0"/>
        <v>0</v>
      </c>
    </row>
    <row r="22" spans="11:12">
      <c r="L22" s="14">
        <f t="shared" si="0"/>
        <v>0</v>
      </c>
    </row>
    <row r="23" spans="11:12">
      <c r="K23" s="8" t="s">
        <v>46</v>
      </c>
      <c r="L23" s="14">
        <f t="shared" si="0"/>
        <v>0</v>
      </c>
    </row>
    <row r="24" spans="11:12">
      <c r="L24" s="14">
        <f t="shared" si="0"/>
        <v>0</v>
      </c>
    </row>
    <row r="25" spans="11:12">
      <c r="K25" s="8" t="s">
        <v>48</v>
      </c>
      <c r="L25" s="14">
        <f t="shared" si="0"/>
        <v>-613</v>
      </c>
    </row>
    <row r="26" spans="11:12">
      <c r="K26" s="8" t="s">
        <v>53</v>
      </c>
      <c r="L26" s="14">
        <f t="shared" si="0"/>
        <v>0</v>
      </c>
    </row>
    <row r="29" spans="11:12">
      <c r="L29" s="16">
        <f>SUM(L5:L27)</f>
        <v>78144.599999999991</v>
      </c>
    </row>
    <row r="30" spans="11:12">
      <c r="L30" s="17">
        <f>L29-G5</f>
        <v>0</v>
      </c>
    </row>
    <row r="33" spans="5:12">
      <c r="E33" s="14"/>
    </row>
    <row r="34" spans="5:12">
      <c r="E34" s="14"/>
      <c r="I34" s="15" t="s">
        <v>29</v>
      </c>
      <c r="J34" s="18">
        <v>20328</v>
      </c>
      <c r="K34" s="14">
        <f>GETPIVOTDATA("Net",$A$3,"FY","2025")</f>
        <v>-1874.5800000000163</v>
      </c>
      <c r="L34" s="14">
        <f t="shared" ref="L34:L42" si="1">J34+K34</f>
        <v>18453.419999999984</v>
      </c>
    </row>
    <row r="35" spans="5:12">
      <c r="E35" s="14"/>
      <c r="I35" s="15" t="s">
        <v>30</v>
      </c>
      <c r="J35" s="18">
        <v>1</v>
      </c>
      <c r="K35" s="14"/>
      <c r="L35" s="14">
        <f t="shared" si="1"/>
        <v>1</v>
      </c>
    </row>
    <row r="36" spans="5:12">
      <c r="E36" s="14"/>
      <c r="I36" s="15" t="s">
        <v>31</v>
      </c>
      <c r="J36" s="18">
        <v>1899</v>
      </c>
      <c r="K36" s="14"/>
      <c r="L36" s="14">
        <f t="shared" si="1"/>
        <v>1899</v>
      </c>
    </row>
    <row r="37" spans="5:12">
      <c r="E37" s="14"/>
      <c r="I37" s="15" t="s">
        <v>32</v>
      </c>
      <c r="J37" s="18">
        <v>-734</v>
      </c>
      <c r="K37" s="14"/>
      <c r="L37" s="14">
        <f t="shared" si="1"/>
        <v>-734</v>
      </c>
    </row>
    <row r="38" spans="5:12">
      <c r="E38" s="14"/>
      <c r="I38" s="15" t="s">
        <v>53</v>
      </c>
      <c r="J38" s="18"/>
      <c r="K38" s="14"/>
      <c r="L38" s="14">
        <f t="shared" si="1"/>
        <v>0</v>
      </c>
    </row>
    <row r="39" spans="5:12">
      <c r="E39" s="14"/>
      <c r="I39" s="15" t="s">
        <v>33</v>
      </c>
      <c r="J39" s="18">
        <v>-613</v>
      </c>
      <c r="K39" s="14"/>
      <c r="L39" s="14">
        <f t="shared" si="1"/>
        <v>-613</v>
      </c>
    </row>
    <row r="40" spans="5:12">
      <c r="I40" s="15" t="s">
        <v>34</v>
      </c>
      <c r="J40" s="18">
        <v>-119</v>
      </c>
      <c r="K40" s="14"/>
      <c r="L40" s="14">
        <f t="shared" si="1"/>
        <v>-119</v>
      </c>
    </row>
    <row r="41" spans="5:12">
      <c r="E41" s="14"/>
      <c r="I41" s="15" t="s">
        <v>35</v>
      </c>
      <c r="J41" s="18">
        <v>-10449</v>
      </c>
      <c r="K41" s="14">
        <f>-GETPIVOTDATA("Net",$A$3,"FY","2025","UC category","HMRC CT")</f>
        <v>10449.49</v>
      </c>
      <c r="L41" s="14">
        <f t="shared" si="1"/>
        <v>0.48999999999978172</v>
      </c>
    </row>
    <row r="42" spans="5:12">
      <c r="E42" s="14"/>
      <c r="G42" s="22"/>
      <c r="I42" s="15" t="s">
        <v>36</v>
      </c>
      <c r="J42" s="18">
        <v>0</v>
      </c>
      <c r="K42" s="14">
        <f>-GETPIVOTDATA("Net",$A$3,"FY","2025","UC category","HMRC SA")</f>
        <v>6466.69</v>
      </c>
      <c r="L42" s="14">
        <f t="shared" si="1"/>
        <v>6466.69</v>
      </c>
    </row>
    <row r="43" spans="5:12">
      <c r="E43" s="14"/>
      <c r="I43"/>
      <c r="K43" s="14"/>
    </row>
    <row r="44" spans="5:12">
      <c r="E44" s="14"/>
      <c r="I44"/>
      <c r="K44" s="14"/>
    </row>
    <row r="45" spans="5:12">
      <c r="E45" s="14"/>
      <c r="I45"/>
      <c r="J45" s="16">
        <f>SUM(J34:J44)</f>
        <v>10313</v>
      </c>
      <c r="K45" s="14"/>
      <c r="L45" s="16">
        <f>SUM(L34:L44)</f>
        <v>25354.59999999998</v>
      </c>
    </row>
    <row r="46" spans="5:12">
      <c r="E46" s="14"/>
      <c r="I46"/>
      <c r="K46" s="14"/>
    </row>
    <row r="47" spans="5:12">
      <c r="E47" s="14"/>
      <c r="I47" s="15" t="s">
        <v>37</v>
      </c>
      <c r="J47" s="18">
        <v>-1</v>
      </c>
      <c r="K47" s="14"/>
      <c r="L47" s="14">
        <f>J47</f>
        <v>-1</v>
      </c>
    </row>
    <row r="48" spans="5:12">
      <c r="E48" s="14"/>
      <c r="I48" s="15" t="s">
        <v>38</v>
      </c>
      <c r="J48" s="18">
        <v>-13860</v>
      </c>
      <c r="K48" s="14"/>
      <c r="L48" s="14">
        <f>J48+J49+J50</f>
        <v>-10312</v>
      </c>
    </row>
    <row r="49" spans="5:12">
      <c r="E49" s="14"/>
      <c r="I49" s="15" t="s">
        <v>39</v>
      </c>
      <c r="J49" s="18">
        <v>46391</v>
      </c>
      <c r="K49" s="14"/>
    </row>
    <row r="50" spans="5:12">
      <c r="E50" s="14"/>
      <c r="I50" s="19" t="s">
        <v>42</v>
      </c>
      <c r="J50" s="14">
        <v>-42843</v>
      </c>
      <c r="K50" s="14"/>
    </row>
    <row r="51" spans="5:12">
      <c r="E51" s="14"/>
      <c r="I51" s="19" t="s">
        <v>43</v>
      </c>
      <c r="K51" s="14">
        <f>-GETPIVOTDATA("Net",$A$3,"FY","2025","UC category","Dividends")</f>
        <v>63103</v>
      </c>
      <c r="L51" s="14">
        <f>K51</f>
        <v>63103</v>
      </c>
    </row>
    <row r="52" spans="5:12">
      <c r="E52" s="14"/>
      <c r="I52" s="19" t="s">
        <v>44</v>
      </c>
      <c r="K52" s="14"/>
      <c r="L52" s="14">
        <f>-L29</f>
        <v>-78144.599999999991</v>
      </c>
    </row>
    <row r="53" spans="5:12">
      <c r="E53" s="14"/>
      <c r="I53"/>
      <c r="J53" s="16">
        <f>SUM(J47:J52)</f>
        <v>-10313</v>
      </c>
      <c r="K53" s="14"/>
      <c r="L53" s="16">
        <f>SUM(L47:L52)</f>
        <v>-25354.599999999991</v>
      </c>
    </row>
    <row r="54" spans="5:12">
      <c r="E54" s="14"/>
      <c r="I54"/>
      <c r="J54" s="17">
        <f>J53+J45</f>
        <v>0</v>
      </c>
      <c r="K54" s="14"/>
      <c r="L54" s="17">
        <f>L53+L45</f>
        <v>0</v>
      </c>
    </row>
    <row r="55" spans="5:12">
      <c r="E55" s="14"/>
    </row>
    <row r="59" spans="5:12" ht="15.75">
      <c r="I59" s="28"/>
    </row>
    <row r="60" spans="5:12" ht="15.75">
      <c r="I60" s="28"/>
    </row>
    <row r="61" spans="5:12" ht="15.75">
      <c r="I61" s="28"/>
    </row>
    <row r="62" spans="5:12" ht="15.75">
      <c r="I62" s="28"/>
    </row>
    <row r="63" spans="5:12" ht="15.75">
      <c r="I63" s="28"/>
    </row>
    <row r="64" spans="5:12" ht="15.75">
      <c r="I64" s="28"/>
      <c r="K64" s="21"/>
    </row>
    <row r="65" spans="9:10" ht="15.75">
      <c r="I65" s="28"/>
    </row>
    <row r="66" spans="9:10" ht="15.75">
      <c r="I66" s="28"/>
    </row>
    <row r="67" spans="9:10">
      <c r="J67" s="16"/>
    </row>
  </sheetData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RAW25</vt:lpstr>
      <vt:lpstr>Analysis 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 Alam</dc:creator>
  <cp:lastModifiedBy>Ahmed Alam</cp:lastModifiedBy>
  <dcterms:created xsi:type="dcterms:W3CDTF">2026-06-05T10:42:17Z</dcterms:created>
  <dcterms:modified xsi:type="dcterms:W3CDTF">2026-07-01T20:39:07Z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b175f8ac-0ac0-4491-aeb5-8acadf90044f_Enabled">
    <vt:lpwstr>true</vt:lpwstr>
  </property>
  <property fmtid="{D5CDD505-2E9C-101B-9397-08002B2CF9AE}" pid="5" name="MSIP_Label_b175f8ac-0ac0-4491-aeb5-8acadf90044f_SetDate">
    <vt:lpwstr>2024-04-22T14:40:23Z</vt:lpwstr>
  </property>
  <property fmtid="{D5CDD505-2E9C-101B-9397-08002B2CF9AE}" pid="6" name="MSIP_Label_b175f8ac-0ac0-4491-aeb5-8acadf90044f_Method">
    <vt:lpwstr>Privileged</vt:lpwstr>
  </property>
  <property fmtid="{D5CDD505-2E9C-101B-9397-08002B2CF9AE}" pid="7" name="MSIP_Label_b175f8ac-0ac0-4491-aeb5-8acadf90044f_Name">
    <vt:lpwstr>Internal - Prod</vt:lpwstr>
  </property>
  <property fmtid="{D5CDD505-2E9C-101B-9397-08002B2CF9AE}" pid="8" name="MSIP_Label_b175f8ac-0ac0-4491-aeb5-8acadf90044f_SiteId">
    <vt:lpwstr>5b2d121f-48c2-42b5-abd2-286c96656636</vt:lpwstr>
  </property>
  <property fmtid="{D5CDD505-2E9C-101B-9397-08002B2CF9AE}" pid="9" name="MSIP_Label_b175f8ac-0ac0-4491-aeb5-8acadf90044f_ActionId">
    <vt:lpwstr>f2baff0a-21be-44ec-8b65-aae864fe02f6</vt:lpwstr>
  </property>
  <property fmtid="{D5CDD505-2E9C-101B-9397-08002B2CF9AE}" pid="10" name="MSIP_Label_b175f8ac-0ac0-4491-aeb5-8acadf90044f_ContentBits">
    <vt:lpwstr>1</vt:lpwstr>
  </property>
</Properties>
</file>