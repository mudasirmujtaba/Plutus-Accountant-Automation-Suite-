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ocumkit\Matt Ferris\My Work Matt ferris\Latest of Mathew Ferris\"/>
    </mc:Choice>
  </mc:AlternateContent>
  <bookViews>
    <workbookView xWindow="0" yWindow="0" windowWidth="23040" windowHeight="8790" activeTab="1"/>
  </bookViews>
  <sheets>
    <sheet name="RAW 2025" sheetId="1" r:id="rId1"/>
    <sheet name="Analysis" sheetId="2" r:id="rId2"/>
  </sheets>
  <definedNames>
    <definedName name="_xlnm._FilterDatabase" localSheetId="0" hidden="1">'RAW 2025'!$A$1:$P$161</definedName>
  </definedNames>
  <calcPr calcId="162913"/>
  <pivotCaches>
    <pivotCache cacheId="0" r:id="rId3"/>
  </pivotCaches>
</workbook>
</file>

<file path=xl/calcChain.xml><?xml version="1.0" encoding="utf-8"?>
<calcChain xmlns="http://schemas.openxmlformats.org/spreadsheetml/2006/main">
  <c r="L48" i="2" l="1"/>
  <c r="J40" i="2" l="1"/>
  <c r="M48" i="2" l="1"/>
  <c r="M35" i="2"/>
  <c r="M10" i="2" l="1"/>
  <c r="K37" i="2" l="1"/>
  <c r="M9" i="2" l="1"/>
  <c r="M12" i="2"/>
  <c r="M37" i="2" l="1"/>
  <c r="M44" i="2"/>
  <c r="M45" i="2"/>
  <c r="M43" i="2"/>
  <c r="M33" i="2"/>
  <c r="K36" i="2"/>
  <c r="K47" i="2"/>
  <c r="K35" i="2"/>
  <c r="M47" i="2" l="1"/>
  <c r="M36" i="2"/>
  <c r="J51" i="2"/>
  <c r="M40" i="2" l="1"/>
  <c r="J55" i="2"/>
  <c r="F5" i="2"/>
  <c r="F4" i="2"/>
  <c r="M4" i="2"/>
  <c r="M5" i="2"/>
  <c r="M7" i="2"/>
  <c r="M8" i="2"/>
  <c r="M6" i="2"/>
  <c r="M11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3" i="2"/>
  <c r="M28" i="2" l="1"/>
  <c r="F8" i="2"/>
  <c r="J4" i="1"/>
  <c r="L4" i="1" s="1"/>
  <c r="M4" i="1" s="1"/>
  <c r="J5" i="1"/>
  <c r="L5" i="1" s="1"/>
  <c r="M5" i="1" s="1"/>
  <c r="J6" i="1"/>
  <c r="L6" i="1" s="1"/>
  <c r="M6" i="1" s="1"/>
  <c r="J8" i="1"/>
  <c r="L8" i="1" s="1"/>
  <c r="M8" i="1" s="1"/>
  <c r="J10" i="1"/>
  <c r="L10" i="1" s="1"/>
  <c r="M10" i="1" s="1"/>
  <c r="J13" i="1"/>
  <c r="L13" i="1" s="1"/>
  <c r="M13" i="1" s="1"/>
  <c r="J14" i="1"/>
  <c r="L14" i="1" s="1"/>
  <c r="M14" i="1" s="1"/>
  <c r="J15" i="1"/>
  <c r="L15" i="1" s="1"/>
  <c r="M15" i="1" s="1"/>
  <c r="J16" i="1"/>
  <c r="L16" i="1" s="1"/>
  <c r="M16" i="1" s="1"/>
  <c r="J18" i="1"/>
  <c r="L18" i="1" s="1"/>
  <c r="M18" i="1" s="1"/>
  <c r="J19" i="1"/>
  <c r="L19" i="1" s="1"/>
  <c r="M19" i="1" s="1"/>
  <c r="J20" i="1"/>
  <c r="L20" i="1" s="1"/>
  <c r="M20" i="1" s="1"/>
  <c r="J21" i="1"/>
  <c r="L21" i="1" s="1"/>
  <c r="M21" i="1" s="1"/>
  <c r="J23" i="1"/>
  <c r="L23" i="1" s="1"/>
  <c r="M23" i="1" s="1"/>
  <c r="J26" i="1"/>
  <c r="L26" i="1" s="1"/>
  <c r="M26" i="1" s="1"/>
  <c r="J27" i="1"/>
  <c r="L27" i="1" s="1"/>
  <c r="M27" i="1" s="1"/>
  <c r="J29" i="1"/>
  <c r="L29" i="1" s="1"/>
  <c r="M29" i="1" s="1"/>
  <c r="J30" i="1"/>
  <c r="L30" i="1" s="1"/>
  <c r="M30" i="1" s="1"/>
  <c r="J31" i="1"/>
  <c r="L31" i="1" s="1"/>
  <c r="M31" i="1" s="1"/>
  <c r="J32" i="1"/>
  <c r="L32" i="1" s="1"/>
  <c r="M32" i="1" s="1"/>
  <c r="J33" i="1"/>
  <c r="L33" i="1" s="1"/>
  <c r="M33" i="1" s="1"/>
  <c r="J35" i="1"/>
  <c r="L35" i="1" s="1"/>
  <c r="M35" i="1" s="1"/>
  <c r="J36" i="1"/>
  <c r="L36" i="1" s="1"/>
  <c r="M36" i="1" s="1"/>
  <c r="J37" i="1"/>
  <c r="L37" i="1" s="1"/>
  <c r="M37" i="1" s="1"/>
  <c r="J38" i="1"/>
  <c r="L38" i="1" s="1"/>
  <c r="M38" i="1" s="1"/>
  <c r="J40" i="1"/>
  <c r="L40" i="1" s="1"/>
  <c r="M40" i="1" s="1"/>
  <c r="J42" i="1"/>
  <c r="L42" i="1" s="1"/>
  <c r="M42" i="1" s="1"/>
  <c r="J43" i="1"/>
  <c r="L43" i="1" s="1"/>
  <c r="M43" i="1" s="1"/>
  <c r="J44" i="1"/>
  <c r="L44" i="1" s="1"/>
  <c r="M44" i="1" s="1"/>
  <c r="J45" i="1"/>
  <c r="L45" i="1" s="1"/>
  <c r="M45" i="1" s="1"/>
  <c r="J47" i="1"/>
  <c r="L47" i="1" s="1"/>
  <c r="M47" i="1" s="1"/>
  <c r="J49" i="1"/>
  <c r="L49" i="1" s="1"/>
  <c r="M49" i="1" s="1"/>
  <c r="J51" i="1"/>
  <c r="L51" i="1" s="1"/>
  <c r="M51" i="1" s="1"/>
  <c r="J52" i="1"/>
  <c r="L52" i="1" s="1"/>
  <c r="M52" i="1" s="1"/>
  <c r="J53" i="1"/>
  <c r="L53" i="1" s="1"/>
  <c r="M53" i="1" s="1"/>
  <c r="J55" i="1"/>
  <c r="L55" i="1" s="1"/>
  <c r="M55" i="1" s="1"/>
  <c r="J56" i="1"/>
  <c r="L56" i="1" s="1"/>
  <c r="M56" i="1" s="1"/>
  <c r="J57" i="1"/>
  <c r="L57" i="1" s="1"/>
  <c r="M57" i="1" s="1"/>
  <c r="J59" i="1"/>
  <c r="L59" i="1" s="1"/>
  <c r="M59" i="1" s="1"/>
  <c r="J63" i="1"/>
  <c r="L63" i="1" s="1"/>
  <c r="M63" i="1" s="1"/>
  <c r="J64" i="1"/>
  <c r="L64" i="1" s="1"/>
  <c r="M64" i="1" s="1"/>
  <c r="J65" i="1"/>
  <c r="L65" i="1" s="1"/>
  <c r="M65" i="1" s="1"/>
  <c r="J66" i="1"/>
  <c r="L66" i="1" s="1"/>
  <c r="M66" i="1" s="1"/>
  <c r="J67" i="1"/>
  <c r="L67" i="1" s="1"/>
  <c r="M67" i="1" s="1"/>
  <c r="J68" i="1"/>
  <c r="L68" i="1" s="1"/>
  <c r="M68" i="1" s="1"/>
  <c r="J69" i="1"/>
  <c r="L69" i="1" s="1"/>
  <c r="M69" i="1" s="1"/>
  <c r="J71" i="1"/>
  <c r="L71" i="1" s="1"/>
  <c r="M71" i="1" s="1"/>
  <c r="J72" i="1"/>
  <c r="L72" i="1" s="1"/>
  <c r="M72" i="1" s="1"/>
  <c r="J73" i="1"/>
  <c r="L73" i="1" s="1"/>
  <c r="M73" i="1" s="1"/>
  <c r="J74" i="1"/>
  <c r="L74" i="1" s="1"/>
  <c r="M74" i="1" s="1"/>
  <c r="J75" i="1"/>
  <c r="L75" i="1" s="1"/>
  <c r="M75" i="1" s="1"/>
  <c r="J77" i="1"/>
  <c r="L77" i="1" s="1"/>
  <c r="M77" i="1" s="1"/>
  <c r="J78" i="1"/>
  <c r="L78" i="1" s="1"/>
  <c r="M78" i="1" s="1"/>
  <c r="J82" i="1"/>
  <c r="L82" i="1" s="1"/>
  <c r="M82" i="1" s="1"/>
  <c r="J83" i="1"/>
  <c r="L83" i="1" s="1"/>
  <c r="M83" i="1" s="1"/>
  <c r="J84" i="1"/>
  <c r="L84" i="1" s="1"/>
  <c r="M84" i="1" s="1"/>
  <c r="J85" i="1"/>
  <c r="L85" i="1" s="1"/>
  <c r="M85" i="1" s="1"/>
  <c r="J87" i="1"/>
  <c r="L87" i="1" s="1"/>
  <c r="M87" i="1" s="1"/>
  <c r="J88" i="1"/>
  <c r="L88" i="1" s="1"/>
  <c r="M88" i="1" s="1"/>
  <c r="J89" i="1"/>
  <c r="L89" i="1" s="1"/>
  <c r="M89" i="1" s="1"/>
  <c r="J90" i="1"/>
  <c r="L90" i="1" s="1"/>
  <c r="M90" i="1" s="1"/>
  <c r="J91" i="1"/>
  <c r="L91" i="1" s="1"/>
  <c r="M91" i="1" s="1"/>
  <c r="J92" i="1"/>
  <c r="L92" i="1" s="1"/>
  <c r="M92" i="1" s="1"/>
  <c r="J93" i="1"/>
  <c r="L93" i="1" s="1"/>
  <c r="M93" i="1" s="1"/>
  <c r="J94" i="1"/>
  <c r="L94" i="1" s="1"/>
  <c r="M94" i="1" s="1"/>
  <c r="J98" i="1"/>
  <c r="L98" i="1" s="1"/>
  <c r="M98" i="1" s="1"/>
  <c r="J99" i="1"/>
  <c r="L99" i="1" s="1"/>
  <c r="M99" i="1" s="1"/>
  <c r="J100" i="1"/>
  <c r="L100" i="1" s="1"/>
  <c r="M100" i="1" s="1"/>
  <c r="J102" i="1"/>
  <c r="L102" i="1" s="1"/>
  <c r="M102" i="1" s="1"/>
  <c r="J103" i="1"/>
  <c r="L103" i="1" s="1"/>
  <c r="M103" i="1" s="1"/>
  <c r="J106" i="1"/>
  <c r="L106" i="1" s="1"/>
  <c r="M106" i="1" s="1"/>
  <c r="J108" i="1"/>
  <c r="L108" i="1" s="1"/>
  <c r="M108" i="1" s="1"/>
  <c r="J109" i="1"/>
  <c r="L109" i="1" s="1"/>
  <c r="M109" i="1" s="1"/>
  <c r="J110" i="1"/>
  <c r="L110" i="1" s="1"/>
  <c r="M110" i="1" s="1"/>
  <c r="J112" i="1"/>
  <c r="L112" i="1" s="1"/>
  <c r="M112" i="1" s="1"/>
  <c r="J113" i="1"/>
  <c r="L113" i="1" s="1"/>
  <c r="M113" i="1" s="1"/>
  <c r="J114" i="1"/>
  <c r="L114" i="1" s="1"/>
  <c r="M114" i="1" s="1"/>
  <c r="J118" i="1"/>
  <c r="L118" i="1" s="1"/>
  <c r="M118" i="1" s="1"/>
  <c r="J120" i="1"/>
  <c r="L120" i="1" s="1"/>
  <c r="M120" i="1" s="1"/>
  <c r="J121" i="1"/>
  <c r="L121" i="1" s="1"/>
  <c r="M121" i="1" s="1"/>
  <c r="J122" i="1"/>
  <c r="L122" i="1" s="1"/>
  <c r="M122" i="1" s="1"/>
  <c r="J123" i="1"/>
  <c r="L123" i="1" s="1"/>
  <c r="M123" i="1" s="1"/>
  <c r="J124" i="1"/>
  <c r="L124" i="1" s="1"/>
  <c r="M124" i="1" s="1"/>
  <c r="J125" i="1"/>
  <c r="L125" i="1" s="1"/>
  <c r="M125" i="1" s="1"/>
  <c r="J126" i="1"/>
  <c r="L126" i="1" s="1"/>
  <c r="M126" i="1" s="1"/>
  <c r="J127" i="1"/>
  <c r="L127" i="1" s="1"/>
  <c r="M127" i="1" s="1"/>
  <c r="J129" i="1"/>
  <c r="L129" i="1" s="1"/>
  <c r="M129" i="1" s="1"/>
  <c r="J130" i="1"/>
  <c r="L130" i="1" s="1"/>
  <c r="M130" i="1" s="1"/>
  <c r="J131" i="1"/>
  <c r="L131" i="1" s="1"/>
  <c r="M131" i="1" s="1"/>
  <c r="J133" i="1"/>
  <c r="L133" i="1" s="1"/>
  <c r="M133" i="1" s="1"/>
  <c r="J134" i="1"/>
  <c r="L134" i="1" s="1"/>
  <c r="M134" i="1" s="1"/>
  <c r="J136" i="1"/>
  <c r="L136" i="1" s="1"/>
  <c r="M136" i="1" s="1"/>
  <c r="J137" i="1"/>
  <c r="L137" i="1" s="1"/>
  <c r="M137" i="1" s="1"/>
  <c r="J139" i="1"/>
  <c r="L139" i="1" s="1"/>
  <c r="M139" i="1" s="1"/>
  <c r="J141" i="1"/>
  <c r="L141" i="1" s="1"/>
  <c r="M141" i="1" s="1"/>
  <c r="J142" i="1"/>
  <c r="L142" i="1" s="1"/>
  <c r="M142" i="1" s="1"/>
  <c r="J143" i="1"/>
  <c r="L143" i="1" s="1"/>
  <c r="M143" i="1" s="1"/>
  <c r="J144" i="1"/>
  <c r="L144" i="1" s="1"/>
  <c r="M144" i="1" s="1"/>
  <c r="J145" i="1"/>
  <c r="L145" i="1" s="1"/>
  <c r="M145" i="1" s="1"/>
  <c r="J149" i="1"/>
  <c r="L149" i="1" s="1"/>
  <c r="M149" i="1" s="1"/>
  <c r="J151" i="1"/>
  <c r="L151" i="1" s="1"/>
  <c r="M151" i="1" s="1"/>
  <c r="J152" i="1"/>
  <c r="L152" i="1" s="1"/>
  <c r="M152" i="1" s="1"/>
  <c r="J153" i="1"/>
  <c r="L153" i="1" s="1"/>
  <c r="M153" i="1" s="1"/>
  <c r="J154" i="1"/>
  <c r="L154" i="1" s="1"/>
  <c r="M154" i="1" s="1"/>
  <c r="J157" i="1"/>
  <c r="L157" i="1" s="1"/>
  <c r="M157" i="1" s="1"/>
  <c r="J159" i="1"/>
  <c r="L159" i="1" s="1"/>
  <c r="M159" i="1" s="1"/>
  <c r="J161" i="1"/>
  <c r="L161" i="1" s="1"/>
  <c r="M161" i="1" s="1"/>
  <c r="J3" i="1"/>
  <c r="I7" i="1"/>
  <c r="L7" i="1" s="1"/>
  <c r="M7" i="1" s="1"/>
  <c r="I9" i="1"/>
  <c r="L9" i="1" s="1"/>
  <c r="M9" i="1" s="1"/>
  <c r="I11" i="1"/>
  <c r="L11" i="1" s="1"/>
  <c r="M11" i="1" s="1"/>
  <c r="I12" i="1"/>
  <c r="L12" i="1" s="1"/>
  <c r="M12" i="1" s="1"/>
  <c r="I17" i="1"/>
  <c r="L17" i="1" s="1"/>
  <c r="M17" i="1" s="1"/>
  <c r="I22" i="1"/>
  <c r="L22" i="1" s="1"/>
  <c r="M22" i="1" s="1"/>
  <c r="I24" i="1"/>
  <c r="L24" i="1" s="1"/>
  <c r="M24" i="1" s="1"/>
  <c r="I25" i="1"/>
  <c r="L25" i="1" s="1"/>
  <c r="M25" i="1" s="1"/>
  <c r="I28" i="1"/>
  <c r="L28" i="1" s="1"/>
  <c r="M28" i="1" s="1"/>
  <c r="I34" i="1"/>
  <c r="L34" i="1" s="1"/>
  <c r="M34" i="1" s="1"/>
  <c r="I39" i="1"/>
  <c r="L39" i="1" s="1"/>
  <c r="M39" i="1" s="1"/>
  <c r="I41" i="1"/>
  <c r="L41" i="1" s="1"/>
  <c r="M41" i="1" s="1"/>
  <c r="I46" i="1"/>
  <c r="L46" i="1" s="1"/>
  <c r="M46" i="1" s="1"/>
  <c r="I48" i="1"/>
  <c r="L48" i="1" s="1"/>
  <c r="M48" i="1" s="1"/>
  <c r="I50" i="1"/>
  <c r="L50" i="1" s="1"/>
  <c r="M50" i="1" s="1"/>
  <c r="I54" i="1"/>
  <c r="L54" i="1" s="1"/>
  <c r="M54" i="1" s="1"/>
  <c r="I58" i="1"/>
  <c r="L58" i="1" s="1"/>
  <c r="M58" i="1" s="1"/>
  <c r="I60" i="1"/>
  <c r="L60" i="1" s="1"/>
  <c r="M60" i="1" s="1"/>
  <c r="I61" i="1"/>
  <c r="L61" i="1" s="1"/>
  <c r="M61" i="1" s="1"/>
  <c r="I62" i="1"/>
  <c r="L62" i="1" s="1"/>
  <c r="M62" i="1" s="1"/>
  <c r="I70" i="1"/>
  <c r="L70" i="1" s="1"/>
  <c r="M70" i="1" s="1"/>
  <c r="I76" i="1"/>
  <c r="L76" i="1" s="1"/>
  <c r="M76" i="1" s="1"/>
  <c r="I79" i="1"/>
  <c r="L79" i="1" s="1"/>
  <c r="M79" i="1" s="1"/>
  <c r="I80" i="1"/>
  <c r="L80" i="1" s="1"/>
  <c r="M80" i="1" s="1"/>
  <c r="I81" i="1"/>
  <c r="L81" i="1" s="1"/>
  <c r="M81" i="1" s="1"/>
  <c r="I86" i="1"/>
  <c r="L86" i="1" s="1"/>
  <c r="M86" i="1" s="1"/>
  <c r="I95" i="1"/>
  <c r="L95" i="1" s="1"/>
  <c r="M95" i="1" s="1"/>
  <c r="I96" i="1"/>
  <c r="L96" i="1" s="1"/>
  <c r="M96" i="1" s="1"/>
  <c r="I97" i="1"/>
  <c r="L97" i="1" s="1"/>
  <c r="M97" i="1" s="1"/>
  <c r="I101" i="1"/>
  <c r="L101" i="1" s="1"/>
  <c r="M101" i="1" s="1"/>
  <c r="I104" i="1"/>
  <c r="L104" i="1" s="1"/>
  <c r="M104" i="1" s="1"/>
  <c r="I105" i="1"/>
  <c r="L105" i="1" s="1"/>
  <c r="M105" i="1" s="1"/>
  <c r="I107" i="1"/>
  <c r="L107" i="1" s="1"/>
  <c r="M107" i="1" s="1"/>
  <c r="I111" i="1"/>
  <c r="L111" i="1" s="1"/>
  <c r="M111" i="1" s="1"/>
  <c r="I115" i="1"/>
  <c r="L115" i="1" s="1"/>
  <c r="M115" i="1" s="1"/>
  <c r="I116" i="1"/>
  <c r="L116" i="1" s="1"/>
  <c r="M116" i="1" s="1"/>
  <c r="I117" i="1"/>
  <c r="L117" i="1" s="1"/>
  <c r="M117" i="1" s="1"/>
  <c r="I119" i="1"/>
  <c r="L119" i="1" s="1"/>
  <c r="M119" i="1" s="1"/>
  <c r="I128" i="1"/>
  <c r="L128" i="1" s="1"/>
  <c r="M128" i="1" s="1"/>
  <c r="I132" i="1"/>
  <c r="L132" i="1" s="1"/>
  <c r="M132" i="1" s="1"/>
  <c r="I135" i="1"/>
  <c r="L135" i="1" s="1"/>
  <c r="M135" i="1" s="1"/>
  <c r="I138" i="1"/>
  <c r="L138" i="1" s="1"/>
  <c r="M138" i="1" s="1"/>
  <c r="I140" i="1"/>
  <c r="L140" i="1" s="1"/>
  <c r="M140" i="1" s="1"/>
  <c r="I146" i="1"/>
  <c r="L146" i="1" s="1"/>
  <c r="M146" i="1" s="1"/>
  <c r="I147" i="1"/>
  <c r="L147" i="1" s="1"/>
  <c r="M147" i="1" s="1"/>
  <c r="I148" i="1"/>
  <c r="L148" i="1" s="1"/>
  <c r="M148" i="1" s="1"/>
  <c r="I150" i="1"/>
  <c r="L150" i="1" s="1"/>
  <c r="M150" i="1" s="1"/>
  <c r="I155" i="1"/>
  <c r="L155" i="1" s="1"/>
  <c r="M155" i="1" s="1"/>
  <c r="I156" i="1"/>
  <c r="L156" i="1" s="1"/>
  <c r="M156" i="1" s="1"/>
  <c r="I158" i="1"/>
  <c r="L158" i="1" s="1"/>
  <c r="M158" i="1" s="1"/>
  <c r="I160" i="1"/>
  <c r="L160" i="1" s="1"/>
  <c r="M160" i="1" s="1"/>
  <c r="L3" i="1"/>
  <c r="M3" i="1" s="1"/>
  <c r="N3" i="1" s="1"/>
  <c r="F11" i="2"/>
  <c r="M31" i="2" l="1"/>
  <c r="K46" i="2"/>
  <c r="M46" i="2" s="1"/>
  <c r="N4" i="1"/>
  <c r="M51" i="2" l="1"/>
  <c r="M55" i="2" s="1"/>
  <c r="N5" i="1"/>
  <c r="N6" i="1" l="1"/>
  <c r="N7" i="1" l="1"/>
  <c r="N8" i="1" l="1"/>
  <c r="N9" i="1" l="1"/>
  <c r="N10" i="1"/>
  <c r="N11" i="1" l="1"/>
  <c r="N12" i="1" l="1"/>
  <c r="N13" i="1" l="1"/>
  <c r="N14" i="1" l="1"/>
  <c r="N15" i="1" l="1"/>
  <c r="N16" i="1" l="1"/>
  <c r="N17" i="1" l="1"/>
  <c r="N18" i="1" l="1"/>
  <c r="N19" i="1" l="1"/>
  <c r="N20" i="1" l="1"/>
  <c r="N21" i="1" l="1"/>
  <c r="N22" i="1" l="1"/>
  <c r="N23" i="1" l="1"/>
  <c r="N24" i="1" l="1"/>
  <c r="N25" i="1" l="1"/>
  <c r="N26" i="1" l="1"/>
  <c r="N27" i="1" l="1"/>
  <c r="N28" i="1" l="1"/>
  <c r="N29" i="1" l="1"/>
  <c r="N30" i="1" l="1"/>
  <c r="N31" i="1" l="1"/>
  <c r="N32" i="1" l="1"/>
  <c r="N33" i="1" l="1"/>
  <c r="N34" i="1" l="1"/>
  <c r="N35" i="1" l="1"/>
  <c r="N36" i="1" l="1"/>
  <c r="N37" i="1" l="1"/>
  <c r="N38" i="1" l="1"/>
  <c r="N39" i="1" l="1"/>
  <c r="N40" i="1" l="1"/>
  <c r="N41" i="1" l="1"/>
  <c r="N42" i="1" l="1"/>
  <c r="N43" i="1" l="1"/>
  <c r="N44" i="1" l="1"/>
  <c r="N45" i="1" l="1"/>
  <c r="N46" i="1" l="1"/>
  <c r="N47" i="1" l="1"/>
  <c r="N48" i="1" l="1"/>
  <c r="N49" i="1" l="1"/>
  <c r="N50" i="1" l="1"/>
  <c r="N51" i="1" l="1"/>
  <c r="N52" i="1" l="1"/>
  <c r="N53" i="1" l="1"/>
  <c r="N54" i="1" l="1"/>
  <c r="N55" i="1" l="1"/>
  <c r="N56" i="1" l="1"/>
  <c r="N57" i="1" l="1"/>
  <c r="N58" i="1" l="1"/>
  <c r="N59" i="1" l="1"/>
  <c r="N60" i="1" l="1"/>
  <c r="N61" i="1" l="1"/>
  <c r="N62" i="1" l="1"/>
  <c r="N63" i="1" l="1"/>
  <c r="N64" i="1" l="1"/>
  <c r="N65" i="1" l="1"/>
  <c r="N66" i="1" l="1"/>
  <c r="N67" i="1" l="1"/>
  <c r="N68" i="1" l="1"/>
  <c r="N69" i="1" l="1"/>
  <c r="N70" i="1" l="1"/>
  <c r="N71" i="1" l="1"/>
  <c r="N72" i="1" l="1"/>
  <c r="N73" i="1" l="1"/>
  <c r="N74" i="1" l="1"/>
  <c r="N75" i="1" l="1"/>
  <c r="N76" i="1" l="1"/>
  <c r="N77" i="1" l="1"/>
  <c r="N78" i="1" l="1"/>
  <c r="N79" i="1" l="1"/>
  <c r="N80" i="1" l="1"/>
  <c r="N81" i="1" l="1"/>
  <c r="N82" i="1" l="1"/>
  <c r="N83" i="1" l="1"/>
  <c r="N84" i="1" l="1"/>
  <c r="N85" i="1" l="1"/>
  <c r="N86" i="1" l="1"/>
  <c r="N87" i="1" l="1"/>
  <c r="N88" i="1" l="1"/>
  <c r="N89" i="1" l="1"/>
  <c r="N90" i="1" l="1"/>
  <c r="N91" i="1" l="1"/>
  <c r="N92" i="1" l="1"/>
  <c r="N93" i="1" l="1"/>
  <c r="N94" i="1" l="1"/>
  <c r="N95" i="1" l="1"/>
  <c r="N96" i="1" l="1"/>
  <c r="N97" i="1" l="1"/>
  <c r="N98" i="1" l="1"/>
  <c r="N99" i="1" l="1"/>
  <c r="N100" i="1" l="1"/>
  <c r="N101" i="1" l="1"/>
  <c r="N102" i="1" l="1"/>
  <c r="N103" i="1" l="1"/>
  <c r="N104" i="1" l="1"/>
  <c r="N105" i="1" l="1"/>
  <c r="N106" i="1" l="1"/>
  <c r="N107" i="1" l="1"/>
  <c r="N108" i="1" l="1"/>
  <c r="N109" i="1" l="1"/>
  <c r="N110" i="1" l="1"/>
  <c r="N111" i="1" l="1"/>
  <c r="N112" i="1" l="1"/>
  <c r="N113" i="1" l="1"/>
  <c r="N114" i="1" l="1"/>
  <c r="N115" i="1" l="1"/>
  <c r="N116" i="1" l="1"/>
  <c r="N117" i="1" l="1"/>
  <c r="N118" i="1" l="1"/>
  <c r="N119" i="1" l="1"/>
  <c r="N120" i="1" l="1"/>
  <c r="N121" i="1" l="1"/>
  <c r="N122" i="1" l="1"/>
  <c r="N123" i="1" l="1"/>
  <c r="N124" i="1" l="1"/>
  <c r="N125" i="1" l="1"/>
  <c r="N126" i="1" l="1"/>
  <c r="N127" i="1" l="1"/>
  <c r="N128" i="1" l="1"/>
  <c r="N129" i="1" l="1"/>
  <c r="N130" i="1" l="1"/>
  <c r="N131" i="1" l="1"/>
  <c r="N132" i="1" l="1"/>
  <c r="N133" i="1" l="1"/>
  <c r="N134" i="1" l="1"/>
  <c r="N135" i="1" l="1"/>
  <c r="N136" i="1" l="1"/>
  <c r="N137" i="1" l="1"/>
  <c r="N138" i="1" l="1"/>
  <c r="N139" i="1" l="1"/>
  <c r="N140" i="1" l="1"/>
  <c r="N141" i="1" l="1"/>
  <c r="N142" i="1" l="1"/>
  <c r="N143" i="1" l="1"/>
  <c r="N144" i="1" l="1"/>
  <c r="N145" i="1" l="1"/>
  <c r="N146" i="1" l="1"/>
  <c r="N147" i="1" l="1"/>
  <c r="N148" i="1" l="1"/>
  <c r="N149" i="1" l="1"/>
  <c r="N150" i="1" l="1"/>
  <c r="N151" i="1" l="1"/>
  <c r="N152" i="1" l="1"/>
  <c r="N153" i="1" l="1"/>
  <c r="N154" i="1" l="1"/>
  <c r="N155" i="1" l="1"/>
  <c r="N156" i="1" l="1"/>
  <c r="N157" i="1" l="1"/>
  <c r="N158" i="1" l="1"/>
  <c r="N159" i="1" l="1"/>
  <c r="N160" i="1" l="1"/>
  <c r="N161" i="1"/>
</calcChain>
</file>

<file path=xl/sharedStrings.xml><?xml version="1.0" encoding="utf-8"?>
<sst xmlns="http://schemas.openxmlformats.org/spreadsheetml/2006/main" count="1188" uniqueCount="135">
  <si>
    <t>Date</t>
  </si>
  <si>
    <t>Counter Party</t>
  </si>
  <si>
    <t>Reference</t>
  </si>
  <si>
    <t>Type</t>
  </si>
  <si>
    <t>Amount (GBP)</t>
  </si>
  <si>
    <t>Balance (GBP)</t>
  </si>
  <si>
    <t>Spending Category</t>
  </si>
  <si>
    <t>Barclays Current</t>
  </si>
  <si>
    <t>208813 93228126</t>
  </si>
  <si>
    <t>FASTER PAYMENT</t>
  </si>
  <si>
    <t>DIRECTORS_WAGES</t>
  </si>
  <si>
    <t>M Carlin</t>
  </si>
  <si>
    <t>ACCOUNTS</t>
  </si>
  <si>
    <t>OTHER</t>
  </si>
  <si>
    <t>Association Of Optometrists</t>
  </si>
  <si>
    <t>DIRECT DEBIT</t>
  </si>
  <si>
    <t>PROFESSIONAL_SERVICES</t>
  </si>
  <si>
    <t>Lser Connect Ecom</t>
  </si>
  <si>
    <t>LSER CONNECT ECOM</t>
  </si>
  <si>
    <t>APPLE PAY</t>
  </si>
  <si>
    <t>TRAVEL</t>
  </si>
  <si>
    <t>Specsavers</t>
  </si>
  <si>
    <t>SPECSAVERS SEP COM</t>
  </si>
  <si>
    <t>DIRECT CREDIT</t>
  </si>
  <si>
    <t>REVENUE</t>
  </si>
  <si>
    <t>Dividend</t>
  </si>
  <si>
    <t>DIVIDENDS</t>
  </si>
  <si>
    <t>Finch House Cafe</t>
  </si>
  <si>
    <t>FOOD_AND_DRINK</t>
  </si>
  <si>
    <t>Redwood</t>
  </si>
  <si>
    <t>REDWOOD</t>
  </si>
  <si>
    <t>TfL</t>
  </si>
  <si>
    <t>TFL TRAVEL CH</t>
  </si>
  <si>
    <t>Bexley Ringo Ecom</t>
  </si>
  <si>
    <t>BEXLEY RINGO ECOM</t>
  </si>
  <si>
    <t>LOOKING GOOD OPTICIANS LIMITED T AS</t>
  </si>
  <si>
    <t>wadhurst</t>
  </si>
  <si>
    <t>RingGo</t>
  </si>
  <si>
    <t>RINGGO PARKING</t>
  </si>
  <si>
    <t>Tmchartered Limited</t>
  </si>
  <si>
    <t>Accounts</t>
  </si>
  <si>
    <t>MiPermit</t>
  </si>
  <si>
    <t>MIPERMIT LTD</t>
  </si>
  <si>
    <t>The College Of Optometrists</t>
  </si>
  <si>
    <t>DD003133</t>
  </si>
  <si>
    <t>Accounts MF</t>
  </si>
  <si>
    <t>Hl</t>
  </si>
  <si>
    <t>WWW.HL.CO.UK</t>
  </si>
  <si>
    <t>ONLINE PAYMENT</t>
  </si>
  <si>
    <t>STAFF</t>
  </si>
  <si>
    <t>WILKINSON LTD   ZZ</t>
  </si>
  <si>
    <t>WILK SEV</t>
  </si>
  <si>
    <t>Abbeyfield Ve Limi</t>
  </si>
  <si>
    <t>RG05570000565224</t>
  </si>
  <si>
    <t>Uh Ecommerce Pay360</t>
  </si>
  <si>
    <t>UNI OF HERTFORDSHIRE</t>
  </si>
  <si>
    <t>RG05570000805124</t>
  </si>
  <si>
    <t>The AA</t>
  </si>
  <si>
    <t>AA MOTOR INSURANCE</t>
  </si>
  <si>
    <t>VEHICLES</t>
  </si>
  <si>
    <t>Nando's</t>
  </si>
  <si>
    <t>NANDOS.CO.UK</t>
  </si>
  <si>
    <t>Matthew Ferris</t>
  </si>
  <si>
    <t>Salary</t>
  </si>
  <si>
    <t>Premier Inn</t>
  </si>
  <si>
    <t>Sun Do</t>
  </si>
  <si>
    <t>SUN DO</t>
  </si>
  <si>
    <t>Companies House</t>
  </si>
  <si>
    <t>COMPANIESHOUSE CHS - G</t>
  </si>
  <si>
    <t>eBay</t>
  </si>
  <si>
    <t>eBay O*10-12496-14000</t>
  </si>
  <si>
    <t>EQUIPMENT</t>
  </si>
  <si>
    <t>Disclosure &amp; Barring Service</t>
  </si>
  <si>
    <t>DISCLOSURE &amp; BARRING</t>
  </si>
  <si>
    <t>CARD PAYMENT</t>
  </si>
  <si>
    <t>HMRC Shipley</t>
  </si>
  <si>
    <t>1451222302A00113A</t>
  </si>
  <si>
    <t>CORPORATION_TAX</t>
  </si>
  <si>
    <t>DVLA</t>
  </si>
  <si>
    <t>DVLA VEHICLE TAX</t>
  </si>
  <si>
    <t>Uoh College Lane</t>
  </si>
  <si>
    <t>UOH COLLEGE LANE</t>
  </si>
  <si>
    <t>WJW TON</t>
  </si>
  <si>
    <t>Optical</t>
  </si>
  <si>
    <t xml:space="preserve">WWW.OPTICAL.ORG       </t>
  </si>
  <si>
    <t>No</t>
  </si>
  <si>
    <t>SA</t>
  </si>
  <si>
    <t>FY</t>
  </si>
  <si>
    <t>SA24/25</t>
  </si>
  <si>
    <t>FY25</t>
  </si>
  <si>
    <t>Net</t>
  </si>
  <si>
    <t>Balance UC</t>
  </si>
  <si>
    <t>Check</t>
  </si>
  <si>
    <t>IN</t>
  </si>
  <si>
    <t>OUT</t>
  </si>
  <si>
    <t>UC Category</t>
  </si>
  <si>
    <t>Directors salary</t>
  </si>
  <si>
    <t>DIVIDENDS Pension</t>
  </si>
  <si>
    <t>Dividends</t>
  </si>
  <si>
    <t>Equipment?</t>
  </si>
  <si>
    <t>Lunch</t>
  </si>
  <si>
    <t>AOP</t>
  </si>
  <si>
    <t>Professional fee</t>
  </si>
  <si>
    <t>College</t>
  </si>
  <si>
    <t>GOC</t>
  </si>
  <si>
    <t>Accountancy fee</t>
  </si>
  <si>
    <t>Income</t>
  </si>
  <si>
    <t>Travel</t>
  </si>
  <si>
    <t>HMRC-CT</t>
  </si>
  <si>
    <t>Column Labels</t>
  </si>
  <si>
    <t>Grand Total</t>
  </si>
  <si>
    <t>Row Labels</t>
  </si>
  <si>
    <t>Sum of Net</t>
  </si>
  <si>
    <t>PL</t>
  </si>
  <si>
    <t>BS</t>
  </si>
  <si>
    <t>Cash</t>
  </si>
  <si>
    <t>Creditors less than 1 year - Corporation tax</t>
  </si>
  <si>
    <t>Fixed assest</t>
  </si>
  <si>
    <t>Profit and loss account - Brought forward</t>
  </si>
  <si>
    <t>Profit and loss account - Equity dividends</t>
  </si>
  <si>
    <t>PL Prior Year</t>
  </si>
  <si>
    <t>PL CY</t>
  </si>
  <si>
    <t>Dividends CY</t>
  </si>
  <si>
    <t>Use of Home</t>
  </si>
  <si>
    <t>DLA</t>
  </si>
  <si>
    <t>Entertainment</t>
  </si>
  <si>
    <t>SIPP</t>
  </si>
  <si>
    <t>Univerisity fee?</t>
  </si>
  <si>
    <t>Training course</t>
  </si>
  <si>
    <t>Mobile</t>
  </si>
  <si>
    <t>Miles</t>
  </si>
  <si>
    <t>Donation</t>
  </si>
  <si>
    <t>Accurals</t>
  </si>
  <si>
    <t>Depriciation</t>
  </si>
  <si>
    <t>PY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</si>
</sst>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16" fillId="0" borderId="0" xfId="0" applyFont="1"/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1" applyFont="1" applyAlignment="1">
      <alignment horizontal="left"/>
    </xf>
    <xf numFmtId="43" fontId="0" fillId="33" borderId="0" xfId="1" applyFont="1" applyFill="1"/>
    <xf numFmtId="3" fontId="0" fillId="0" borderId="0" xfId="0" applyNumberFormat="1"/>
    <xf numFmtId="43" fontId="0" fillId="0" borderId="0" xfId="0" applyNumberFormat="1"/>
    <xf numFmtId="43" fontId="0" fillId="0" borderId="10" xfId="1" applyFont="1" applyBorder="1"/>
    <xf numFmtId="43" fontId="0" fillId="0" borderId="0" xfId="1" applyFont="1" applyBorder="1"/>
    <xf numFmtId="0" fontId="0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973.972602893518" createdVersion="6" refreshedVersion="6" minRefreshableVersion="3" recordCount="159">
  <cacheSource type="worksheet">
    <worksheetSource ref="A1:P161" sheet="RAW 2025"/>
  </cacheSource>
  <cacheFields count="16">
    <cacheField name="No" numFmtId="0">
      <sharedItems containsSemiMixedTypes="0" containsString="0" containsNumber="1" containsInteger="1" minValue="1" maxValue="159"/>
    </cacheField>
    <cacheField name="SA" numFmtId="0">
      <sharedItems/>
    </cacheField>
    <cacheField name="FY" numFmtId="0">
      <sharedItems count="1">
        <s v="FY25"/>
      </sharedItems>
    </cacheField>
    <cacheField name="Date" numFmtId="14">
      <sharedItems containsSemiMixedTypes="0" containsNonDate="0" containsDate="1" containsString="0" minDate="2024-04-02T00:00:00" maxDate="2025-03-29T00:00:00"/>
    </cacheField>
    <cacheField name="Counter Party" numFmtId="0">
      <sharedItems/>
    </cacheField>
    <cacheField name="Reference" numFmtId="0">
      <sharedItems containsMixedTypes="1" containsNumber="1" containsInteger="1" minValue="87201" maxValue="87201"/>
    </cacheField>
    <cacheField name="Type" numFmtId="0">
      <sharedItems/>
    </cacheField>
    <cacheField name="Amount (GBP)" numFmtId="0">
      <sharedItems containsSemiMixedTypes="0" containsString="0" containsNumber="1" minValue="-9231.15" maxValue="5450"/>
    </cacheField>
    <cacheField name="IN" numFmtId="0">
      <sharedItems containsString="0" containsBlank="1" containsNumber="1" containsInteger="1" minValue="5" maxValue="5450"/>
    </cacheField>
    <cacheField name="OUT" numFmtId="0">
      <sharedItems containsString="0" containsBlank="1" containsNumber="1" minValue="-9231.15" maxValue="-1"/>
    </cacheField>
    <cacheField name="Balance (GBP)" numFmtId="0">
      <sharedItems containsSemiMixedTypes="0" containsString="0" containsNumber="1" minValue="9843.61" maxValue="33581.1"/>
    </cacheField>
    <cacheField name="Net" numFmtId="0">
      <sharedItems containsSemiMixedTypes="0" containsString="0" containsNumber="1" minValue="-9231.15" maxValue="5450"/>
    </cacheField>
    <cacheField name="Balance UC" numFmtId="0">
      <sharedItems containsSemiMixedTypes="0" containsString="0" containsNumber="1" minValue="9843.61" maxValue="33581.100000000042"/>
    </cacheField>
    <cacheField name="Check" numFmtId="43">
      <sharedItems containsSemiMixedTypes="0" containsString="0" containsNumber="1" minValue="-5.0931703299283981E-11" maxValue="0"/>
    </cacheField>
    <cacheField name="Spending Category" numFmtId="0">
      <sharedItems/>
    </cacheField>
    <cacheField name="UC Category" numFmtId="0">
      <sharedItems count="23">
        <s v="Directors salary"/>
        <s v="Accountancy fee"/>
        <s v="AOP"/>
        <s v="Travel"/>
        <s v="Income"/>
        <s v="Dividends"/>
        <s v="Lunch"/>
        <s v="College"/>
        <s v="SIPP"/>
        <s v="Univerisity fee?"/>
        <s v="DLA"/>
        <s v="Entertainment"/>
        <s v="Professional fee"/>
        <s v="Training course"/>
        <s v="HMRC-CT"/>
        <s v="GOC"/>
        <s v="Dividends-Pension" u="1"/>
        <s v="Equipment?" u="1"/>
        <s v="Lunch?" u="1"/>
        <s v="Professional fee?" u="1"/>
        <s v="car insurance?" u="1"/>
        <s v="unknown" u="1"/>
        <s v="Training fee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9">
  <r>
    <n v="1"/>
    <s v="SA24/25"/>
    <x v="0"/>
    <d v="2024-04-02T00:00:00"/>
    <s v="Barclays Current"/>
    <s v="208813 93228126"/>
    <s v="FASTER PAYMENT"/>
    <n v="-700"/>
    <m/>
    <n v="-700"/>
    <n v="12612.51"/>
    <n v="-700"/>
    <n v="12612.51"/>
    <n v="0"/>
    <s v="DIRECTORS_WAGES"/>
    <x v="0"/>
  </r>
  <r>
    <n v="2"/>
    <s v="SA24/25"/>
    <x v="0"/>
    <d v="2024-04-02T00:00:00"/>
    <s v="M Carlin"/>
    <s v="ACCOUNTS"/>
    <s v="FASTER PAYMENT"/>
    <n v="-40"/>
    <m/>
    <n v="-40"/>
    <n v="12572.51"/>
    <n v="-40"/>
    <n v="12572.51"/>
    <n v="0"/>
    <s v="OTHER"/>
    <x v="1"/>
  </r>
  <r>
    <n v="3"/>
    <s v="SA24/25"/>
    <x v="0"/>
    <d v="2024-04-03T00:00:00"/>
    <s v="Association Of Optometrists"/>
    <n v="87201"/>
    <s v="DIRECT DEBIT"/>
    <n v="-72"/>
    <m/>
    <n v="-72"/>
    <n v="12500.51"/>
    <n v="-72"/>
    <n v="12500.51"/>
    <n v="0"/>
    <s v="PROFESSIONAL_SERVICES"/>
    <x v="2"/>
  </r>
  <r>
    <n v="4"/>
    <s v="SA24/25"/>
    <x v="0"/>
    <d v="2024-04-04T00:00:00"/>
    <s v="Lser Connect Ecom"/>
    <s v="LSER CONNECT ECOM"/>
    <s v="APPLE PAY"/>
    <n v="-6.9"/>
    <m/>
    <n v="-6.9"/>
    <n v="12493.61"/>
    <n v="-6.9"/>
    <n v="12493.61"/>
    <n v="0"/>
    <s v="TRAVEL"/>
    <x v="3"/>
  </r>
  <r>
    <n v="5"/>
    <s v="SA24/25"/>
    <x v="0"/>
    <d v="2024-04-05T00:00:00"/>
    <s v="Specsavers"/>
    <s v="SPECSAVERS SEP COM"/>
    <s v="DIRECT CREDIT"/>
    <n v="850"/>
    <n v="850"/>
    <m/>
    <n v="13343.61"/>
    <n v="850"/>
    <n v="13343.61"/>
    <n v="0"/>
    <s v="REVENUE"/>
    <x v="4"/>
  </r>
  <r>
    <n v="6"/>
    <s v="SA24/25"/>
    <x v="0"/>
    <d v="2024-04-08T00:00:00"/>
    <s v="Barclays Current"/>
    <s v="Dividend"/>
    <s v="FASTER PAYMENT"/>
    <n v="-3500"/>
    <m/>
    <n v="-3500"/>
    <n v="9843.61"/>
    <n v="-3500"/>
    <n v="9843.61"/>
    <n v="0"/>
    <s v="DIVIDENDS"/>
    <x v="5"/>
  </r>
  <r>
    <n v="7"/>
    <s v="SA24/25"/>
    <x v="0"/>
    <d v="2024-04-10T00:00:00"/>
    <s v="Specsavers"/>
    <s v="SPECSAVERS SEP COM"/>
    <s v="DIRECT CREDIT"/>
    <n v="2825"/>
    <n v="2825"/>
    <m/>
    <n v="12668.61"/>
    <n v="2825"/>
    <n v="12668.61"/>
    <n v="0"/>
    <s v="REVENUE"/>
    <x v="4"/>
  </r>
  <r>
    <n v="8"/>
    <s v="SA24/25"/>
    <x v="0"/>
    <d v="2024-04-12T00:00:00"/>
    <s v="Finch House Cafe"/>
    <s v="Finch House Cafe"/>
    <s v="APPLE PAY"/>
    <n v="-11.15"/>
    <m/>
    <n v="-11.15"/>
    <n v="12657.46"/>
    <n v="-11.15"/>
    <n v="12657.460000000001"/>
    <n v="0"/>
    <s v="FOOD_AND_DRINK"/>
    <x v="6"/>
  </r>
  <r>
    <n v="9"/>
    <s v="SA24/25"/>
    <x v="0"/>
    <d v="2024-04-17T00:00:00"/>
    <s v="Specsavers"/>
    <s v="SPECSAVERS SEP COM"/>
    <s v="DIRECT CREDIT"/>
    <n v="2550"/>
    <n v="2550"/>
    <m/>
    <n v="15207.46"/>
    <n v="2550"/>
    <n v="15207.460000000001"/>
    <n v="0"/>
    <s v="REVENUE"/>
    <x v="4"/>
  </r>
  <r>
    <n v="10"/>
    <s v="SA24/25"/>
    <x v="0"/>
    <d v="2024-04-24T00:00:00"/>
    <s v="Specsavers"/>
    <s v="SPECSAVERS SEP COM"/>
    <s v="DIRECT CREDIT"/>
    <n v="425"/>
    <n v="425"/>
    <m/>
    <n v="15632.46"/>
    <n v="425"/>
    <n v="15632.460000000001"/>
    <n v="0"/>
    <s v="REVENUE"/>
    <x v="4"/>
  </r>
  <r>
    <n v="11"/>
    <s v="SA24/25"/>
    <x v="0"/>
    <d v="2024-04-25T00:00:00"/>
    <s v="Redwood"/>
    <s v="REDWOOD"/>
    <s v="APPLE PAY"/>
    <n v="-13.8"/>
    <m/>
    <n v="-13.8"/>
    <n v="15618.66"/>
    <n v="-13.8"/>
    <n v="15618.660000000002"/>
    <n v="0"/>
    <s v="FOOD_AND_DRINK"/>
    <x v="6"/>
  </r>
  <r>
    <n v="12"/>
    <s v="SA24/25"/>
    <x v="0"/>
    <d v="2024-04-25T00:00:00"/>
    <s v="Redwood"/>
    <s v="REDWOOD"/>
    <s v="APPLE PAY"/>
    <n v="-6.9"/>
    <m/>
    <n v="-6.9"/>
    <n v="15611.76"/>
    <n v="-6.9"/>
    <n v="15611.760000000002"/>
    <n v="0"/>
    <s v="FOOD_AND_DRINK"/>
    <x v="6"/>
  </r>
  <r>
    <n v="13"/>
    <s v="SA24/25"/>
    <x v="0"/>
    <d v="2024-04-25T00:00:00"/>
    <s v="TfL"/>
    <s v="TFL TRAVEL CH"/>
    <s v="APPLE PAY"/>
    <n v="-8.4"/>
    <m/>
    <n v="-8.4"/>
    <n v="15603.36"/>
    <n v="-8.4"/>
    <n v="15603.360000000002"/>
    <n v="0"/>
    <s v="TRAVEL"/>
    <x v="3"/>
  </r>
  <r>
    <n v="14"/>
    <s v="SA24/25"/>
    <x v="0"/>
    <d v="2024-04-26T00:00:00"/>
    <s v="Bexley Ringo Ecom"/>
    <s v="BEXLEY RINGO ECOM"/>
    <s v="APPLE PAY"/>
    <n v="-1.7"/>
    <m/>
    <n v="-1.7"/>
    <n v="15601.66"/>
    <n v="-1.7"/>
    <n v="15601.660000000002"/>
    <n v="0"/>
    <s v="TRAVEL"/>
    <x v="3"/>
  </r>
  <r>
    <n v="15"/>
    <s v="SA24/25"/>
    <x v="0"/>
    <d v="2024-04-27T00:00:00"/>
    <s v="LOOKING GOOD OPTICIANS LIMITED T AS"/>
    <s v="wadhurst"/>
    <s v="FASTER PAYMENT"/>
    <n v="700"/>
    <n v="700"/>
    <m/>
    <n v="16301.66"/>
    <n v="700"/>
    <n v="16301.660000000002"/>
    <n v="0"/>
    <s v="REVENUE"/>
    <x v="4"/>
  </r>
  <r>
    <n v="16"/>
    <s v="SA24/25"/>
    <x v="0"/>
    <d v="2024-05-01T00:00:00"/>
    <s v="Association Of Optometrists"/>
    <n v="87201"/>
    <s v="DIRECT DEBIT"/>
    <n v="-72"/>
    <m/>
    <n v="-72"/>
    <n v="16229.66"/>
    <n v="-72"/>
    <n v="16229.660000000002"/>
    <n v="0"/>
    <s v="PROFESSIONAL_SERVICES"/>
    <x v="2"/>
  </r>
  <r>
    <n v="17"/>
    <s v="SA24/25"/>
    <x v="0"/>
    <d v="2024-05-01T00:00:00"/>
    <s v="Barclays Current"/>
    <s v="208813 93228126"/>
    <s v="FASTER PAYMENT"/>
    <n v="-700"/>
    <m/>
    <n v="-700"/>
    <n v="15529.66"/>
    <n v="-700"/>
    <n v="15529.660000000002"/>
    <n v="0"/>
    <s v="DIRECTORS_WAGES"/>
    <x v="0"/>
  </r>
  <r>
    <n v="18"/>
    <s v="SA24/25"/>
    <x v="0"/>
    <d v="2024-05-01T00:00:00"/>
    <s v="M Carlin"/>
    <s v="ACCOUNTS"/>
    <s v="FASTER PAYMENT"/>
    <n v="-40"/>
    <m/>
    <n v="-40"/>
    <n v="15489.66"/>
    <n v="-40"/>
    <n v="15489.660000000002"/>
    <n v="0"/>
    <s v="PROFESSIONAL_SERVICES"/>
    <x v="1"/>
  </r>
  <r>
    <n v="19"/>
    <s v="SA24/25"/>
    <x v="0"/>
    <d v="2024-05-07T00:00:00"/>
    <s v="Barclays Current"/>
    <s v="Dividend"/>
    <s v="FASTER PAYMENT"/>
    <n v="-4000"/>
    <m/>
    <n v="-4000"/>
    <n v="11489.66"/>
    <n v="-4000"/>
    <n v="11489.660000000002"/>
    <n v="0"/>
    <s v="DIVIDENDS"/>
    <x v="5"/>
  </r>
  <r>
    <n v="20"/>
    <s v="SA24/25"/>
    <x v="0"/>
    <d v="2024-05-10T00:00:00"/>
    <s v="Specsavers"/>
    <s v="SPECSAVERS SEP COM"/>
    <s v="DIRECT CREDIT"/>
    <n v="1225"/>
    <n v="1225"/>
    <m/>
    <n v="12714.66"/>
    <n v="1225"/>
    <n v="12714.660000000002"/>
    <n v="0"/>
    <s v="REVENUE"/>
    <x v="4"/>
  </r>
  <r>
    <n v="21"/>
    <s v="SA24/25"/>
    <x v="0"/>
    <d v="2024-05-14T00:00:00"/>
    <s v="RingGo"/>
    <s v="RINGGO PARKING"/>
    <s v="APPLE PAY"/>
    <n v="-7"/>
    <m/>
    <n v="-7"/>
    <n v="12707.66"/>
    <n v="-7"/>
    <n v="12707.660000000002"/>
    <n v="0"/>
    <s v="TRAVEL"/>
    <x v="3"/>
  </r>
  <r>
    <n v="22"/>
    <s v="SA24/25"/>
    <x v="0"/>
    <d v="2024-05-15T00:00:00"/>
    <s v="Specsavers"/>
    <s v="SPECSAVERS SEP COM"/>
    <s v="DIRECT CREDIT"/>
    <n v="5450"/>
    <n v="5450"/>
    <m/>
    <n v="18157.66"/>
    <n v="5450"/>
    <n v="18157.660000000003"/>
    <n v="0"/>
    <s v="REVENUE"/>
    <x v="4"/>
  </r>
  <r>
    <n v="23"/>
    <s v="SA24/25"/>
    <x v="0"/>
    <d v="2024-05-22T00:00:00"/>
    <s v="Specsavers"/>
    <s v="SPECSAVERS SEP COM"/>
    <s v="DIRECT CREDIT"/>
    <n v="500"/>
    <n v="500"/>
    <m/>
    <n v="18657.66"/>
    <n v="500"/>
    <n v="18657.660000000003"/>
    <n v="0"/>
    <s v="REVENUE"/>
    <x v="4"/>
  </r>
  <r>
    <n v="24"/>
    <s v="SA24/25"/>
    <x v="0"/>
    <d v="2024-05-23T00:00:00"/>
    <s v="Tmchartered Limited"/>
    <s v="ACCOUNTS"/>
    <s v="FASTER PAYMENT"/>
    <n v="-300"/>
    <m/>
    <n v="-300"/>
    <n v="18357.66"/>
    <n v="-300"/>
    <n v="18357.660000000003"/>
    <n v="0"/>
    <s v="PROFESSIONAL_SERVICES"/>
    <x v="1"/>
  </r>
  <r>
    <n v="25"/>
    <s v="SA24/25"/>
    <x v="0"/>
    <d v="2024-05-27T00:00:00"/>
    <s v="RingGo"/>
    <s v="RINGGO PARKING"/>
    <s v="APPLE PAY"/>
    <n v="-2.1"/>
    <m/>
    <n v="-2.1"/>
    <n v="18355.560000000001"/>
    <n v="-2.1"/>
    <n v="18355.560000000005"/>
    <n v="0"/>
    <s v="TRAVEL"/>
    <x v="3"/>
  </r>
  <r>
    <n v="26"/>
    <s v="SA24/25"/>
    <x v="0"/>
    <d v="2024-05-29T00:00:00"/>
    <s v="LOOKING GOOD OPTICIANS LIMITED T AS"/>
    <s v="wadhurst"/>
    <s v="FASTER PAYMENT"/>
    <n v="200"/>
    <n v="200"/>
    <m/>
    <n v="18555.560000000001"/>
    <n v="200"/>
    <n v="18555.560000000005"/>
    <n v="0"/>
    <s v="REVENUE"/>
    <x v="4"/>
  </r>
  <r>
    <n v="27"/>
    <s v="SA24/25"/>
    <x v="0"/>
    <d v="2024-05-31T00:00:00"/>
    <s v="MiPermit"/>
    <s v="MIPERMIT LTD"/>
    <s v="APPLE PAY"/>
    <n v="-1.1000000000000001"/>
    <m/>
    <n v="-1.1000000000000001"/>
    <n v="18554.46"/>
    <n v="-1.1000000000000001"/>
    <n v="18554.460000000006"/>
    <n v="0"/>
    <s v="TRAVEL"/>
    <x v="3"/>
  </r>
  <r>
    <n v="28"/>
    <s v="SA24/25"/>
    <x v="0"/>
    <d v="2024-05-31T00:00:00"/>
    <s v="MiPermit"/>
    <s v="MIPERMIT LTD"/>
    <s v="APPLE PAY"/>
    <n v="-1"/>
    <m/>
    <n v="-1"/>
    <n v="18553.46"/>
    <n v="-1"/>
    <n v="18553.460000000006"/>
    <n v="0"/>
    <s v="TRAVEL"/>
    <x v="3"/>
  </r>
  <r>
    <n v="29"/>
    <s v="SA24/25"/>
    <x v="0"/>
    <d v="2024-06-03T00:00:00"/>
    <s v="Barclays Current"/>
    <s v="208813 93228126"/>
    <s v="FASTER PAYMENT"/>
    <n v="-700"/>
    <m/>
    <n v="-700"/>
    <n v="17853.46"/>
    <n v="-700"/>
    <n v="17853.460000000006"/>
    <n v="0"/>
    <s v="DIRECTORS_WAGES"/>
    <x v="0"/>
  </r>
  <r>
    <n v="30"/>
    <s v="SA24/25"/>
    <x v="0"/>
    <d v="2024-06-03T00:00:00"/>
    <s v="Association Of Optometrists"/>
    <n v="87201"/>
    <s v="DIRECT DEBIT"/>
    <n v="-72"/>
    <m/>
    <n v="-72"/>
    <n v="17781.46"/>
    <n v="-72"/>
    <n v="17781.460000000006"/>
    <n v="0"/>
    <s v="PROFESSIONAL_SERVICES"/>
    <x v="2"/>
  </r>
  <r>
    <n v="31"/>
    <s v="SA24/25"/>
    <x v="0"/>
    <d v="2024-06-03T00:00:00"/>
    <s v="The College Of Optometrists"/>
    <s v="DD003133"/>
    <s v="DIRECT DEBIT"/>
    <n v="-127.09"/>
    <m/>
    <n v="-127.09"/>
    <n v="17654.37"/>
    <n v="-127.09"/>
    <n v="17654.370000000006"/>
    <n v="0"/>
    <s v="PROFESSIONAL_SERVICES"/>
    <x v="7"/>
  </r>
  <r>
    <n v="32"/>
    <s v="SA24/25"/>
    <x v="0"/>
    <d v="2024-06-07T00:00:00"/>
    <s v="Specsavers"/>
    <s v="SPECSAVERS SEP COM"/>
    <s v="DIRECT CREDIT"/>
    <n v="3400"/>
    <n v="3400"/>
    <m/>
    <n v="21054.37"/>
    <n v="3400"/>
    <n v="21054.370000000006"/>
    <n v="0"/>
    <s v="REVENUE"/>
    <x v="4"/>
  </r>
  <r>
    <n v="33"/>
    <s v="SA24/25"/>
    <x v="0"/>
    <d v="2024-06-08T00:00:00"/>
    <s v="MiPermit"/>
    <s v="MIPERMIT LTD"/>
    <s v="APPLE PAY"/>
    <n v="-1.1000000000000001"/>
    <m/>
    <n v="-1.1000000000000001"/>
    <n v="21053.27"/>
    <n v="-1.1000000000000001"/>
    <n v="21053.270000000008"/>
    <n v="0"/>
    <s v="TRAVEL"/>
    <x v="3"/>
  </r>
  <r>
    <n v="34"/>
    <s v="SA24/25"/>
    <x v="0"/>
    <d v="2024-06-08T00:00:00"/>
    <s v="MiPermit"/>
    <s v="MIPERMIT LTD"/>
    <s v="APPLE PAY"/>
    <n v="-1"/>
    <m/>
    <n v="-1"/>
    <n v="21052.27"/>
    <n v="-1"/>
    <n v="21052.270000000008"/>
    <n v="0"/>
    <s v="TRAVEL"/>
    <x v="3"/>
  </r>
  <r>
    <n v="35"/>
    <s v="SA24/25"/>
    <x v="0"/>
    <d v="2024-06-08T00:00:00"/>
    <s v="MiPermit"/>
    <s v="MIPERMIT LTD"/>
    <s v="APPLE PAY"/>
    <n v="-1.1000000000000001"/>
    <m/>
    <n v="-1.1000000000000001"/>
    <n v="21051.17"/>
    <n v="-1.1000000000000001"/>
    <n v="21051.170000000009"/>
    <n v="0"/>
    <s v="TRAVEL"/>
    <x v="3"/>
  </r>
  <r>
    <n v="36"/>
    <s v="SA24/25"/>
    <x v="0"/>
    <d v="2024-06-08T00:00:00"/>
    <s v="MiPermit"/>
    <s v="MIPERMIT LTD"/>
    <s v="APPLE PAY"/>
    <n v="-1.1000000000000001"/>
    <m/>
    <n v="-1.1000000000000001"/>
    <n v="21050.07"/>
    <n v="-1.1000000000000001"/>
    <n v="21050.070000000011"/>
    <n v="0"/>
    <s v="TRAVEL"/>
    <x v="3"/>
  </r>
  <r>
    <n v="37"/>
    <s v="SA24/25"/>
    <x v="0"/>
    <d v="2024-06-12T00:00:00"/>
    <s v="Specsavers"/>
    <s v="SPECSAVERS SEP COM"/>
    <s v="DIRECT CREDIT"/>
    <n v="3300"/>
    <n v="3300"/>
    <m/>
    <n v="24350.07"/>
    <n v="3300"/>
    <n v="24350.070000000011"/>
    <n v="0"/>
    <s v="REVENUE"/>
    <x v="4"/>
  </r>
  <r>
    <n v="38"/>
    <s v="SA24/25"/>
    <x v="0"/>
    <d v="2024-06-18T00:00:00"/>
    <s v="Tmchartered Limited"/>
    <s v="Accounts MF"/>
    <s v="FASTER PAYMENT"/>
    <n v="-300"/>
    <m/>
    <n v="-300"/>
    <n v="24050.07"/>
    <n v="-300"/>
    <n v="24050.070000000011"/>
    <n v="0"/>
    <s v="PROFESSIONAL_SERVICES"/>
    <x v="1"/>
  </r>
  <r>
    <n v="39"/>
    <s v="SA24/25"/>
    <x v="0"/>
    <d v="2024-06-27T00:00:00"/>
    <s v="LOOKING GOOD OPTICIANS LIMITED T AS"/>
    <s v="wadhurst"/>
    <s v="FASTER PAYMENT"/>
    <n v="700"/>
    <n v="700"/>
    <m/>
    <n v="24750.07"/>
    <n v="700"/>
    <n v="24750.070000000011"/>
    <n v="0"/>
    <s v="REVENUE"/>
    <x v="4"/>
  </r>
  <r>
    <n v="40"/>
    <s v="SA24/25"/>
    <x v="0"/>
    <d v="2024-06-28T00:00:00"/>
    <s v="Barclays Current"/>
    <s v="Dividend"/>
    <s v="FASTER PAYMENT"/>
    <n v="-4000"/>
    <m/>
    <n v="-4000"/>
    <n v="20750.07"/>
    <n v="-4000"/>
    <n v="20750.070000000011"/>
    <n v="0"/>
    <s v="DIVIDENDS"/>
    <x v="5"/>
  </r>
  <r>
    <n v="41"/>
    <s v="SA24/25"/>
    <x v="0"/>
    <d v="2024-06-30T00:00:00"/>
    <s v="Hl"/>
    <s v="WWW.HL.CO.UK"/>
    <s v="ONLINE PAYMENT"/>
    <n v="-750"/>
    <m/>
    <n v="-750"/>
    <n v="20000.07"/>
    <n v="-750"/>
    <n v="20000.070000000011"/>
    <n v="0"/>
    <s v="STAFF"/>
    <x v="8"/>
  </r>
  <r>
    <n v="42"/>
    <s v="SA24/25"/>
    <x v="0"/>
    <d v="2024-07-01T00:00:00"/>
    <s v="Association Of Optometrists"/>
    <n v="87201"/>
    <s v="DIRECT DEBIT"/>
    <n v="-72"/>
    <m/>
    <n v="-72"/>
    <n v="19928.07"/>
    <n v="-72"/>
    <n v="19928.070000000011"/>
    <n v="0"/>
    <s v="PROFESSIONAL_SERVICES"/>
    <x v="2"/>
  </r>
  <r>
    <n v="43"/>
    <s v="SA24/25"/>
    <x v="0"/>
    <d v="2024-07-01T00:00:00"/>
    <s v="Barclays Current"/>
    <s v="208813 93228126"/>
    <s v="FASTER PAYMENT"/>
    <n v="-1000"/>
    <m/>
    <n v="-1000"/>
    <n v="18928.07"/>
    <n v="-1000"/>
    <n v="18928.070000000011"/>
    <n v="0"/>
    <s v="DIRECTORS_WAGES"/>
    <x v="0"/>
  </r>
  <r>
    <n v="44"/>
    <s v="SA24/25"/>
    <x v="0"/>
    <d v="2024-07-04T00:00:00"/>
    <s v="WILKINSON LTD   ZZ"/>
    <s v="WILK SEV"/>
    <s v="FASTER PAYMENT"/>
    <n v="450"/>
    <n v="450"/>
    <m/>
    <n v="19378.07"/>
    <n v="450"/>
    <n v="19378.070000000011"/>
    <n v="0"/>
    <s v="REVENUE"/>
    <x v="4"/>
  </r>
  <r>
    <n v="45"/>
    <s v="SA24/25"/>
    <x v="0"/>
    <d v="2024-07-05T00:00:00"/>
    <s v="Specsavers"/>
    <s v="SPECSAVERS SEP COM"/>
    <s v="DIRECT CREDIT"/>
    <n v="5043"/>
    <n v="5043"/>
    <m/>
    <n v="24421.07"/>
    <n v="5043"/>
    <n v="24421.070000000011"/>
    <n v="0"/>
    <s v="REVENUE"/>
    <x v="4"/>
  </r>
  <r>
    <n v="46"/>
    <s v="SA24/25"/>
    <x v="0"/>
    <d v="2024-07-05T00:00:00"/>
    <s v="Barclays Current"/>
    <s v="Dividend"/>
    <s v="FASTER PAYMENT"/>
    <n v="-2000"/>
    <m/>
    <n v="-2000"/>
    <n v="22421.07"/>
    <n v="-2000"/>
    <n v="22421.070000000011"/>
    <n v="0"/>
    <s v="DIVIDENDS"/>
    <x v="5"/>
  </r>
  <r>
    <n v="47"/>
    <s v="SA24/25"/>
    <x v="0"/>
    <d v="2024-07-07T00:00:00"/>
    <s v="MiPermit"/>
    <s v="MIPERMIT LTD"/>
    <s v="APPLE PAY"/>
    <n v="-1.1000000000000001"/>
    <m/>
    <n v="-1.1000000000000001"/>
    <n v="22419.97"/>
    <n v="-1.1000000000000001"/>
    <n v="22419.970000000012"/>
    <n v="0"/>
    <s v="TRAVEL"/>
    <x v="3"/>
  </r>
  <r>
    <n v="48"/>
    <s v="SA24/25"/>
    <x v="0"/>
    <d v="2024-07-12T00:00:00"/>
    <s v="Abbeyfield Ve Limi"/>
    <s v="RG05570000565224"/>
    <s v="DIRECT CREDIT"/>
    <n v="375"/>
    <n v="375"/>
    <m/>
    <n v="22794.97"/>
    <n v="375"/>
    <n v="22794.970000000012"/>
    <n v="0"/>
    <s v="REVENUE"/>
    <x v="4"/>
  </r>
  <r>
    <n v="49"/>
    <s v="SA24/25"/>
    <x v="0"/>
    <d v="2024-07-17T00:00:00"/>
    <s v="MiPermit"/>
    <s v="MIPERMIT LTD"/>
    <s v="APPLE PAY"/>
    <n v="-1.1000000000000001"/>
    <m/>
    <n v="-1.1000000000000001"/>
    <n v="22793.87"/>
    <n v="-1.1000000000000001"/>
    <n v="22793.870000000014"/>
    <n v="0"/>
    <s v="TRAVEL"/>
    <x v="3"/>
  </r>
  <r>
    <n v="50"/>
    <s v="SA24/25"/>
    <x v="0"/>
    <d v="2024-07-18T00:00:00"/>
    <s v="Uh Ecommerce Pay360"/>
    <s v="UNI OF HERTFORDSHIRE"/>
    <s v="ONLINE PAYMENT"/>
    <n v="-1400"/>
    <m/>
    <n v="-1400"/>
    <n v="21393.87"/>
    <n v="-1400"/>
    <n v="21393.870000000014"/>
    <n v="0"/>
    <s v="PROFESSIONAL_SERVICES"/>
    <x v="9"/>
  </r>
  <r>
    <n v="51"/>
    <s v="SA24/25"/>
    <x v="0"/>
    <d v="2024-07-18T00:00:00"/>
    <s v="MiPermit"/>
    <s v="MIPERMIT LTD"/>
    <s v="APPLE PAY"/>
    <n v="-1.1000000000000001"/>
    <m/>
    <n v="-1.1000000000000001"/>
    <n v="21392.77"/>
    <n v="-1.1000000000000001"/>
    <n v="21392.770000000015"/>
    <n v="0"/>
    <s v="TRAVEL"/>
    <x v="3"/>
  </r>
  <r>
    <n v="52"/>
    <s v="SA24/25"/>
    <x v="0"/>
    <d v="2024-07-20T00:00:00"/>
    <s v="LOOKING GOOD OPTICIANS LIMITED T AS"/>
    <s v="wadhurst"/>
    <s v="FASTER PAYMENT"/>
    <n v="1100"/>
    <n v="1100"/>
    <m/>
    <n v="22492.77"/>
    <n v="1100"/>
    <n v="22492.770000000015"/>
    <n v="0"/>
    <s v="REVENUE"/>
    <x v="4"/>
  </r>
  <r>
    <n v="53"/>
    <s v="SA24/25"/>
    <x v="0"/>
    <d v="2024-07-24T00:00:00"/>
    <s v="Barclays Current"/>
    <s v="Dividend"/>
    <s v="FASTER PAYMENT"/>
    <n v="-7500"/>
    <m/>
    <n v="-7500"/>
    <n v="14992.77"/>
    <n v="-7500"/>
    <n v="14992.770000000015"/>
    <n v="-1.4551915228366852E-11"/>
    <s v="DIVIDENDS"/>
    <x v="5"/>
  </r>
  <r>
    <n v="54"/>
    <s v="SA24/25"/>
    <x v="0"/>
    <d v="2024-08-01T00:00:00"/>
    <s v="Barclays Current"/>
    <s v="208813 93228126"/>
    <s v="FASTER PAYMENT"/>
    <n v="-1000"/>
    <m/>
    <n v="-1000"/>
    <n v="13992.77"/>
    <n v="-1000"/>
    <n v="13992.770000000015"/>
    <n v="-1.4551915228366852E-11"/>
    <s v="DIRECTORS_WAGES"/>
    <x v="0"/>
  </r>
  <r>
    <n v="55"/>
    <s v="SA24/25"/>
    <x v="0"/>
    <d v="2024-08-01T00:00:00"/>
    <s v="Association Of Optometrists"/>
    <n v="87201"/>
    <s v="DIRECT DEBIT"/>
    <n v="-72"/>
    <m/>
    <n v="-72"/>
    <n v="13920.77"/>
    <n v="-72"/>
    <n v="13920.770000000015"/>
    <n v="-1.4551915228366852E-11"/>
    <s v="PROFESSIONAL_SERVICES"/>
    <x v="2"/>
  </r>
  <r>
    <n v="56"/>
    <s v="SA24/25"/>
    <x v="0"/>
    <d v="2024-08-07T00:00:00"/>
    <s v="Specsavers"/>
    <s v="SPECSAVERS SEP COM"/>
    <s v="DIRECT CREDIT"/>
    <n v="2350"/>
    <n v="2350"/>
    <m/>
    <n v="16270.77"/>
    <n v="2350"/>
    <n v="16270.770000000015"/>
    <n v="-1.4551915228366852E-11"/>
    <s v="REVENUE"/>
    <x v="4"/>
  </r>
  <r>
    <n v="57"/>
    <s v="SA24/25"/>
    <x v="0"/>
    <d v="2024-08-08T00:00:00"/>
    <s v="RingGo"/>
    <s v="RINGGO PARKING"/>
    <s v="APPLE PAY"/>
    <n v="-7"/>
    <m/>
    <n v="-7"/>
    <n v="16263.77"/>
    <n v="-7"/>
    <n v="16263.770000000015"/>
    <n v="-1.4551915228366852E-11"/>
    <s v="TRAVEL"/>
    <x v="3"/>
  </r>
  <r>
    <n v="58"/>
    <s v="SA24/25"/>
    <x v="0"/>
    <d v="2024-08-09T00:00:00"/>
    <s v="Specsavers"/>
    <s v="SPECSAVERS SEP COM"/>
    <s v="DIRECT CREDIT"/>
    <n v="2125"/>
    <n v="2125"/>
    <m/>
    <n v="18388.77"/>
    <n v="2125"/>
    <n v="18388.770000000015"/>
    <n v="0"/>
    <s v="REVENUE"/>
    <x v="4"/>
  </r>
  <r>
    <n v="59"/>
    <s v="SA24/25"/>
    <x v="0"/>
    <d v="2024-08-12T00:00:00"/>
    <s v="WILKINSON LTD   ZZ"/>
    <s v="WILK SEV"/>
    <s v="FASTER PAYMENT"/>
    <n v="900"/>
    <n v="900"/>
    <m/>
    <n v="19288.77"/>
    <n v="900"/>
    <n v="19288.770000000015"/>
    <n v="0"/>
    <s v="REVENUE"/>
    <x v="4"/>
  </r>
  <r>
    <n v="60"/>
    <s v="SA24/25"/>
    <x v="0"/>
    <d v="2024-08-16T00:00:00"/>
    <s v="Specsavers"/>
    <s v="SPECSAVERS SEP COM"/>
    <s v="DIRECT CREDIT"/>
    <n v="430"/>
    <n v="430"/>
    <m/>
    <n v="19718.77"/>
    <n v="430"/>
    <n v="19718.770000000015"/>
    <n v="0"/>
    <s v="REVENUE"/>
    <x v="4"/>
  </r>
  <r>
    <n v="61"/>
    <s v="SA24/25"/>
    <x v="0"/>
    <d v="2024-08-18T00:00:00"/>
    <s v="MiPermit"/>
    <s v="MIPERMIT LTD"/>
    <s v="APPLE PAY"/>
    <n v="-5.6"/>
    <m/>
    <n v="-5.6"/>
    <n v="19713.169999999998"/>
    <n v="-5.6"/>
    <n v="19713.170000000016"/>
    <n v="0"/>
    <s v="TRAVEL"/>
    <x v="3"/>
  </r>
  <r>
    <n v="62"/>
    <s v="SA24/25"/>
    <x v="0"/>
    <d v="2024-08-19T00:00:00"/>
    <s v="MiPermit"/>
    <s v="MIPERMIT LTD"/>
    <s v="APPLE PAY"/>
    <n v="-5.6"/>
    <m/>
    <n v="-5.6"/>
    <n v="19707.57"/>
    <n v="-5.6"/>
    <n v="19707.570000000018"/>
    <n v="0"/>
    <s v="TRAVEL"/>
    <x v="3"/>
  </r>
  <r>
    <n v="63"/>
    <s v="SA24/25"/>
    <x v="0"/>
    <d v="2024-08-21T00:00:00"/>
    <s v="MiPermit"/>
    <s v="MIPERMIT LTD"/>
    <s v="APPLE PAY"/>
    <n v="-5.6"/>
    <m/>
    <n v="-5.6"/>
    <n v="19701.97"/>
    <n v="-5.6"/>
    <n v="19701.970000000019"/>
    <n v="0"/>
    <s v="TRAVEL"/>
    <x v="3"/>
  </r>
  <r>
    <n v="64"/>
    <s v="SA24/25"/>
    <x v="0"/>
    <d v="2024-08-22T00:00:00"/>
    <s v="Hl"/>
    <s v="WWW.HL.CO.UK"/>
    <s v="ONLINE PAYMENT"/>
    <n v="-750"/>
    <m/>
    <n v="-750"/>
    <n v="18951.97"/>
    <n v="-750"/>
    <n v="18951.970000000019"/>
    <n v="0"/>
    <s v="STAFF"/>
    <x v="8"/>
  </r>
  <r>
    <n v="65"/>
    <s v="SA24/25"/>
    <x v="0"/>
    <d v="2024-08-22T00:00:00"/>
    <s v="MiPermit"/>
    <s v="MIPERMIT LTD"/>
    <s v="APPLE PAY"/>
    <n v="-5.6"/>
    <m/>
    <n v="-5.6"/>
    <n v="18946.37"/>
    <n v="-5.6"/>
    <n v="18946.370000000021"/>
    <n v="0"/>
    <s v="TRAVEL"/>
    <x v="3"/>
  </r>
  <r>
    <n v="66"/>
    <s v="SA24/25"/>
    <x v="0"/>
    <d v="2024-08-25T00:00:00"/>
    <s v="MiPermit"/>
    <s v="MIPERMIT LTD"/>
    <s v="APPLE PAY"/>
    <n v="-5.6"/>
    <m/>
    <n v="-5.6"/>
    <n v="18940.77"/>
    <n v="-5.6"/>
    <n v="18940.770000000022"/>
    <n v="0"/>
    <s v="TRAVEL"/>
    <x v="3"/>
  </r>
  <r>
    <n v="67"/>
    <s v="SA24/25"/>
    <x v="0"/>
    <d v="2024-08-26T00:00:00"/>
    <s v="MiPermit"/>
    <s v="MIPERMIT LTD"/>
    <s v="APPLE PAY"/>
    <n v="-5.0999999999999996"/>
    <m/>
    <n v="-5.0999999999999996"/>
    <n v="18935.669999999998"/>
    <n v="-5.0999999999999996"/>
    <n v="18935.670000000024"/>
    <n v="0"/>
    <s v="TRAVEL"/>
    <x v="3"/>
  </r>
  <r>
    <n v="68"/>
    <s v="SA24/25"/>
    <x v="0"/>
    <d v="2024-08-29T00:00:00"/>
    <s v="LOOKING GOOD OPTICIANS LIMITED T AS"/>
    <s v="wadhurst"/>
    <s v="FASTER PAYMENT"/>
    <n v="1200"/>
    <n v="1200"/>
    <m/>
    <n v="20135.669999999998"/>
    <n v="1200"/>
    <n v="20135.670000000024"/>
    <n v="0"/>
    <s v="REVENUE"/>
    <x v="4"/>
  </r>
  <r>
    <n v="69"/>
    <s v="SA24/25"/>
    <x v="0"/>
    <d v="2024-08-29T00:00:00"/>
    <s v="Barclays Current"/>
    <s v="Dividend"/>
    <s v="FASTER PAYMENT"/>
    <n v="-2000"/>
    <m/>
    <n v="-2000"/>
    <n v="18135.669999999998"/>
    <n v="-2000"/>
    <n v="18135.670000000024"/>
    <n v="0"/>
    <s v="DIVIDENDS"/>
    <x v="5"/>
  </r>
  <r>
    <n v="70"/>
    <s v="SA24/25"/>
    <x v="0"/>
    <d v="2024-09-02T00:00:00"/>
    <s v="Barclays Current"/>
    <s v="208813 93228126"/>
    <s v="FASTER PAYMENT"/>
    <n v="-1000"/>
    <m/>
    <n v="-1000"/>
    <n v="17135.669999999998"/>
    <n v="-1000"/>
    <n v="17135.670000000024"/>
    <n v="0"/>
    <s v="DIRECTORS_WAGES"/>
    <x v="0"/>
  </r>
  <r>
    <n v="71"/>
    <s v="SA24/25"/>
    <x v="0"/>
    <d v="2024-09-02T00:00:00"/>
    <s v="Association Of Optometrists"/>
    <n v="87201"/>
    <s v="DIRECT DEBIT"/>
    <n v="-72"/>
    <m/>
    <n v="-72"/>
    <n v="17063.669999999998"/>
    <n v="-72"/>
    <n v="17063.670000000024"/>
    <n v="0"/>
    <s v="PROFESSIONAL_SERVICES"/>
    <x v="2"/>
  </r>
  <r>
    <n v="72"/>
    <s v="SA24/25"/>
    <x v="0"/>
    <d v="2024-09-05T00:00:00"/>
    <s v="Lser Connect Ecom"/>
    <s v="LSER CONNECT ECOM"/>
    <s v="APPLE PAY"/>
    <n v="-7"/>
    <m/>
    <n v="-7"/>
    <n v="17056.669999999998"/>
    <n v="-7"/>
    <n v="17056.670000000024"/>
    <n v="0"/>
    <s v="TRAVEL"/>
    <x v="3"/>
  </r>
  <r>
    <n v="73"/>
    <s v="SA24/25"/>
    <x v="0"/>
    <d v="2024-09-05T00:00:00"/>
    <s v="MiPermit"/>
    <s v="MIPERMIT LTD"/>
    <s v="APPLE PAY"/>
    <n v="-2.1"/>
    <m/>
    <n v="-2.1"/>
    <n v="17054.57"/>
    <n v="-2.1"/>
    <n v="17054.570000000025"/>
    <n v="0"/>
    <s v="TRAVEL"/>
    <x v="3"/>
  </r>
  <r>
    <n v="74"/>
    <s v="SA24/25"/>
    <x v="0"/>
    <d v="2024-09-06T00:00:00"/>
    <s v="Specsavers"/>
    <s v="SPECSAVERS SEP COM"/>
    <s v="DIRECT CREDIT"/>
    <n v="3825"/>
    <n v="3825"/>
    <m/>
    <n v="20879.57"/>
    <n v="3825"/>
    <n v="20879.570000000025"/>
    <n v="0"/>
    <s v="REVENUE"/>
    <x v="4"/>
  </r>
  <r>
    <n v="75"/>
    <s v="SA24/25"/>
    <x v="0"/>
    <d v="2024-09-08T00:00:00"/>
    <s v="MiPermit"/>
    <s v="MIPERMIT LTD"/>
    <s v="APPLE PAY"/>
    <n v="-4.0999999999999996"/>
    <m/>
    <n v="-4.0999999999999996"/>
    <n v="20875.47"/>
    <n v="-4.0999999999999996"/>
    <n v="20875.470000000027"/>
    <n v="0"/>
    <s v="TRAVEL"/>
    <x v="3"/>
  </r>
  <r>
    <n v="76"/>
    <s v="SA24/25"/>
    <x v="0"/>
    <d v="2024-09-08T00:00:00"/>
    <s v="MiPermit"/>
    <s v="MIPERMIT LTD"/>
    <s v="APPLE PAY"/>
    <n v="-5.0999999999999996"/>
    <m/>
    <n v="-5.0999999999999996"/>
    <n v="20870.37"/>
    <n v="-5.0999999999999996"/>
    <n v="20870.370000000028"/>
    <n v="-2.9103830456733704E-11"/>
    <s v="TRAVEL"/>
    <x v="3"/>
  </r>
  <r>
    <n v="77"/>
    <s v="SA24/25"/>
    <x v="0"/>
    <d v="2024-09-09T00:00:00"/>
    <s v="WILKINSON LTD   ZZ"/>
    <s v="WILK SEV"/>
    <s v="FASTER PAYMENT"/>
    <n v="900"/>
    <n v="900"/>
    <m/>
    <n v="21770.37"/>
    <n v="900"/>
    <n v="21770.370000000028"/>
    <n v="-2.9103830456733704E-11"/>
    <s v="REVENUE"/>
    <x v="4"/>
  </r>
  <r>
    <n v="78"/>
    <s v="SA24/25"/>
    <x v="0"/>
    <d v="2024-09-11T00:00:00"/>
    <s v="Specsavers"/>
    <s v="SPECSAVERS SEP COM"/>
    <s v="DIRECT CREDIT"/>
    <n v="1826"/>
    <n v="1826"/>
    <m/>
    <n v="23596.37"/>
    <n v="1826"/>
    <n v="23596.370000000028"/>
    <n v="-2.9103830456733704E-11"/>
    <s v="REVENUE"/>
    <x v="4"/>
  </r>
  <r>
    <n v="79"/>
    <s v="SA24/25"/>
    <x v="0"/>
    <d v="2024-09-13T00:00:00"/>
    <s v="Abbeyfield Ve Limi"/>
    <s v="RG05570000805124"/>
    <s v="DIRECT CREDIT"/>
    <n v="375"/>
    <n v="375"/>
    <m/>
    <n v="23971.37"/>
    <n v="375"/>
    <n v="23971.370000000028"/>
    <n v="-2.9103830456733704E-11"/>
    <s v="REVENUE"/>
    <x v="4"/>
  </r>
  <r>
    <n v="80"/>
    <s v="SA24/25"/>
    <x v="0"/>
    <d v="2024-09-13T00:00:00"/>
    <s v="MiPermit"/>
    <s v="MIPERMIT LTD"/>
    <s v="APPLE PAY"/>
    <n v="-5.6"/>
    <m/>
    <n v="-5.6"/>
    <n v="23965.77"/>
    <n v="-5.6"/>
    <n v="23965.77000000003"/>
    <n v="-2.9103830456733704E-11"/>
    <s v="TRAVEL"/>
    <x v="3"/>
  </r>
  <r>
    <n v="81"/>
    <s v="SA24/25"/>
    <x v="0"/>
    <d v="2024-09-16T00:00:00"/>
    <s v="MiPermit"/>
    <s v="MIPERMIT LTD"/>
    <s v="APPLE PAY"/>
    <n v="-4.0999999999999996"/>
    <m/>
    <n v="-4.0999999999999996"/>
    <n v="23961.67"/>
    <n v="-4.0999999999999996"/>
    <n v="23961.670000000031"/>
    <n v="-3.2741809263825417E-11"/>
    <s v="TRAVEL"/>
    <x v="3"/>
  </r>
  <r>
    <n v="82"/>
    <s v="SA24/25"/>
    <x v="0"/>
    <d v="2024-09-16T00:00:00"/>
    <s v="MiPermit"/>
    <s v="MIPERMIT LTD"/>
    <s v="APPLE PAY"/>
    <n v="-5.0999999999999996"/>
    <m/>
    <n v="-5.0999999999999996"/>
    <n v="23956.57"/>
    <n v="-5.0999999999999996"/>
    <n v="23956.570000000032"/>
    <n v="-3.2741809263825417E-11"/>
    <s v="TRAVEL"/>
    <x v="3"/>
  </r>
  <r>
    <n v="83"/>
    <s v="SA24/25"/>
    <x v="0"/>
    <d v="2024-09-20T00:00:00"/>
    <s v="MiPermit"/>
    <s v="MIPERMIT LTD"/>
    <s v="APPLE PAY"/>
    <n v="-1.6"/>
    <m/>
    <n v="-1.6"/>
    <n v="23954.97"/>
    <n v="-1.6"/>
    <n v="23954.970000000034"/>
    <n v="-3.2741809263825417E-11"/>
    <s v="TRAVEL"/>
    <x v="3"/>
  </r>
  <r>
    <n v="84"/>
    <s v="SA24/25"/>
    <x v="0"/>
    <d v="2024-09-24T00:00:00"/>
    <s v="LOOKING GOOD OPTICIANS LIMITED T AS"/>
    <s v="wadhurst"/>
    <s v="FASTER PAYMENT"/>
    <n v="200"/>
    <n v="200"/>
    <m/>
    <n v="24154.97"/>
    <n v="200"/>
    <n v="24154.970000000034"/>
    <n v="-3.2741809263825417E-11"/>
    <s v="REVENUE"/>
    <x v="4"/>
  </r>
  <r>
    <n v="85"/>
    <s v="SA24/25"/>
    <x v="0"/>
    <d v="2024-09-28T00:00:00"/>
    <s v="Tmchartered Limited"/>
    <s v="Accounts MF"/>
    <s v="FASTER PAYMENT"/>
    <n v="-48"/>
    <m/>
    <n v="-48"/>
    <n v="24106.97"/>
    <n v="-48"/>
    <n v="24106.970000000034"/>
    <n v="-3.2741809263825417E-11"/>
    <s v="PROFESSIONAL_SERVICES"/>
    <x v="1"/>
  </r>
  <r>
    <n v="86"/>
    <s v="SA24/25"/>
    <x v="0"/>
    <d v="2024-09-28T00:00:00"/>
    <s v="Hl"/>
    <s v="WWW.HL.CO.UK"/>
    <s v="ONLINE PAYMENT"/>
    <n v="-1500"/>
    <m/>
    <n v="-1500"/>
    <n v="22606.97"/>
    <n v="-1500"/>
    <n v="22606.970000000034"/>
    <n v="-3.2741809263825417E-11"/>
    <s v="STAFF"/>
    <x v="8"/>
  </r>
  <r>
    <n v="87"/>
    <s v="SA24/25"/>
    <x v="0"/>
    <d v="2024-09-30T00:00:00"/>
    <s v="MiPermit"/>
    <s v="MIPERMIT LTD"/>
    <s v="APPLE PAY"/>
    <n v="-5.6"/>
    <m/>
    <n v="-5.6"/>
    <n v="22601.37"/>
    <n v="-5.6"/>
    <n v="22601.370000000035"/>
    <n v="-3.637978807091713E-11"/>
    <s v="TRAVEL"/>
    <x v="3"/>
  </r>
  <r>
    <n v="88"/>
    <s v="SA24/25"/>
    <x v="0"/>
    <d v="2024-10-01T00:00:00"/>
    <s v="The College Of Optometrists"/>
    <s v="DD003133"/>
    <s v="DIRECT DEBIT"/>
    <n v="-316"/>
    <m/>
    <n v="-316"/>
    <n v="22285.37"/>
    <n v="-316"/>
    <n v="22285.370000000035"/>
    <n v="-3.637978807091713E-11"/>
    <s v="PROFESSIONAL_SERVICES"/>
    <x v="7"/>
  </r>
  <r>
    <n v="89"/>
    <s v="SA24/25"/>
    <x v="0"/>
    <d v="2024-10-01T00:00:00"/>
    <s v="Association Of Optometrists"/>
    <n v="87201"/>
    <s v="DIRECT DEBIT"/>
    <n v="-72"/>
    <m/>
    <n v="-72"/>
    <n v="22213.37"/>
    <n v="-72"/>
    <n v="22213.370000000035"/>
    <n v="-3.637978807091713E-11"/>
    <s v="PROFESSIONAL_SERVICES"/>
    <x v="2"/>
  </r>
  <r>
    <n v="90"/>
    <s v="SA24/25"/>
    <x v="0"/>
    <d v="2024-10-01T00:00:00"/>
    <s v="Barclays Current"/>
    <s v="208813 93228126"/>
    <s v="FASTER PAYMENT"/>
    <n v="-1000"/>
    <m/>
    <n v="-1000"/>
    <n v="21213.37"/>
    <n v="-1000"/>
    <n v="21213.370000000035"/>
    <n v="-3.637978807091713E-11"/>
    <s v="DIRECTORS_WAGES"/>
    <x v="0"/>
  </r>
  <r>
    <n v="91"/>
    <s v="SA24/25"/>
    <x v="0"/>
    <d v="2024-10-08T00:00:00"/>
    <s v="MiPermit"/>
    <s v="MIPERMIT LTD"/>
    <s v="APPLE PAY"/>
    <n v="-2.1"/>
    <m/>
    <n v="-2.1"/>
    <n v="21211.27"/>
    <n v="-2.1"/>
    <n v="21211.270000000037"/>
    <n v="-3.637978807091713E-11"/>
    <s v="TRAVEL"/>
    <x v="3"/>
  </r>
  <r>
    <n v="92"/>
    <s v="SA24/25"/>
    <x v="0"/>
    <d v="2024-10-09T00:00:00"/>
    <s v="Specsavers"/>
    <s v="SPECSAVERS SEP COM"/>
    <s v="DIRECT CREDIT"/>
    <n v="3400"/>
    <n v="3400"/>
    <m/>
    <n v="24611.27"/>
    <n v="3400"/>
    <n v="24611.270000000037"/>
    <n v="-3.637978807091713E-11"/>
    <s v="REVENUE"/>
    <x v="4"/>
  </r>
  <r>
    <n v="93"/>
    <s v="SA24/25"/>
    <x v="0"/>
    <d v="2024-10-09T00:00:00"/>
    <s v="Barclays Current"/>
    <s v="Dividend"/>
    <s v="FASTER PAYMENT"/>
    <n v="-3000"/>
    <m/>
    <n v="-3000"/>
    <n v="21611.27"/>
    <n v="-3000"/>
    <n v="21611.270000000037"/>
    <n v="-3.637978807091713E-11"/>
    <s v="DIVIDENDS"/>
    <x v="5"/>
  </r>
  <r>
    <n v="94"/>
    <s v="SA24/25"/>
    <x v="0"/>
    <d v="2024-10-14T00:00:00"/>
    <s v="Specsavers"/>
    <s v="SPECSAVERS SEP COM"/>
    <s v="DIRECT CREDIT"/>
    <n v="1275"/>
    <n v="1275"/>
    <m/>
    <n v="22886.27"/>
    <n v="1275"/>
    <n v="22886.270000000037"/>
    <n v="-3.637978807091713E-11"/>
    <s v="REVENUE"/>
    <x v="4"/>
  </r>
  <r>
    <n v="95"/>
    <s v="SA24/25"/>
    <x v="0"/>
    <d v="2024-10-14T00:00:00"/>
    <s v="WILKINSON LTD   ZZ"/>
    <s v="WILK SEV"/>
    <s v="FASTER PAYMENT"/>
    <n v="900"/>
    <n v="900"/>
    <m/>
    <n v="23786.27"/>
    <n v="900"/>
    <n v="23786.270000000037"/>
    <n v="-3.637978807091713E-11"/>
    <s v="REVENUE"/>
    <x v="4"/>
  </r>
  <r>
    <n v="96"/>
    <s v="SA24/25"/>
    <x v="0"/>
    <d v="2024-10-15T00:00:00"/>
    <s v="The AA"/>
    <s v="AA MOTOR INSURANCE"/>
    <s v="ONLINE PAYMENT"/>
    <n v="-428.77"/>
    <m/>
    <n v="-428.77"/>
    <n v="23357.5"/>
    <n v="-428.77"/>
    <n v="23357.500000000036"/>
    <n v="-3.637978807091713E-11"/>
    <s v="VEHICLES"/>
    <x v="10"/>
  </r>
  <r>
    <n v="97"/>
    <s v="SA24/25"/>
    <x v="0"/>
    <d v="2024-10-16T00:00:00"/>
    <s v="Nando's"/>
    <s v="NANDOS.CO.UK"/>
    <s v="APPLE PAY"/>
    <n v="-16.2"/>
    <m/>
    <n v="-16.2"/>
    <n v="23341.3"/>
    <n v="-16.2"/>
    <n v="23341.300000000036"/>
    <n v="-3.637978807091713E-11"/>
    <s v="FOOD_AND_DRINK"/>
    <x v="6"/>
  </r>
  <r>
    <n v="98"/>
    <s v="SA24/25"/>
    <x v="0"/>
    <d v="2024-10-17T00:00:00"/>
    <s v="MiPermit"/>
    <s v="MIPERMIT LTD"/>
    <s v="APPLE PAY"/>
    <n v="-6.1"/>
    <m/>
    <n v="-6.1"/>
    <n v="23335.200000000001"/>
    <n v="-6.1"/>
    <n v="23335.200000000037"/>
    <n v="-3.637978807091713E-11"/>
    <s v="TRAVEL"/>
    <x v="3"/>
  </r>
  <r>
    <n v="99"/>
    <s v="SA24/25"/>
    <x v="0"/>
    <d v="2024-10-28T00:00:00"/>
    <s v="Tmchartered Limited"/>
    <s v="Accounts MF"/>
    <s v="FASTER PAYMENT"/>
    <n v="-48"/>
    <m/>
    <n v="-48"/>
    <n v="23287.200000000001"/>
    <n v="-48"/>
    <n v="23287.200000000037"/>
    <n v="-3.637978807091713E-11"/>
    <s v="PROFESSIONAL_SERVICES"/>
    <x v="1"/>
  </r>
  <r>
    <n v="100"/>
    <s v="SA24/25"/>
    <x v="0"/>
    <d v="2024-10-28T00:00:00"/>
    <s v="LOOKING GOOD OPTICIANS LIMITED T AS"/>
    <s v="wadhurst"/>
    <s v="FASTER PAYMENT"/>
    <n v="600"/>
    <n v="600"/>
    <m/>
    <n v="23887.200000000001"/>
    <n v="600"/>
    <n v="23887.200000000037"/>
    <n v="-3.637978807091713E-11"/>
    <s v="REVENUE"/>
    <x v="4"/>
  </r>
  <r>
    <n v="101"/>
    <s v="SA24/25"/>
    <x v="0"/>
    <d v="2024-11-01T00:00:00"/>
    <s v="Barclays Current"/>
    <s v="208813 93228126"/>
    <s v="FASTER PAYMENT"/>
    <n v="-1000"/>
    <m/>
    <n v="-1000"/>
    <n v="22887.200000000001"/>
    <n v="-1000"/>
    <n v="22887.200000000037"/>
    <n v="-3.637978807091713E-11"/>
    <s v="DIRECTORS_WAGES"/>
    <x v="0"/>
  </r>
  <r>
    <n v="102"/>
    <s v="SA24/25"/>
    <x v="0"/>
    <d v="2024-11-06T00:00:00"/>
    <s v="Specsavers"/>
    <s v="SPECSAVERS SEP COM"/>
    <s v="DIRECT CREDIT"/>
    <n v="5100"/>
    <n v="5100"/>
    <m/>
    <n v="27987.200000000001"/>
    <n v="5100"/>
    <n v="27987.200000000037"/>
    <n v="-3.637978807091713E-11"/>
    <s v="REVENUE"/>
    <x v="4"/>
  </r>
  <r>
    <n v="103"/>
    <s v="SA24/25"/>
    <x v="0"/>
    <d v="2024-11-22T00:00:00"/>
    <s v="Specsavers"/>
    <s v="SPECSAVERS SEP COM"/>
    <s v="DIRECT CREDIT"/>
    <n v="1700"/>
    <n v="1700"/>
    <m/>
    <n v="29687.200000000001"/>
    <n v="1700"/>
    <n v="29687.200000000037"/>
    <n v="-3.637978807091713E-11"/>
    <s v="REVENUE"/>
    <x v="4"/>
  </r>
  <r>
    <n v="104"/>
    <s v="SA24/25"/>
    <x v="0"/>
    <d v="2024-11-24T00:00:00"/>
    <s v="MiPermit"/>
    <s v="MIPERMIT LTD"/>
    <s v="APPLE PAY"/>
    <n v="-2.1"/>
    <m/>
    <n v="-2.1"/>
    <n v="29685.1"/>
    <n v="-2.1"/>
    <n v="29685.100000000039"/>
    <n v="-4.0017766878008842E-11"/>
    <s v="TRAVEL"/>
    <x v="3"/>
  </r>
  <r>
    <n v="105"/>
    <s v="SA24/25"/>
    <x v="0"/>
    <d v="2024-11-26T00:00:00"/>
    <s v="LOOKING GOOD OPTICIANS LIMITED T AS"/>
    <s v="wadhurst"/>
    <s v="FASTER PAYMENT"/>
    <n v="600"/>
    <n v="600"/>
    <m/>
    <n v="30285.1"/>
    <n v="600"/>
    <n v="30285.100000000039"/>
    <n v="-4.0017766878008842E-11"/>
    <s v="REVENUE"/>
    <x v="4"/>
  </r>
  <r>
    <n v="106"/>
    <s v="SA24/25"/>
    <x v="0"/>
    <d v="2024-11-26T00:00:00"/>
    <s v="Matthew Ferris"/>
    <s v="Dividend"/>
    <s v="FASTER PAYMENT"/>
    <n v="-1500"/>
    <m/>
    <n v="-1500"/>
    <n v="28785.1"/>
    <n v="-1500"/>
    <n v="28785.100000000039"/>
    <n v="-4.0017766878008842E-11"/>
    <s v="DIVIDENDS"/>
    <x v="5"/>
  </r>
  <r>
    <n v="107"/>
    <s v="SA24/25"/>
    <x v="0"/>
    <d v="2024-11-27T00:00:00"/>
    <s v="Barclays Current"/>
    <s v="Dividend"/>
    <s v="FASTER PAYMENT"/>
    <n v="-1500"/>
    <m/>
    <n v="-1500"/>
    <n v="27285.1"/>
    <n v="-1500"/>
    <n v="27285.100000000039"/>
    <n v="-4.0017766878008842E-11"/>
    <s v="DIVIDENDS"/>
    <x v="5"/>
  </r>
  <r>
    <n v="108"/>
    <s v="SA24/25"/>
    <x v="0"/>
    <d v="2024-11-28T00:00:00"/>
    <s v="Tmchartered Limited"/>
    <s v="Accounts MF"/>
    <s v="FASTER PAYMENT"/>
    <n v="-48"/>
    <m/>
    <n v="-48"/>
    <n v="27237.1"/>
    <n v="-48"/>
    <n v="27237.100000000039"/>
    <n v="-4.0017766878008842E-11"/>
    <s v="PROFESSIONAL_SERVICES"/>
    <x v="1"/>
  </r>
  <r>
    <n v="109"/>
    <s v="SA24/25"/>
    <x v="0"/>
    <d v="2024-11-28T00:00:00"/>
    <s v="WILKINSON LTD   ZZ"/>
    <s v="WILK SEV"/>
    <s v="FASTER PAYMENT"/>
    <n v="900"/>
    <n v="900"/>
    <m/>
    <n v="28137.1"/>
    <n v="900"/>
    <n v="28137.100000000039"/>
    <n v="-4.0017766878008842E-11"/>
    <s v="REVENUE"/>
    <x v="4"/>
  </r>
  <r>
    <n v="110"/>
    <s v="SA24/25"/>
    <x v="0"/>
    <d v="2024-12-01T00:00:00"/>
    <s v="Matthew Ferris"/>
    <s v="Salary"/>
    <s v="FASTER PAYMENT"/>
    <n v="-1000"/>
    <m/>
    <n v="-1000"/>
    <n v="27137.1"/>
    <n v="-1000"/>
    <n v="27137.100000000039"/>
    <n v="-4.0017766878008842E-11"/>
    <s v="DIRECTORS_WAGES"/>
    <x v="0"/>
  </r>
  <r>
    <n v="111"/>
    <s v="SA24/25"/>
    <x v="0"/>
    <d v="2024-12-02T00:00:00"/>
    <s v="Premier Inn"/>
    <s v="Premier Inn"/>
    <s v="ONLINE PAYMENT"/>
    <n v="-59"/>
    <m/>
    <n v="-59"/>
    <n v="27078.1"/>
    <n v="-59"/>
    <n v="27078.100000000039"/>
    <n v="-4.0017766878008842E-11"/>
    <s v="TRAVEL"/>
    <x v="3"/>
  </r>
  <r>
    <n v="112"/>
    <s v="SA24/25"/>
    <x v="0"/>
    <d v="2024-12-09T00:00:00"/>
    <s v="MiPermit"/>
    <s v="MIPERMIT LTD"/>
    <s v="APPLE PAY"/>
    <n v="-5.6"/>
    <m/>
    <n v="-5.6"/>
    <n v="27072.5"/>
    <n v="-5.6"/>
    <n v="27072.50000000004"/>
    <n v="-4.0017766878008842E-11"/>
    <s v="TRAVEL"/>
    <x v="3"/>
  </r>
  <r>
    <n v="113"/>
    <s v="SA24/25"/>
    <x v="0"/>
    <d v="2024-12-11T00:00:00"/>
    <s v="Specsavers"/>
    <s v="SPECSAVERS SEP COM"/>
    <s v="DIRECT CREDIT"/>
    <n v="3825"/>
    <n v="3825"/>
    <m/>
    <n v="30897.5"/>
    <n v="3825"/>
    <n v="30897.50000000004"/>
    <n v="-4.0017766878008842E-11"/>
    <s v="REVENUE"/>
    <x v="4"/>
  </r>
  <r>
    <n v="114"/>
    <s v="SA24/25"/>
    <x v="0"/>
    <d v="2024-12-12T00:00:00"/>
    <s v="WILKINSON LTD   ZZ"/>
    <s v="WILK SEV"/>
    <s v="FASTER PAYMENT"/>
    <n v="900"/>
    <n v="900"/>
    <m/>
    <n v="31797.5"/>
    <n v="900"/>
    <n v="31797.50000000004"/>
    <n v="-4.0017766878008842E-11"/>
    <s v="REVENUE"/>
    <x v="4"/>
  </r>
  <r>
    <n v="115"/>
    <s v="SA24/25"/>
    <x v="0"/>
    <d v="2024-12-13T00:00:00"/>
    <s v="Specsavers"/>
    <s v="SPECSAVERS SEP COM"/>
    <s v="DIRECT CREDIT"/>
    <n v="1275"/>
    <n v="1275"/>
    <m/>
    <n v="33072.5"/>
    <n v="1275"/>
    <n v="33072.500000000044"/>
    <n v="0"/>
    <s v="REVENUE"/>
    <x v="4"/>
  </r>
  <r>
    <n v="116"/>
    <s v="SA24/25"/>
    <x v="0"/>
    <d v="2024-12-14T00:00:00"/>
    <s v="Sun Do"/>
    <s v="SUN DO"/>
    <s v="APPLE PAY"/>
    <n v="-57.4"/>
    <m/>
    <n v="-57.4"/>
    <n v="33015.1"/>
    <n v="-57.4"/>
    <n v="33015.100000000042"/>
    <n v="0"/>
    <s v="FOOD_AND_DRINK"/>
    <x v="11"/>
  </r>
  <r>
    <n v="117"/>
    <s v="SA24/25"/>
    <x v="0"/>
    <d v="2024-12-19T00:00:00"/>
    <s v="Companies House"/>
    <s v="COMPANIESHOUSE CHS - G"/>
    <s v="ONLINE PAYMENT"/>
    <n v="-34"/>
    <m/>
    <n v="-34"/>
    <n v="32981.1"/>
    <n v="-34"/>
    <n v="32981.100000000042"/>
    <n v="0"/>
    <s v="PROFESSIONAL_SERVICES"/>
    <x v="12"/>
  </r>
  <r>
    <n v="118"/>
    <s v="SA24/25"/>
    <x v="0"/>
    <d v="2024-12-19T00:00:00"/>
    <s v="LOOKING GOOD OPTICIANS LIMITED T AS"/>
    <s v="wadhurst"/>
    <s v="FASTER PAYMENT"/>
    <n v="600"/>
    <n v="600"/>
    <m/>
    <n v="33581.1"/>
    <n v="600"/>
    <n v="33581.100000000042"/>
    <n v="0"/>
    <s v="REVENUE"/>
    <x v="4"/>
  </r>
  <r>
    <n v="119"/>
    <s v="SA24/25"/>
    <x v="0"/>
    <d v="2024-12-20T00:00:00"/>
    <s v="MiPermit"/>
    <s v="MIPERMIT LTD"/>
    <s v="APPLE PAY"/>
    <n v="-1.1000000000000001"/>
    <m/>
    <n v="-1.1000000000000001"/>
    <n v="33580"/>
    <n v="-1.1000000000000001"/>
    <n v="33580.000000000044"/>
    <n v="0"/>
    <s v="TRAVEL"/>
    <x v="3"/>
  </r>
  <r>
    <n v="120"/>
    <s v="SA24/25"/>
    <x v="0"/>
    <d v="2024-12-20T00:00:00"/>
    <s v="MiPermit"/>
    <s v="MIPERMIT LTD"/>
    <s v="APPLE PAY"/>
    <n v="-1.6"/>
    <m/>
    <n v="-1.6"/>
    <n v="33578.400000000001"/>
    <n v="-1.6"/>
    <n v="33578.400000000045"/>
    <n v="0"/>
    <s v="TRAVEL"/>
    <x v="3"/>
  </r>
  <r>
    <n v="121"/>
    <s v="SA24/25"/>
    <x v="0"/>
    <d v="2024-12-22T00:00:00"/>
    <s v="Hl"/>
    <s v="WWW.HL.CO.UK"/>
    <s v="ONLINE PAYMENT"/>
    <n v="-1500"/>
    <m/>
    <n v="-1500"/>
    <n v="32078.400000000001"/>
    <n v="-1500"/>
    <n v="32078.400000000045"/>
    <n v="-4.3655745685100555E-11"/>
    <s v="STAFF"/>
    <x v="8"/>
  </r>
  <r>
    <n v="122"/>
    <s v="SA24/25"/>
    <x v="0"/>
    <d v="2024-12-24T00:00:00"/>
    <s v="eBay"/>
    <s v="eBay O*10-12496-14000"/>
    <s v="ONLINE PAYMENT"/>
    <n v="-17.2"/>
    <m/>
    <n v="-17.2"/>
    <n v="32061.200000000001"/>
    <n v="-17.2"/>
    <n v="32061.200000000044"/>
    <n v="-4.3655745685100555E-11"/>
    <s v="EQUIPMENT"/>
    <x v="13"/>
  </r>
  <r>
    <n v="123"/>
    <s v="SA24/25"/>
    <x v="0"/>
    <d v="2024-12-27T00:00:00"/>
    <s v="Disclosure &amp; Barring Service"/>
    <s v="DISCLOSURE &amp; BARRING"/>
    <s v="CARD PAYMENT"/>
    <n v="-16"/>
    <m/>
    <n v="-16"/>
    <n v="32045.200000000001"/>
    <n v="-16"/>
    <n v="32045.200000000044"/>
    <n v="-4.3655745685100555E-11"/>
    <s v="PROFESSIONAL_SERVICES"/>
    <x v="12"/>
  </r>
  <r>
    <n v="124"/>
    <s v="SA24/25"/>
    <x v="0"/>
    <d v="2024-12-28T00:00:00"/>
    <s v="Tmchartered Limited"/>
    <s v="Accounts MF"/>
    <s v="FASTER PAYMENT"/>
    <n v="-48"/>
    <m/>
    <n v="-48"/>
    <n v="31997.200000000001"/>
    <n v="-48"/>
    <n v="31997.200000000044"/>
    <n v="-4.3655745685100555E-11"/>
    <s v="PROFESSIONAL_SERVICES"/>
    <x v="1"/>
  </r>
  <r>
    <n v="125"/>
    <s v="SA24/25"/>
    <x v="0"/>
    <d v="2024-12-29T00:00:00"/>
    <s v="Matthew Ferris"/>
    <s v="Dividend"/>
    <s v="FASTER PAYMENT"/>
    <n v="-4000"/>
    <m/>
    <n v="-4000"/>
    <n v="27997.200000000001"/>
    <n v="-4000"/>
    <n v="27997.200000000044"/>
    <n v="-4.3655745685100555E-11"/>
    <s v="DIVIDENDS"/>
    <x v="5"/>
  </r>
  <r>
    <n v="126"/>
    <s v="SA24/25"/>
    <x v="0"/>
    <d v="2024-12-31T00:00:00"/>
    <s v="eBay"/>
    <s v="eBay O*10-12496-14000"/>
    <s v="ONLINE PAYMENT"/>
    <n v="5"/>
    <n v="5"/>
    <m/>
    <n v="28002.2"/>
    <n v="5"/>
    <n v="28002.200000000044"/>
    <n v="-4.3655745685100555E-11"/>
    <s v="EQUIPMENT"/>
    <x v="13"/>
  </r>
  <r>
    <n v="127"/>
    <s v="SA24/25"/>
    <x v="0"/>
    <d v="2024-12-31T00:00:00"/>
    <s v="HMRC Shipley"/>
    <s v="1451222302A00113A"/>
    <s v="FASTER PAYMENT"/>
    <n v="-9231.15"/>
    <m/>
    <n v="-9231.15"/>
    <n v="18771.05"/>
    <n v="-9231.15"/>
    <n v="18771.050000000047"/>
    <n v="-4.7293724492192268E-11"/>
    <s v="CORPORATION_TAX"/>
    <x v="14"/>
  </r>
  <r>
    <n v="128"/>
    <s v="SA24/25"/>
    <x v="0"/>
    <d v="2025-01-01T00:00:00"/>
    <s v="Matthew Ferris"/>
    <s v="Salary"/>
    <s v="FASTER PAYMENT"/>
    <n v="-1000"/>
    <m/>
    <n v="-1000"/>
    <n v="17771.05"/>
    <n v="-1000"/>
    <n v="17771.050000000047"/>
    <n v="-4.7293724492192268E-11"/>
    <s v="DIRECTORS_WAGES"/>
    <x v="0"/>
  </r>
  <r>
    <n v="129"/>
    <s v="SA24/25"/>
    <x v="0"/>
    <d v="2025-01-02T00:00:00"/>
    <s v="Association Of Optometrists"/>
    <n v="87201"/>
    <s v="DIRECT DEBIT"/>
    <n v="-73"/>
    <m/>
    <n v="-73"/>
    <n v="17698.05"/>
    <n v="-73"/>
    <n v="17698.050000000047"/>
    <n v="-4.7293724492192268E-11"/>
    <s v="PROFESSIONAL_SERVICES"/>
    <x v="2"/>
  </r>
  <r>
    <n v="130"/>
    <s v="SA24/25"/>
    <x v="0"/>
    <d v="2025-01-08T00:00:00"/>
    <s v="Specsavers"/>
    <s v="SPECSAVERS SEP COM"/>
    <s v="DIRECT CREDIT"/>
    <n v="4050"/>
    <n v="4050"/>
    <m/>
    <n v="21748.05"/>
    <n v="4050"/>
    <n v="21748.050000000047"/>
    <n v="-4.7293724492192268E-11"/>
    <s v="REVENUE"/>
    <x v="4"/>
  </r>
  <r>
    <n v="131"/>
    <s v="SA24/25"/>
    <x v="0"/>
    <d v="2025-01-10T00:00:00"/>
    <s v="MiPermit"/>
    <s v="MIPERMIT LTD"/>
    <s v="APPLE PAY"/>
    <n v="-1.1000000000000001"/>
    <m/>
    <n v="-1.1000000000000001"/>
    <n v="21746.95"/>
    <n v="-1.1000000000000001"/>
    <n v="21746.950000000048"/>
    <n v="-4.7293724492192268E-11"/>
    <s v="TRAVEL"/>
    <x v="3"/>
  </r>
  <r>
    <n v="132"/>
    <s v="SA24/25"/>
    <x v="0"/>
    <d v="2025-01-12T00:00:00"/>
    <s v="DVLA"/>
    <s v="DVLA VEHICLE TAX"/>
    <s v="ONLINE PAYMENT"/>
    <n v="-20"/>
    <m/>
    <n v="-20"/>
    <n v="21726.95"/>
    <n v="-20"/>
    <n v="21726.950000000048"/>
    <n v="-4.7293724492192268E-11"/>
    <s v="PROFESSIONAL_SERVICES"/>
    <x v="12"/>
  </r>
  <r>
    <n v="133"/>
    <s v="SA24/25"/>
    <x v="0"/>
    <d v="2025-01-13T00:00:00"/>
    <s v="WILKINSON LTD   ZZ"/>
    <s v="WILK SEV"/>
    <s v="FASTER PAYMENT"/>
    <n v="450"/>
    <n v="450"/>
    <m/>
    <n v="22176.95"/>
    <n v="450"/>
    <n v="22176.950000000048"/>
    <n v="-4.7293724492192268E-11"/>
    <s v="REVENUE"/>
    <x v="4"/>
  </r>
  <r>
    <n v="134"/>
    <s v="SA24/25"/>
    <x v="0"/>
    <d v="2025-01-14T00:00:00"/>
    <s v="Uoh College Lane"/>
    <s v="UOH COLLEGE LANE"/>
    <s v="APPLE PAY"/>
    <n v="-3.25"/>
    <m/>
    <n v="-3.25"/>
    <n v="22173.7"/>
    <n v="-3.25"/>
    <n v="22173.700000000048"/>
    <n v="-4.7293724492192268E-11"/>
    <s v="TRAVEL"/>
    <x v="3"/>
  </r>
  <r>
    <n v="135"/>
    <s v="SA24/25"/>
    <x v="0"/>
    <d v="2025-01-14T00:00:00"/>
    <s v="Uoh College Lane"/>
    <s v="UOH COLLEGE LANE"/>
    <s v="APPLE PAY"/>
    <n v="-2.5499999999999998"/>
    <m/>
    <n v="-2.5499999999999998"/>
    <n v="22171.15"/>
    <n v="-2.5499999999999998"/>
    <n v="22171.150000000049"/>
    <n v="-4.7293724492192268E-11"/>
    <s v="TRAVEL"/>
    <x v="3"/>
  </r>
  <r>
    <n v="136"/>
    <s v="SA24/25"/>
    <x v="0"/>
    <d v="2025-01-15T00:00:00"/>
    <s v="Specsavers"/>
    <s v="SPECSAVERS SEP COM"/>
    <s v="DIRECT CREDIT"/>
    <n v="850"/>
    <n v="850"/>
    <m/>
    <n v="23021.15"/>
    <n v="850"/>
    <n v="23021.150000000049"/>
    <n v="-4.7293724492192268E-11"/>
    <s v="REVENUE"/>
    <x v="4"/>
  </r>
  <r>
    <n v="137"/>
    <s v="SA24/25"/>
    <x v="0"/>
    <d v="2025-01-17T00:00:00"/>
    <s v="MiPermit"/>
    <s v="MIPERMIT LTD"/>
    <s v="APPLE PAY"/>
    <n v="-1.1000000000000001"/>
    <m/>
    <n v="-1.1000000000000001"/>
    <n v="23020.05"/>
    <n v="-1.1000000000000001"/>
    <n v="23020.05000000005"/>
    <n v="-5.0931703299283981E-11"/>
    <s v="TRAVEL"/>
    <x v="3"/>
  </r>
  <r>
    <n v="138"/>
    <s v="SA24/25"/>
    <x v="0"/>
    <d v="2025-01-28T00:00:00"/>
    <s v="Tmchartered Limited"/>
    <s v="Accounts MF"/>
    <s v="FASTER PAYMENT"/>
    <n v="-48"/>
    <m/>
    <n v="-48"/>
    <n v="22972.05"/>
    <n v="-48"/>
    <n v="22972.05000000005"/>
    <n v="-5.0931703299283981E-11"/>
    <s v="PROFESSIONAL_SERVICES"/>
    <x v="1"/>
  </r>
  <r>
    <n v="139"/>
    <s v="SA24/25"/>
    <x v="0"/>
    <d v="2025-01-28T00:00:00"/>
    <s v="LOOKING GOOD OPTICIANS LIMITED T AS"/>
    <s v="wadhurst"/>
    <s v="FASTER PAYMENT"/>
    <n v="1200"/>
    <n v="1200"/>
    <m/>
    <n v="24172.05"/>
    <n v="1200"/>
    <n v="24172.05000000005"/>
    <n v="-5.0931703299283981E-11"/>
    <s v="REVENUE"/>
    <x v="4"/>
  </r>
  <r>
    <n v="140"/>
    <s v="SA24/25"/>
    <x v="0"/>
    <d v="2025-02-01T00:00:00"/>
    <s v="Matthew Ferris"/>
    <s v="Salary"/>
    <s v="FASTER PAYMENT"/>
    <n v="-1000"/>
    <m/>
    <n v="-1000"/>
    <n v="23172.05"/>
    <n v="-1000"/>
    <n v="23172.05000000005"/>
    <n v="-5.0931703299283981E-11"/>
    <s v="DIRECTORS_WAGES"/>
    <x v="0"/>
  </r>
  <r>
    <n v="141"/>
    <s v="SA24/25"/>
    <x v="0"/>
    <d v="2025-02-01T00:00:00"/>
    <s v="Matthew Ferris"/>
    <s v="Dividend"/>
    <s v="FASTER PAYMENT"/>
    <n v="-4000"/>
    <m/>
    <n v="-4000"/>
    <n v="19172.05"/>
    <n v="-4000"/>
    <n v="19172.05000000005"/>
    <n v="-5.0931703299283981E-11"/>
    <s v="DIVIDENDS Pension"/>
    <x v="5"/>
  </r>
  <r>
    <n v="142"/>
    <s v="SA24/25"/>
    <x v="0"/>
    <d v="2025-02-02T00:00:00"/>
    <s v="Hl"/>
    <s v="WWW.HL.CO.UK"/>
    <s v="ONLINE PAYMENT"/>
    <n v="-750"/>
    <m/>
    <n v="-750"/>
    <n v="18422.05"/>
    <n v="-750"/>
    <n v="18422.05000000005"/>
    <n v="-5.0931703299283981E-11"/>
    <s v="STAFF"/>
    <x v="8"/>
  </r>
  <r>
    <n v="143"/>
    <s v="SA24/25"/>
    <x v="0"/>
    <d v="2025-02-03T00:00:00"/>
    <s v="Association Of Optometrists"/>
    <n v="87201"/>
    <s v="DIRECT DEBIT"/>
    <n v="-73"/>
    <m/>
    <n v="-73"/>
    <n v="18349.05"/>
    <n v="-73"/>
    <n v="18349.05000000005"/>
    <n v="-5.0931703299283981E-11"/>
    <s v="PROFESSIONAL_SERVICES"/>
    <x v="2"/>
  </r>
  <r>
    <n v="144"/>
    <s v="SA24/25"/>
    <x v="0"/>
    <d v="2025-02-07T00:00:00"/>
    <s v="Specsavers"/>
    <s v="SPECSAVERS SEP COM"/>
    <s v="DIRECT CREDIT"/>
    <n v="3850"/>
    <n v="3850"/>
    <m/>
    <n v="22199.05"/>
    <n v="3850"/>
    <n v="22199.05000000005"/>
    <n v="-5.0931703299283981E-11"/>
    <s v="REVENUE"/>
    <x v="4"/>
  </r>
  <r>
    <n v="145"/>
    <s v="SA24/25"/>
    <x v="0"/>
    <d v="2025-02-18T00:00:00"/>
    <s v="WILKINSON LTD   ZZ"/>
    <s v="WJW TON"/>
    <s v="FASTER PAYMENT"/>
    <n v="425"/>
    <n v="425"/>
    <m/>
    <n v="22624.05"/>
    <n v="425"/>
    <n v="22624.05000000005"/>
    <n v="-5.0931703299283981E-11"/>
    <s v="REVENUE"/>
    <x v="4"/>
  </r>
  <r>
    <n v="146"/>
    <s v="SA24/25"/>
    <x v="0"/>
    <d v="2025-02-24T00:00:00"/>
    <s v="LOOKING GOOD OPTICIANS LIMITED T AS"/>
    <s v="wadhurst"/>
    <s v="FASTER PAYMENT"/>
    <n v="1400"/>
    <n v="1400"/>
    <m/>
    <n v="24024.05"/>
    <n v="1400"/>
    <n v="24024.05000000005"/>
    <n v="-5.0931703299283981E-11"/>
    <s v="REVENUE"/>
    <x v="4"/>
  </r>
  <r>
    <n v="147"/>
    <s v="SA24/25"/>
    <x v="0"/>
    <d v="2025-02-28T00:00:00"/>
    <s v="Tmchartered Limited"/>
    <s v="Accounts MF"/>
    <s v="FASTER PAYMENT"/>
    <n v="-48"/>
    <m/>
    <n v="-48"/>
    <n v="23976.05"/>
    <n v="-48"/>
    <n v="23976.05000000005"/>
    <n v="-5.0931703299283981E-11"/>
    <s v="PROFESSIONAL_SERVICES"/>
    <x v="1"/>
  </r>
  <r>
    <n v="148"/>
    <s v="SA24/25"/>
    <x v="0"/>
    <d v="2025-02-28T00:00:00"/>
    <s v="WILKINSON LTD   ZZ"/>
    <s v="WILK SEV"/>
    <s v="FASTER PAYMENT"/>
    <n v="1275"/>
    <n v="1275"/>
    <m/>
    <n v="25251.05"/>
    <n v="1275"/>
    <n v="25251.05000000005"/>
    <n v="-5.0931703299283981E-11"/>
    <s v="REVENUE"/>
    <x v="4"/>
  </r>
  <r>
    <n v="149"/>
    <s v="SA24/25"/>
    <x v="0"/>
    <d v="2025-03-01T00:00:00"/>
    <s v="Matthew Ferris"/>
    <s v="Salary"/>
    <s v="FASTER PAYMENT"/>
    <n v="-1000"/>
    <m/>
    <n v="-1000"/>
    <n v="24251.05"/>
    <n v="-1000"/>
    <n v="24251.05000000005"/>
    <n v="-5.0931703299283981E-11"/>
    <s v="DIRECTORS_WAGES"/>
    <x v="0"/>
  </r>
  <r>
    <n v="150"/>
    <s v="SA24/25"/>
    <x v="0"/>
    <d v="2025-03-02T00:00:00"/>
    <s v="Matthew Ferris"/>
    <s v="Dividend"/>
    <s v="FASTER PAYMENT"/>
    <n v="-3370"/>
    <m/>
    <n v="-3370"/>
    <n v="20881.05"/>
    <n v="-3370"/>
    <n v="20881.05000000005"/>
    <n v="-5.0931703299283981E-11"/>
    <s v="DIRECTORS_WAGES"/>
    <x v="5"/>
  </r>
  <r>
    <n v="151"/>
    <s v="SA24/25"/>
    <x v="0"/>
    <d v="2025-03-03T00:00:00"/>
    <s v="Association Of Optometrists"/>
    <n v="87201"/>
    <s v="DIRECT DEBIT"/>
    <n v="-73"/>
    <m/>
    <n v="-73"/>
    <n v="20808.05"/>
    <n v="-73"/>
    <n v="20808.05000000005"/>
    <n v="-5.0931703299283981E-11"/>
    <s v="PROFESSIONAL_SERVICES"/>
    <x v="2"/>
  </r>
  <r>
    <n v="152"/>
    <s v="SA24/25"/>
    <x v="0"/>
    <d v="2025-03-03T00:00:00"/>
    <s v="Hl"/>
    <s v="WWW.HL.CO.UK"/>
    <s v="ONLINE PAYMENT"/>
    <n v="-1250"/>
    <m/>
    <n v="-1250"/>
    <n v="19558.05"/>
    <n v="-1250"/>
    <n v="19558.05000000005"/>
    <n v="-5.0931703299283981E-11"/>
    <s v="STAFF"/>
    <x v="8"/>
  </r>
  <r>
    <n v="153"/>
    <s v="SA24/25"/>
    <x v="0"/>
    <d v="2025-03-05T00:00:00"/>
    <s v="Specsavers"/>
    <s v="SPECSAVERS SEP COM"/>
    <s v="DIRECT CREDIT"/>
    <n v="2975"/>
    <n v="2975"/>
    <m/>
    <n v="22533.05"/>
    <n v="2975"/>
    <n v="22533.05000000005"/>
    <n v="-5.0931703299283981E-11"/>
    <s v="REVENUE"/>
    <x v="4"/>
  </r>
  <r>
    <n v="154"/>
    <s v="SA24/25"/>
    <x v="0"/>
    <d v="2025-03-07T00:00:00"/>
    <s v="Specsavers"/>
    <s v="SPECSAVERS SEP COM"/>
    <s v="DIRECT CREDIT"/>
    <n v="850"/>
    <n v="850"/>
    <m/>
    <n v="23383.05"/>
    <n v="850"/>
    <n v="23383.05000000005"/>
    <n v="-5.0931703299283981E-11"/>
    <s v="REVENUE"/>
    <x v="4"/>
  </r>
  <r>
    <n v="155"/>
    <s v="SA24/25"/>
    <x v="0"/>
    <d v="2025-03-08T00:00:00"/>
    <s v="Optical"/>
    <s v="WWW.OPTICAL.ORG       "/>
    <s v="ONLINE PAYMENT"/>
    <n v="-415"/>
    <m/>
    <n v="-415"/>
    <n v="22968.05"/>
    <n v="-415"/>
    <n v="22968.05000000005"/>
    <n v="-5.0931703299283981E-11"/>
    <s v="PROFESSIONAL_SERVICES"/>
    <x v="15"/>
  </r>
  <r>
    <n v="156"/>
    <s v="SA24/25"/>
    <x v="0"/>
    <d v="2025-03-11T00:00:00"/>
    <s v="WILKINSON LTD   ZZ"/>
    <s v="WILK SEV"/>
    <s v="FASTER PAYMENT"/>
    <n v="1925"/>
    <n v="1925"/>
    <m/>
    <n v="24893.05"/>
    <n v="1925"/>
    <n v="24893.05000000005"/>
    <n v="-5.0931703299283981E-11"/>
    <s v="REVENUE"/>
    <x v="4"/>
  </r>
  <r>
    <n v="157"/>
    <s v="SA24/25"/>
    <x v="0"/>
    <d v="2025-03-12T00:00:00"/>
    <s v="RingGo"/>
    <s v="RINGGO PARKING"/>
    <s v="APPLE PAY"/>
    <n v="-5"/>
    <m/>
    <n v="-5"/>
    <n v="24888.05"/>
    <n v="-5"/>
    <n v="24888.05000000005"/>
    <n v="-5.0931703299283981E-11"/>
    <s v="TRAVEL"/>
    <x v="3"/>
  </r>
  <r>
    <n v="158"/>
    <s v="SA24/25"/>
    <x v="0"/>
    <d v="2025-03-26T00:00:00"/>
    <s v="LOOKING GOOD OPTICIANS LIMITED T AS"/>
    <s v="wadhurst"/>
    <s v="FASTER PAYMENT"/>
    <n v="600"/>
    <n v="600"/>
    <m/>
    <n v="25488.05"/>
    <n v="600"/>
    <n v="25488.05000000005"/>
    <n v="-5.0931703299283981E-11"/>
    <s v="REVENUE"/>
    <x v="4"/>
  </r>
  <r>
    <n v="159"/>
    <s v="SA24/25"/>
    <x v="0"/>
    <d v="2025-03-28T00:00:00"/>
    <s v="Tmchartered Limited"/>
    <s v="Accounts MF"/>
    <s v="FASTER PAYMENT"/>
    <n v="-48"/>
    <m/>
    <n v="-48"/>
    <n v="25440.05"/>
    <n v="-48"/>
    <n v="25440.05000000005"/>
    <n v="-5.0931703299283981E-11"/>
    <s v="PROFESSIONAL_SERVICES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3:B21" firstHeaderRow="1" firstDataRow="2" firstDataCol="1"/>
  <pivotFields count="16">
    <pivotField showAll="0"/>
    <pivotField showAll="0"/>
    <pivotField axis="axisCol" showAll="0">
      <items count="2">
        <item x="0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43" showAll="0"/>
    <pivotField showAll="0"/>
    <pivotField axis="axisRow" showAll="0">
      <items count="24">
        <item x="1"/>
        <item x="2"/>
        <item m="1" x="20"/>
        <item x="7"/>
        <item x="0"/>
        <item x="5"/>
        <item m="1" x="16"/>
        <item m="1" x="17"/>
        <item x="15"/>
        <item x="14"/>
        <item x="4"/>
        <item x="6"/>
        <item m="1" x="18"/>
        <item x="12"/>
        <item m="1" x="19"/>
        <item m="1" x="22"/>
        <item x="3"/>
        <item m="1" x="21"/>
        <item x="8"/>
        <item x="9"/>
        <item x="10"/>
        <item x="11"/>
        <item x="13"/>
        <item t="default"/>
      </items>
    </pivotField>
  </pivotFields>
  <rowFields count="1">
    <field x="15"/>
  </rowFields>
  <rowItems count="17">
    <i>
      <x/>
    </i>
    <i>
      <x v="1"/>
    </i>
    <i>
      <x v="3"/>
    </i>
    <i>
      <x v="4"/>
    </i>
    <i>
      <x v="5"/>
    </i>
    <i>
      <x v="8"/>
    </i>
    <i>
      <x v="9"/>
    </i>
    <i>
      <x v="10"/>
    </i>
    <i>
      <x v="11"/>
    </i>
    <i>
      <x v="13"/>
    </i>
    <i>
      <x v="16"/>
    </i>
    <i>
      <x v="18"/>
    </i>
    <i>
      <x v="19"/>
    </i>
    <i>
      <x v="20"/>
    </i>
    <i>
      <x v="21"/>
    </i>
    <i>
      <x v="22"/>
    </i>
    <i t="grand">
      <x/>
    </i>
  </rowItems>
  <colFields count="1">
    <field x="2"/>
  </colFields>
  <colItems count="1">
    <i>
      <x/>
    </i>
  </colItems>
  <dataFields count="1">
    <dataField name="Sum of Ne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3"/>
  <sheetViews>
    <sheetView workbookViewId="0">
      <selection activeCell="D11" sqref="D11"/>
    </sheetView>
  </sheetViews>
  <sheetFormatPr defaultRowHeight="15" x14ac:dyDescent="0.25"/>
  <cols>
    <col min="4" max="4" width="21.5703125" customWidth="1"/>
    <col min="5" max="5" width="25" customWidth="1"/>
    <col min="6" max="6" width="29.85546875" customWidth="1"/>
    <col min="7" max="7" width="19.28515625" customWidth="1"/>
    <col min="8" max="8" width="17.28515625" customWidth="1"/>
    <col min="11" max="11" width="10.85546875" customWidth="1"/>
    <col min="12" max="12" width="10.7109375" customWidth="1"/>
    <col min="13" max="13" width="15.140625" customWidth="1"/>
    <col min="14" max="14" width="14.5703125" customWidth="1"/>
    <col min="15" max="15" width="21.7109375" customWidth="1"/>
    <col min="16" max="16" width="16.28515625" customWidth="1"/>
    <col min="19" max="19" width="10.28515625" bestFit="1" customWidth="1"/>
  </cols>
  <sheetData>
    <row r="1" spans="1:19" x14ac:dyDescent="0.25">
      <c r="A1" s="2" t="s">
        <v>85</v>
      </c>
      <c r="B1" s="2" t="s">
        <v>86</v>
      </c>
      <c r="C1" s="2" t="s">
        <v>87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93</v>
      </c>
      <c r="J1" s="2" t="s">
        <v>94</v>
      </c>
      <c r="K1" s="2" t="s">
        <v>5</v>
      </c>
      <c r="L1" s="2" t="s">
        <v>90</v>
      </c>
      <c r="M1" s="2" t="s">
        <v>91</v>
      </c>
      <c r="N1" s="2" t="s">
        <v>92</v>
      </c>
      <c r="O1" s="2" t="s">
        <v>6</v>
      </c>
      <c r="P1" s="2" t="s">
        <v>95</v>
      </c>
      <c r="Q1" s="2"/>
      <c r="R1" s="2"/>
      <c r="S1" s="2"/>
    </row>
    <row r="2" spans="1:1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13">
        <v>13312.51</v>
      </c>
      <c r="L2" s="2"/>
      <c r="N2" s="2"/>
      <c r="O2" s="2"/>
      <c r="P2" s="2"/>
      <c r="Q2" s="2"/>
      <c r="R2" s="2"/>
      <c r="S2" s="2"/>
    </row>
    <row r="3" spans="1:19" x14ac:dyDescent="0.25">
      <c r="A3">
        <v>1</v>
      </c>
      <c r="B3" t="s">
        <v>88</v>
      </c>
      <c r="C3" t="s">
        <v>89</v>
      </c>
      <c r="D3" s="1">
        <v>45384</v>
      </c>
      <c r="E3" t="s">
        <v>7</v>
      </c>
      <c r="F3" t="s">
        <v>8</v>
      </c>
      <c r="G3" t="s">
        <v>9</v>
      </c>
      <c r="H3">
        <v>-700</v>
      </c>
      <c r="J3">
        <f>IF(H3&lt;0,H3,"")</f>
        <v>-700</v>
      </c>
      <c r="K3">
        <v>12612.51</v>
      </c>
      <c r="L3">
        <f t="shared" ref="L3:L34" si="0">I3+J3</f>
        <v>-700</v>
      </c>
      <c r="M3">
        <f>K2+L3</f>
        <v>12612.51</v>
      </c>
      <c r="N3" s="3">
        <f t="shared" ref="N3:N34" si="1">K3-M3</f>
        <v>0</v>
      </c>
      <c r="O3" t="s">
        <v>10</v>
      </c>
      <c r="P3" t="s">
        <v>96</v>
      </c>
    </row>
    <row r="4" spans="1:19" x14ac:dyDescent="0.25">
      <c r="A4">
        <v>2</v>
      </c>
      <c r="B4" t="s">
        <v>88</v>
      </c>
      <c r="C4" t="s">
        <v>89</v>
      </c>
      <c r="D4" s="1">
        <v>45384</v>
      </c>
      <c r="E4" t="s">
        <v>11</v>
      </c>
      <c r="F4" t="s">
        <v>12</v>
      </c>
      <c r="G4" t="s">
        <v>9</v>
      </c>
      <c r="H4">
        <v>-40</v>
      </c>
      <c r="J4">
        <f>IF(H4&lt;0,H4,"")</f>
        <v>-40</v>
      </c>
      <c r="K4">
        <v>12572.51</v>
      </c>
      <c r="L4">
        <f t="shared" si="0"/>
        <v>-40</v>
      </c>
      <c r="M4">
        <f t="shared" ref="M4:M67" si="2">K3+L4</f>
        <v>12572.51</v>
      </c>
      <c r="N4" s="3">
        <f t="shared" si="1"/>
        <v>0</v>
      </c>
      <c r="O4" t="s">
        <v>13</v>
      </c>
      <c r="P4" t="s">
        <v>105</v>
      </c>
      <c r="S4" s="10"/>
    </row>
    <row r="5" spans="1:19" x14ac:dyDescent="0.25">
      <c r="A5">
        <v>3</v>
      </c>
      <c r="B5" t="s">
        <v>88</v>
      </c>
      <c r="C5" t="s">
        <v>89</v>
      </c>
      <c r="D5" s="1">
        <v>45385</v>
      </c>
      <c r="E5" t="s">
        <v>14</v>
      </c>
      <c r="F5">
        <v>87201</v>
      </c>
      <c r="G5" t="s">
        <v>15</v>
      </c>
      <c r="H5">
        <v>-72</v>
      </c>
      <c r="J5">
        <f>IF(H5&lt;0,H5,"")</f>
        <v>-72</v>
      </c>
      <c r="K5">
        <v>12500.51</v>
      </c>
      <c r="L5">
        <f t="shared" si="0"/>
        <v>-72</v>
      </c>
      <c r="M5">
        <f t="shared" si="2"/>
        <v>12500.51</v>
      </c>
      <c r="N5" s="3">
        <f t="shared" si="1"/>
        <v>0</v>
      </c>
      <c r="O5" t="s">
        <v>16</v>
      </c>
      <c r="P5" t="s">
        <v>101</v>
      </c>
    </row>
    <row r="6" spans="1:19" x14ac:dyDescent="0.25">
      <c r="A6">
        <v>4</v>
      </c>
      <c r="B6" t="s">
        <v>88</v>
      </c>
      <c r="C6" t="s">
        <v>89</v>
      </c>
      <c r="D6" s="1">
        <v>45386</v>
      </c>
      <c r="E6" t="s">
        <v>17</v>
      </c>
      <c r="F6" t="s">
        <v>18</v>
      </c>
      <c r="G6" t="s">
        <v>19</v>
      </c>
      <c r="H6">
        <v>-6.9</v>
      </c>
      <c r="J6">
        <f>IF(H6&lt;0,H6,"")</f>
        <v>-6.9</v>
      </c>
      <c r="K6">
        <v>12493.61</v>
      </c>
      <c r="L6">
        <f t="shared" si="0"/>
        <v>-6.9</v>
      </c>
      <c r="M6">
        <f t="shared" si="2"/>
        <v>12493.61</v>
      </c>
      <c r="N6" s="3">
        <f t="shared" si="1"/>
        <v>0</v>
      </c>
      <c r="O6" t="s">
        <v>20</v>
      </c>
      <c r="P6" t="s">
        <v>107</v>
      </c>
    </row>
    <row r="7" spans="1:19" x14ac:dyDescent="0.25">
      <c r="A7">
        <v>5</v>
      </c>
      <c r="B7" t="s">
        <v>88</v>
      </c>
      <c r="C7" t="s">
        <v>89</v>
      </c>
      <c r="D7" s="1">
        <v>45387</v>
      </c>
      <c r="E7" t="s">
        <v>21</v>
      </c>
      <c r="F7" t="s">
        <v>22</v>
      </c>
      <c r="G7" t="s">
        <v>23</v>
      </c>
      <c r="H7">
        <v>850</v>
      </c>
      <c r="I7">
        <f>IF(H7&gt;0,H7,"")</f>
        <v>850</v>
      </c>
      <c r="K7">
        <v>13343.61</v>
      </c>
      <c r="L7">
        <f t="shared" si="0"/>
        <v>850</v>
      </c>
      <c r="M7">
        <f t="shared" si="2"/>
        <v>13343.61</v>
      </c>
      <c r="N7" s="3">
        <f t="shared" si="1"/>
        <v>0</v>
      </c>
      <c r="O7" t="s">
        <v>24</v>
      </c>
      <c r="P7" t="s">
        <v>106</v>
      </c>
      <c r="S7" s="10"/>
    </row>
    <row r="8" spans="1:19" x14ac:dyDescent="0.25">
      <c r="A8">
        <v>6</v>
      </c>
      <c r="B8" t="s">
        <v>88</v>
      </c>
      <c r="C8" t="s">
        <v>89</v>
      </c>
      <c r="D8" s="1">
        <v>45390</v>
      </c>
      <c r="E8" t="s">
        <v>7</v>
      </c>
      <c r="F8" t="s">
        <v>25</v>
      </c>
      <c r="G8" t="s">
        <v>9</v>
      </c>
      <c r="H8">
        <v>-3500</v>
      </c>
      <c r="J8">
        <f>IF(H8&lt;0,H8,"")</f>
        <v>-3500</v>
      </c>
      <c r="K8">
        <v>9843.61</v>
      </c>
      <c r="L8">
        <f t="shared" si="0"/>
        <v>-3500</v>
      </c>
      <c r="M8">
        <f t="shared" si="2"/>
        <v>9843.61</v>
      </c>
      <c r="N8" s="3">
        <f t="shared" si="1"/>
        <v>0</v>
      </c>
      <c r="O8" t="s">
        <v>26</v>
      </c>
      <c r="P8" t="s">
        <v>98</v>
      </c>
      <c r="S8" s="10"/>
    </row>
    <row r="9" spans="1:19" x14ac:dyDescent="0.25">
      <c r="A9">
        <v>7</v>
      </c>
      <c r="B9" t="s">
        <v>88</v>
      </c>
      <c r="C9" t="s">
        <v>89</v>
      </c>
      <c r="D9" s="1">
        <v>45392</v>
      </c>
      <c r="E9" t="s">
        <v>21</v>
      </c>
      <c r="F9" t="s">
        <v>22</v>
      </c>
      <c r="G9" t="s">
        <v>23</v>
      </c>
      <c r="H9">
        <v>2825</v>
      </c>
      <c r="I9">
        <f>IF(H9&gt;0,H9,"")</f>
        <v>2825</v>
      </c>
      <c r="K9">
        <v>12668.61</v>
      </c>
      <c r="L9">
        <f t="shared" si="0"/>
        <v>2825</v>
      </c>
      <c r="M9">
        <f t="shared" si="2"/>
        <v>12668.61</v>
      </c>
      <c r="N9" s="3">
        <f t="shared" si="1"/>
        <v>0</v>
      </c>
      <c r="O9" t="s">
        <v>24</v>
      </c>
      <c r="P9" t="s">
        <v>106</v>
      </c>
    </row>
    <row r="10" spans="1:19" x14ac:dyDescent="0.25">
      <c r="A10">
        <v>8</v>
      </c>
      <c r="B10" t="s">
        <v>88</v>
      </c>
      <c r="C10" t="s">
        <v>89</v>
      </c>
      <c r="D10" s="1">
        <v>45394</v>
      </c>
      <c r="E10" t="s">
        <v>27</v>
      </c>
      <c r="F10" t="s">
        <v>27</v>
      </c>
      <c r="G10" t="s">
        <v>19</v>
      </c>
      <c r="H10">
        <v>-11.15</v>
      </c>
      <c r="J10">
        <f>IF(H10&lt;0,H10,"")</f>
        <v>-11.15</v>
      </c>
      <c r="K10">
        <v>12657.46</v>
      </c>
      <c r="L10">
        <f t="shared" si="0"/>
        <v>-11.15</v>
      </c>
      <c r="M10">
        <f t="shared" si="2"/>
        <v>12657.460000000001</v>
      </c>
      <c r="N10" s="3">
        <f t="shared" si="1"/>
        <v>0</v>
      </c>
      <c r="O10" t="s">
        <v>28</v>
      </c>
      <c r="P10" t="s">
        <v>100</v>
      </c>
    </row>
    <row r="11" spans="1:19" x14ac:dyDescent="0.25">
      <c r="A11">
        <v>9</v>
      </c>
      <c r="B11" t="s">
        <v>88</v>
      </c>
      <c r="C11" t="s">
        <v>89</v>
      </c>
      <c r="D11" s="1">
        <v>45399</v>
      </c>
      <c r="E11" t="s">
        <v>21</v>
      </c>
      <c r="F11" t="s">
        <v>22</v>
      </c>
      <c r="G11" t="s">
        <v>23</v>
      </c>
      <c r="H11">
        <v>2550</v>
      </c>
      <c r="I11">
        <f>IF(H11&gt;0,H11,"")</f>
        <v>2550</v>
      </c>
      <c r="K11">
        <v>15207.46</v>
      </c>
      <c r="L11">
        <f t="shared" si="0"/>
        <v>2550</v>
      </c>
      <c r="M11">
        <f t="shared" si="2"/>
        <v>15207.46</v>
      </c>
      <c r="N11" s="3">
        <f t="shared" si="1"/>
        <v>0</v>
      </c>
      <c r="O11" t="s">
        <v>24</v>
      </c>
      <c r="P11" t="s">
        <v>106</v>
      </c>
    </row>
    <row r="12" spans="1:19" x14ac:dyDescent="0.25">
      <c r="A12">
        <v>10</v>
      </c>
      <c r="B12" t="s">
        <v>88</v>
      </c>
      <c r="C12" t="s">
        <v>89</v>
      </c>
      <c r="D12" s="1">
        <v>45406</v>
      </c>
      <c r="E12" t="s">
        <v>21</v>
      </c>
      <c r="F12" t="s">
        <v>22</v>
      </c>
      <c r="G12" t="s">
        <v>23</v>
      </c>
      <c r="H12">
        <v>425</v>
      </c>
      <c r="I12">
        <f>IF(H12&gt;0,H12,"")</f>
        <v>425</v>
      </c>
      <c r="K12">
        <v>15632.46</v>
      </c>
      <c r="L12">
        <f t="shared" si="0"/>
        <v>425</v>
      </c>
      <c r="M12">
        <f t="shared" si="2"/>
        <v>15632.46</v>
      </c>
      <c r="N12" s="3">
        <f t="shared" si="1"/>
        <v>0</v>
      </c>
      <c r="O12" t="s">
        <v>24</v>
      </c>
      <c r="P12" t="s">
        <v>106</v>
      </c>
    </row>
    <row r="13" spans="1:19" x14ac:dyDescent="0.25">
      <c r="A13">
        <v>11</v>
      </c>
      <c r="B13" t="s">
        <v>88</v>
      </c>
      <c r="C13" t="s">
        <v>89</v>
      </c>
      <c r="D13" s="1">
        <v>45407</v>
      </c>
      <c r="E13" t="s">
        <v>29</v>
      </c>
      <c r="F13" t="s">
        <v>30</v>
      </c>
      <c r="G13" t="s">
        <v>19</v>
      </c>
      <c r="H13">
        <v>-13.8</v>
      </c>
      <c r="J13">
        <f>IF(H13&lt;0,H13,"")</f>
        <v>-13.8</v>
      </c>
      <c r="K13">
        <v>15618.66</v>
      </c>
      <c r="L13">
        <f t="shared" si="0"/>
        <v>-13.8</v>
      </c>
      <c r="M13">
        <f t="shared" si="2"/>
        <v>15618.66</v>
      </c>
      <c r="N13" s="3">
        <f t="shared" si="1"/>
        <v>0</v>
      </c>
      <c r="O13" t="s">
        <v>28</v>
      </c>
      <c r="P13" t="s">
        <v>100</v>
      </c>
    </row>
    <row r="14" spans="1:19" x14ac:dyDescent="0.25">
      <c r="A14">
        <v>12</v>
      </c>
      <c r="B14" t="s">
        <v>88</v>
      </c>
      <c r="C14" t="s">
        <v>89</v>
      </c>
      <c r="D14" s="1">
        <v>45407</v>
      </c>
      <c r="E14" t="s">
        <v>29</v>
      </c>
      <c r="F14" t="s">
        <v>30</v>
      </c>
      <c r="G14" t="s">
        <v>19</v>
      </c>
      <c r="H14">
        <v>-6.9</v>
      </c>
      <c r="J14">
        <f>IF(H14&lt;0,H14,"")</f>
        <v>-6.9</v>
      </c>
      <c r="K14">
        <v>15611.76</v>
      </c>
      <c r="L14">
        <f t="shared" si="0"/>
        <v>-6.9</v>
      </c>
      <c r="M14">
        <f t="shared" si="2"/>
        <v>15611.76</v>
      </c>
      <c r="N14" s="3">
        <f t="shared" si="1"/>
        <v>0</v>
      </c>
      <c r="O14" t="s">
        <v>28</v>
      </c>
      <c r="P14" t="s">
        <v>100</v>
      </c>
    </row>
    <row r="15" spans="1:19" x14ac:dyDescent="0.25">
      <c r="A15">
        <v>13</v>
      </c>
      <c r="B15" t="s">
        <v>88</v>
      </c>
      <c r="C15" t="s">
        <v>89</v>
      </c>
      <c r="D15" s="1">
        <v>45407</v>
      </c>
      <c r="E15" t="s">
        <v>31</v>
      </c>
      <c r="F15" t="s">
        <v>32</v>
      </c>
      <c r="G15" t="s">
        <v>19</v>
      </c>
      <c r="H15">
        <v>-8.4</v>
      </c>
      <c r="J15">
        <f>IF(H15&lt;0,H15,"")</f>
        <v>-8.4</v>
      </c>
      <c r="K15">
        <v>15603.36</v>
      </c>
      <c r="L15">
        <f t="shared" si="0"/>
        <v>-8.4</v>
      </c>
      <c r="M15">
        <f t="shared" si="2"/>
        <v>15603.36</v>
      </c>
      <c r="N15" s="3">
        <f t="shared" si="1"/>
        <v>0</v>
      </c>
      <c r="O15" t="s">
        <v>20</v>
      </c>
      <c r="P15" t="s">
        <v>107</v>
      </c>
    </row>
    <row r="16" spans="1:19" x14ac:dyDescent="0.25">
      <c r="A16">
        <v>14</v>
      </c>
      <c r="B16" t="s">
        <v>88</v>
      </c>
      <c r="C16" t="s">
        <v>89</v>
      </c>
      <c r="D16" s="1">
        <v>45408</v>
      </c>
      <c r="E16" t="s">
        <v>33</v>
      </c>
      <c r="F16" t="s">
        <v>34</v>
      </c>
      <c r="G16" t="s">
        <v>19</v>
      </c>
      <c r="H16">
        <v>-1.7</v>
      </c>
      <c r="J16">
        <f>IF(H16&lt;0,H16,"")</f>
        <v>-1.7</v>
      </c>
      <c r="K16">
        <v>15601.66</v>
      </c>
      <c r="L16">
        <f t="shared" si="0"/>
        <v>-1.7</v>
      </c>
      <c r="M16">
        <f t="shared" si="2"/>
        <v>15601.66</v>
      </c>
      <c r="N16" s="3">
        <f t="shared" si="1"/>
        <v>0</v>
      </c>
      <c r="O16" t="s">
        <v>20</v>
      </c>
      <c r="P16" t="s">
        <v>107</v>
      </c>
    </row>
    <row r="17" spans="1:16" x14ac:dyDescent="0.25">
      <c r="A17">
        <v>15</v>
      </c>
      <c r="B17" t="s">
        <v>88</v>
      </c>
      <c r="C17" t="s">
        <v>89</v>
      </c>
      <c r="D17" s="1">
        <v>45409</v>
      </c>
      <c r="E17" t="s">
        <v>35</v>
      </c>
      <c r="F17" t="s">
        <v>36</v>
      </c>
      <c r="G17" t="s">
        <v>9</v>
      </c>
      <c r="H17">
        <v>700</v>
      </c>
      <c r="I17">
        <f>IF(H17&gt;0,H17,"")</f>
        <v>700</v>
      </c>
      <c r="K17">
        <v>16301.66</v>
      </c>
      <c r="L17">
        <f t="shared" si="0"/>
        <v>700</v>
      </c>
      <c r="M17">
        <f t="shared" si="2"/>
        <v>16301.66</v>
      </c>
      <c r="N17" s="3">
        <f t="shared" si="1"/>
        <v>0</v>
      </c>
      <c r="O17" t="s">
        <v>24</v>
      </c>
      <c r="P17" t="s">
        <v>106</v>
      </c>
    </row>
    <row r="18" spans="1:16" x14ac:dyDescent="0.25">
      <c r="A18">
        <v>16</v>
      </c>
      <c r="B18" t="s">
        <v>88</v>
      </c>
      <c r="C18" t="s">
        <v>89</v>
      </c>
      <c r="D18" s="1">
        <v>45413</v>
      </c>
      <c r="E18" t="s">
        <v>14</v>
      </c>
      <c r="F18">
        <v>87201</v>
      </c>
      <c r="G18" t="s">
        <v>15</v>
      </c>
      <c r="H18">
        <v>-72</v>
      </c>
      <c r="J18">
        <f>IF(H18&lt;0,H18,"")</f>
        <v>-72</v>
      </c>
      <c r="K18">
        <v>16229.66</v>
      </c>
      <c r="L18">
        <f t="shared" si="0"/>
        <v>-72</v>
      </c>
      <c r="M18">
        <f t="shared" si="2"/>
        <v>16229.66</v>
      </c>
      <c r="N18" s="3">
        <f t="shared" si="1"/>
        <v>0</v>
      </c>
      <c r="O18" t="s">
        <v>16</v>
      </c>
      <c r="P18" t="s">
        <v>101</v>
      </c>
    </row>
    <row r="19" spans="1:16" x14ac:dyDescent="0.25">
      <c r="A19">
        <v>17</v>
      </c>
      <c r="B19" t="s">
        <v>88</v>
      </c>
      <c r="C19" t="s">
        <v>89</v>
      </c>
      <c r="D19" s="1">
        <v>45413</v>
      </c>
      <c r="E19" t="s">
        <v>7</v>
      </c>
      <c r="F19" t="s">
        <v>8</v>
      </c>
      <c r="G19" t="s">
        <v>9</v>
      </c>
      <c r="H19">
        <v>-700</v>
      </c>
      <c r="J19">
        <f>IF(H19&lt;0,H19,"")</f>
        <v>-700</v>
      </c>
      <c r="K19">
        <v>15529.66</v>
      </c>
      <c r="L19">
        <f t="shared" si="0"/>
        <v>-700</v>
      </c>
      <c r="M19">
        <f t="shared" si="2"/>
        <v>15529.66</v>
      </c>
      <c r="N19" s="3">
        <f t="shared" si="1"/>
        <v>0</v>
      </c>
      <c r="O19" t="s">
        <v>10</v>
      </c>
      <c r="P19" t="s">
        <v>96</v>
      </c>
    </row>
    <row r="20" spans="1:16" x14ac:dyDescent="0.25">
      <c r="A20">
        <v>18</v>
      </c>
      <c r="B20" t="s">
        <v>88</v>
      </c>
      <c r="C20" t="s">
        <v>89</v>
      </c>
      <c r="D20" s="1">
        <v>45413</v>
      </c>
      <c r="E20" t="s">
        <v>11</v>
      </c>
      <c r="F20" t="s">
        <v>12</v>
      </c>
      <c r="G20" t="s">
        <v>9</v>
      </c>
      <c r="H20">
        <v>-40</v>
      </c>
      <c r="J20">
        <f>IF(H20&lt;0,H20,"")</f>
        <v>-40</v>
      </c>
      <c r="K20">
        <v>15489.66</v>
      </c>
      <c r="L20">
        <f t="shared" si="0"/>
        <v>-40</v>
      </c>
      <c r="M20">
        <f t="shared" si="2"/>
        <v>15489.66</v>
      </c>
      <c r="N20" s="3">
        <f t="shared" si="1"/>
        <v>0</v>
      </c>
      <c r="O20" t="s">
        <v>16</v>
      </c>
      <c r="P20" t="s">
        <v>105</v>
      </c>
    </row>
    <row r="21" spans="1:16" x14ac:dyDescent="0.25">
      <c r="A21">
        <v>19</v>
      </c>
      <c r="B21" t="s">
        <v>88</v>
      </c>
      <c r="C21" t="s">
        <v>89</v>
      </c>
      <c r="D21" s="1">
        <v>45419</v>
      </c>
      <c r="E21" t="s">
        <v>7</v>
      </c>
      <c r="F21" t="s">
        <v>25</v>
      </c>
      <c r="G21" t="s">
        <v>9</v>
      </c>
      <c r="H21">
        <v>-4000</v>
      </c>
      <c r="J21">
        <f>IF(H21&lt;0,H21,"")</f>
        <v>-4000</v>
      </c>
      <c r="K21">
        <v>11489.66</v>
      </c>
      <c r="L21">
        <f t="shared" si="0"/>
        <v>-4000</v>
      </c>
      <c r="M21">
        <f t="shared" si="2"/>
        <v>11489.66</v>
      </c>
      <c r="N21" s="3">
        <f t="shared" si="1"/>
        <v>0</v>
      </c>
      <c r="O21" t="s">
        <v>26</v>
      </c>
      <c r="P21" t="s">
        <v>98</v>
      </c>
    </row>
    <row r="22" spans="1:16" x14ac:dyDescent="0.25">
      <c r="A22">
        <v>20</v>
      </c>
      <c r="B22" t="s">
        <v>88</v>
      </c>
      <c r="C22" t="s">
        <v>89</v>
      </c>
      <c r="D22" s="1">
        <v>45422</v>
      </c>
      <c r="E22" t="s">
        <v>21</v>
      </c>
      <c r="F22" t="s">
        <v>22</v>
      </c>
      <c r="G22" t="s">
        <v>23</v>
      </c>
      <c r="H22">
        <v>1225</v>
      </c>
      <c r="I22">
        <f>IF(H22&gt;0,H22,"")</f>
        <v>1225</v>
      </c>
      <c r="K22">
        <v>12714.66</v>
      </c>
      <c r="L22">
        <f t="shared" si="0"/>
        <v>1225</v>
      </c>
      <c r="M22">
        <f t="shared" si="2"/>
        <v>12714.66</v>
      </c>
      <c r="N22" s="3">
        <f t="shared" si="1"/>
        <v>0</v>
      </c>
      <c r="O22" t="s">
        <v>24</v>
      </c>
      <c r="P22" t="s">
        <v>106</v>
      </c>
    </row>
    <row r="23" spans="1:16" x14ac:dyDescent="0.25">
      <c r="A23">
        <v>21</v>
      </c>
      <c r="B23" t="s">
        <v>88</v>
      </c>
      <c r="C23" t="s">
        <v>89</v>
      </c>
      <c r="D23" s="1">
        <v>45426</v>
      </c>
      <c r="E23" t="s">
        <v>37</v>
      </c>
      <c r="F23" t="s">
        <v>38</v>
      </c>
      <c r="G23" t="s">
        <v>19</v>
      </c>
      <c r="H23">
        <v>-7</v>
      </c>
      <c r="J23">
        <f>IF(H23&lt;0,H23,"")</f>
        <v>-7</v>
      </c>
      <c r="K23">
        <v>12707.66</v>
      </c>
      <c r="L23">
        <f t="shared" si="0"/>
        <v>-7</v>
      </c>
      <c r="M23">
        <f t="shared" si="2"/>
        <v>12707.66</v>
      </c>
      <c r="N23" s="3">
        <f t="shared" si="1"/>
        <v>0</v>
      </c>
      <c r="O23" t="s">
        <v>20</v>
      </c>
      <c r="P23" t="s">
        <v>107</v>
      </c>
    </row>
    <row r="24" spans="1:16" x14ac:dyDescent="0.25">
      <c r="A24">
        <v>22</v>
      </c>
      <c r="B24" t="s">
        <v>88</v>
      </c>
      <c r="C24" t="s">
        <v>89</v>
      </c>
      <c r="D24" s="1">
        <v>45427</v>
      </c>
      <c r="E24" t="s">
        <v>21</v>
      </c>
      <c r="F24" t="s">
        <v>22</v>
      </c>
      <c r="G24" t="s">
        <v>23</v>
      </c>
      <c r="H24">
        <v>5450</v>
      </c>
      <c r="I24">
        <f>IF(H24&gt;0,H24,"")</f>
        <v>5450</v>
      </c>
      <c r="K24">
        <v>18157.66</v>
      </c>
      <c r="L24">
        <f t="shared" si="0"/>
        <v>5450</v>
      </c>
      <c r="M24">
        <f t="shared" si="2"/>
        <v>18157.66</v>
      </c>
      <c r="N24" s="3">
        <f t="shared" si="1"/>
        <v>0</v>
      </c>
      <c r="O24" t="s">
        <v>24</v>
      </c>
      <c r="P24" t="s">
        <v>106</v>
      </c>
    </row>
    <row r="25" spans="1:16" x14ac:dyDescent="0.25">
      <c r="A25">
        <v>23</v>
      </c>
      <c r="B25" t="s">
        <v>88</v>
      </c>
      <c r="C25" t="s">
        <v>89</v>
      </c>
      <c r="D25" s="1">
        <v>45434</v>
      </c>
      <c r="E25" t="s">
        <v>21</v>
      </c>
      <c r="F25" t="s">
        <v>22</v>
      </c>
      <c r="G25" t="s">
        <v>23</v>
      </c>
      <c r="H25">
        <v>500</v>
      </c>
      <c r="I25">
        <f>IF(H25&gt;0,H25,"")</f>
        <v>500</v>
      </c>
      <c r="K25">
        <v>18657.66</v>
      </c>
      <c r="L25">
        <f t="shared" si="0"/>
        <v>500</v>
      </c>
      <c r="M25">
        <f t="shared" si="2"/>
        <v>18657.66</v>
      </c>
      <c r="N25" s="3">
        <f t="shared" si="1"/>
        <v>0</v>
      </c>
      <c r="O25" t="s">
        <v>24</v>
      </c>
      <c r="P25" t="s">
        <v>106</v>
      </c>
    </row>
    <row r="26" spans="1:16" x14ac:dyDescent="0.25">
      <c r="A26">
        <v>24</v>
      </c>
      <c r="B26" t="s">
        <v>88</v>
      </c>
      <c r="C26" t="s">
        <v>89</v>
      </c>
      <c r="D26" s="1">
        <v>45435</v>
      </c>
      <c r="E26" t="s">
        <v>39</v>
      </c>
      <c r="F26" t="s">
        <v>40</v>
      </c>
      <c r="G26" t="s">
        <v>9</v>
      </c>
      <c r="H26">
        <v>-300</v>
      </c>
      <c r="J26">
        <f>IF(H26&lt;0,H26,"")</f>
        <v>-300</v>
      </c>
      <c r="K26">
        <v>18357.66</v>
      </c>
      <c r="L26">
        <f t="shared" si="0"/>
        <v>-300</v>
      </c>
      <c r="M26">
        <f t="shared" si="2"/>
        <v>18357.66</v>
      </c>
      <c r="N26" s="3">
        <f t="shared" si="1"/>
        <v>0</v>
      </c>
      <c r="O26" t="s">
        <v>16</v>
      </c>
      <c r="P26" t="s">
        <v>105</v>
      </c>
    </row>
    <row r="27" spans="1:16" x14ac:dyDescent="0.25">
      <c r="A27">
        <v>25</v>
      </c>
      <c r="B27" t="s">
        <v>88</v>
      </c>
      <c r="C27" t="s">
        <v>89</v>
      </c>
      <c r="D27" s="1">
        <v>45439</v>
      </c>
      <c r="E27" t="s">
        <v>37</v>
      </c>
      <c r="F27" t="s">
        <v>38</v>
      </c>
      <c r="G27" t="s">
        <v>19</v>
      </c>
      <c r="H27">
        <v>-2.1</v>
      </c>
      <c r="J27">
        <f>IF(H27&lt;0,H27,"")</f>
        <v>-2.1</v>
      </c>
      <c r="K27">
        <v>18355.560000000001</v>
      </c>
      <c r="L27">
        <f t="shared" si="0"/>
        <v>-2.1</v>
      </c>
      <c r="M27">
        <f t="shared" si="2"/>
        <v>18355.560000000001</v>
      </c>
      <c r="N27" s="3">
        <f t="shared" si="1"/>
        <v>0</v>
      </c>
      <c r="O27" t="s">
        <v>20</v>
      </c>
      <c r="P27" t="s">
        <v>107</v>
      </c>
    </row>
    <row r="28" spans="1:16" x14ac:dyDescent="0.25">
      <c r="A28">
        <v>26</v>
      </c>
      <c r="B28" t="s">
        <v>88</v>
      </c>
      <c r="C28" t="s">
        <v>89</v>
      </c>
      <c r="D28" s="1">
        <v>45441</v>
      </c>
      <c r="E28" t="s">
        <v>35</v>
      </c>
      <c r="F28" t="s">
        <v>36</v>
      </c>
      <c r="G28" t="s">
        <v>9</v>
      </c>
      <c r="H28">
        <v>200</v>
      </c>
      <c r="I28">
        <f>IF(H28&gt;0,H28,"")</f>
        <v>200</v>
      </c>
      <c r="K28">
        <v>18555.560000000001</v>
      </c>
      <c r="L28">
        <f t="shared" si="0"/>
        <v>200</v>
      </c>
      <c r="M28">
        <f t="shared" si="2"/>
        <v>18555.560000000001</v>
      </c>
      <c r="N28" s="3">
        <f t="shared" si="1"/>
        <v>0</v>
      </c>
      <c r="O28" t="s">
        <v>24</v>
      </c>
      <c r="P28" t="s">
        <v>106</v>
      </c>
    </row>
    <row r="29" spans="1:16" x14ac:dyDescent="0.25">
      <c r="A29">
        <v>27</v>
      </c>
      <c r="B29" t="s">
        <v>88</v>
      </c>
      <c r="C29" t="s">
        <v>89</v>
      </c>
      <c r="D29" s="1">
        <v>45443</v>
      </c>
      <c r="E29" t="s">
        <v>41</v>
      </c>
      <c r="F29" t="s">
        <v>42</v>
      </c>
      <c r="G29" t="s">
        <v>19</v>
      </c>
      <c r="H29">
        <v>-1.1000000000000001</v>
      </c>
      <c r="J29">
        <f>IF(H29&lt;0,H29,"")</f>
        <v>-1.1000000000000001</v>
      </c>
      <c r="K29">
        <v>18554.46</v>
      </c>
      <c r="L29">
        <f t="shared" si="0"/>
        <v>-1.1000000000000001</v>
      </c>
      <c r="M29">
        <f t="shared" si="2"/>
        <v>18554.460000000003</v>
      </c>
      <c r="N29" s="3">
        <f t="shared" si="1"/>
        <v>0</v>
      </c>
      <c r="O29" t="s">
        <v>20</v>
      </c>
      <c r="P29" t="s">
        <v>107</v>
      </c>
    </row>
    <row r="30" spans="1:16" x14ac:dyDescent="0.25">
      <c r="A30">
        <v>28</v>
      </c>
      <c r="B30" t="s">
        <v>88</v>
      </c>
      <c r="C30" t="s">
        <v>89</v>
      </c>
      <c r="D30" s="1">
        <v>45443</v>
      </c>
      <c r="E30" t="s">
        <v>41</v>
      </c>
      <c r="F30" t="s">
        <v>42</v>
      </c>
      <c r="G30" t="s">
        <v>19</v>
      </c>
      <c r="H30">
        <v>-1</v>
      </c>
      <c r="J30">
        <f>IF(H30&lt;0,H30,"")</f>
        <v>-1</v>
      </c>
      <c r="K30">
        <v>18553.46</v>
      </c>
      <c r="L30">
        <f t="shared" si="0"/>
        <v>-1</v>
      </c>
      <c r="M30">
        <f t="shared" si="2"/>
        <v>18553.46</v>
      </c>
      <c r="N30" s="3">
        <f t="shared" si="1"/>
        <v>0</v>
      </c>
      <c r="O30" t="s">
        <v>20</v>
      </c>
      <c r="P30" t="s">
        <v>107</v>
      </c>
    </row>
    <row r="31" spans="1:16" x14ac:dyDescent="0.25">
      <c r="A31">
        <v>29</v>
      </c>
      <c r="B31" t="s">
        <v>88</v>
      </c>
      <c r="C31" t="s">
        <v>89</v>
      </c>
      <c r="D31" s="1">
        <v>45446</v>
      </c>
      <c r="E31" t="s">
        <v>7</v>
      </c>
      <c r="F31" t="s">
        <v>8</v>
      </c>
      <c r="G31" t="s">
        <v>9</v>
      </c>
      <c r="H31">
        <v>-700</v>
      </c>
      <c r="J31">
        <f>IF(H31&lt;0,H31,"")</f>
        <v>-700</v>
      </c>
      <c r="K31">
        <v>17853.46</v>
      </c>
      <c r="L31">
        <f t="shared" si="0"/>
        <v>-700</v>
      </c>
      <c r="M31">
        <f t="shared" si="2"/>
        <v>17853.46</v>
      </c>
      <c r="N31" s="3">
        <f t="shared" si="1"/>
        <v>0</v>
      </c>
      <c r="O31" t="s">
        <v>10</v>
      </c>
      <c r="P31" t="s">
        <v>96</v>
      </c>
    </row>
    <row r="32" spans="1:16" x14ac:dyDescent="0.25">
      <c r="A32">
        <v>30</v>
      </c>
      <c r="B32" t="s">
        <v>88</v>
      </c>
      <c r="C32" t="s">
        <v>89</v>
      </c>
      <c r="D32" s="1">
        <v>45446</v>
      </c>
      <c r="E32" t="s">
        <v>14</v>
      </c>
      <c r="F32">
        <v>87201</v>
      </c>
      <c r="G32" t="s">
        <v>15</v>
      </c>
      <c r="H32">
        <v>-72</v>
      </c>
      <c r="J32">
        <f>IF(H32&lt;0,H32,"")</f>
        <v>-72</v>
      </c>
      <c r="K32">
        <v>17781.46</v>
      </c>
      <c r="L32">
        <f t="shared" si="0"/>
        <v>-72</v>
      </c>
      <c r="M32">
        <f t="shared" si="2"/>
        <v>17781.46</v>
      </c>
      <c r="N32" s="3">
        <f t="shared" si="1"/>
        <v>0</v>
      </c>
      <c r="O32" t="s">
        <v>16</v>
      </c>
      <c r="P32" t="s">
        <v>101</v>
      </c>
    </row>
    <row r="33" spans="1:16" x14ac:dyDescent="0.25">
      <c r="A33">
        <v>31</v>
      </c>
      <c r="B33" t="s">
        <v>88</v>
      </c>
      <c r="C33" t="s">
        <v>89</v>
      </c>
      <c r="D33" s="1">
        <v>45446</v>
      </c>
      <c r="E33" t="s">
        <v>43</v>
      </c>
      <c r="F33" t="s">
        <v>44</v>
      </c>
      <c r="G33" t="s">
        <v>15</v>
      </c>
      <c r="H33">
        <v>-127.09</v>
      </c>
      <c r="J33">
        <f>IF(H33&lt;0,H33,"")</f>
        <v>-127.09</v>
      </c>
      <c r="K33">
        <v>17654.37</v>
      </c>
      <c r="L33">
        <f t="shared" si="0"/>
        <v>-127.09</v>
      </c>
      <c r="M33">
        <f t="shared" si="2"/>
        <v>17654.37</v>
      </c>
      <c r="N33" s="3">
        <f t="shared" si="1"/>
        <v>0</v>
      </c>
      <c r="O33" t="s">
        <v>16</v>
      </c>
      <c r="P33" t="s">
        <v>103</v>
      </c>
    </row>
    <row r="34" spans="1:16" x14ac:dyDescent="0.25">
      <c r="A34">
        <v>32</v>
      </c>
      <c r="B34" t="s">
        <v>88</v>
      </c>
      <c r="C34" t="s">
        <v>89</v>
      </c>
      <c r="D34" s="1">
        <v>45450</v>
      </c>
      <c r="E34" t="s">
        <v>21</v>
      </c>
      <c r="F34" t="s">
        <v>22</v>
      </c>
      <c r="G34" t="s">
        <v>23</v>
      </c>
      <c r="H34">
        <v>3400</v>
      </c>
      <c r="I34">
        <f>IF(H34&gt;0,H34,"")</f>
        <v>3400</v>
      </c>
      <c r="K34">
        <v>21054.37</v>
      </c>
      <c r="L34">
        <f t="shared" si="0"/>
        <v>3400</v>
      </c>
      <c r="M34">
        <f t="shared" si="2"/>
        <v>21054.37</v>
      </c>
      <c r="N34" s="3">
        <f t="shared" si="1"/>
        <v>0</v>
      </c>
      <c r="O34" t="s">
        <v>24</v>
      </c>
      <c r="P34" t="s">
        <v>106</v>
      </c>
    </row>
    <row r="35" spans="1:16" x14ac:dyDescent="0.25">
      <c r="A35">
        <v>33</v>
      </c>
      <c r="B35" t="s">
        <v>88</v>
      </c>
      <c r="C35" t="s">
        <v>89</v>
      </c>
      <c r="D35" s="1">
        <v>45451</v>
      </c>
      <c r="E35" t="s">
        <v>41</v>
      </c>
      <c r="F35" t="s">
        <v>42</v>
      </c>
      <c r="G35" t="s">
        <v>19</v>
      </c>
      <c r="H35">
        <v>-1.1000000000000001</v>
      </c>
      <c r="J35">
        <f>IF(H35&lt;0,H35,"")</f>
        <v>-1.1000000000000001</v>
      </c>
      <c r="K35">
        <v>21053.27</v>
      </c>
      <c r="L35">
        <f t="shared" ref="L35:L66" si="3">I35+J35</f>
        <v>-1.1000000000000001</v>
      </c>
      <c r="M35">
        <f t="shared" si="2"/>
        <v>21053.27</v>
      </c>
      <c r="N35" s="3">
        <f t="shared" ref="N35:N66" si="4">K35-M35</f>
        <v>0</v>
      </c>
      <c r="O35" t="s">
        <v>20</v>
      </c>
      <c r="P35" t="s">
        <v>107</v>
      </c>
    </row>
    <row r="36" spans="1:16" x14ac:dyDescent="0.25">
      <c r="A36">
        <v>34</v>
      </c>
      <c r="B36" t="s">
        <v>88</v>
      </c>
      <c r="C36" t="s">
        <v>89</v>
      </c>
      <c r="D36" s="1">
        <v>45451</v>
      </c>
      <c r="E36" t="s">
        <v>41</v>
      </c>
      <c r="F36" t="s">
        <v>42</v>
      </c>
      <c r="G36" t="s">
        <v>19</v>
      </c>
      <c r="H36">
        <v>-1</v>
      </c>
      <c r="J36">
        <f>IF(H36&lt;0,H36,"")</f>
        <v>-1</v>
      </c>
      <c r="K36">
        <v>21052.27</v>
      </c>
      <c r="L36">
        <f t="shared" si="3"/>
        <v>-1</v>
      </c>
      <c r="M36">
        <f t="shared" si="2"/>
        <v>21052.27</v>
      </c>
      <c r="N36" s="3">
        <f t="shared" si="4"/>
        <v>0</v>
      </c>
      <c r="O36" t="s">
        <v>20</v>
      </c>
      <c r="P36" t="s">
        <v>107</v>
      </c>
    </row>
    <row r="37" spans="1:16" x14ac:dyDescent="0.25">
      <c r="A37">
        <v>35</v>
      </c>
      <c r="B37" t="s">
        <v>88</v>
      </c>
      <c r="C37" t="s">
        <v>89</v>
      </c>
      <c r="D37" s="1">
        <v>45451</v>
      </c>
      <c r="E37" t="s">
        <v>41</v>
      </c>
      <c r="F37" t="s">
        <v>42</v>
      </c>
      <c r="G37" t="s">
        <v>19</v>
      </c>
      <c r="H37">
        <v>-1.1000000000000001</v>
      </c>
      <c r="J37">
        <f>IF(H37&lt;0,H37,"")</f>
        <v>-1.1000000000000001</v>
      </c>
      <c r="K37">
        <v>21051.17</v>
      </c>
      <c r="L37">
        <f t="shared" si="3"/>
        <v>-1.1000000000000001</v>
      </c>
      <c r="M37">
        <f t="shared" si="2"/>
        <v>21051.170000000002</v>
      </c>
      <c r="N37" s="3">
        <f t="shared" si="4"/>
        <v>0</v>
      </c>
      <c r="O37" t="s">
        <v>20</v>
      </c>
      <c r="P37" t="s">
        <v>107</v>
      </c>
    </row>
    <row r="38" spans="1:16" x14ac:dyDescent="0.25">
      <c r="A38">
        <v>36</v>
      </c>
      <c r="B38" t="s">
        <v>88</v>
      </c>
      <c r="C38" t="s">
        <v>89</v>
      </c>
      <c r="D38" s="1">
        <v>45451</v>
      </c>
      <c r="E38" t="s">
        <v>41</v>
      </c>
      <c r="F38" t="s">
        <v>42</v>
      </c>
      <c r="G38" t="s">
        <v>19</v>
      </c>
      <c r="H38">
        <v>-1.1000000000000001</v>
      </c>
      <c r="J38">
        <f>IF(H38&lt;0,H38,"")</f>
        <v>-1.1000000000000001</v>
      </c>
      <c r="K38">
        <v>21050.07</v>
      </c>
      <c r="L38">
        <f t="shared" si="3"/>
        <v>-1.1000000000000001</v>
      </c>
      <c r="M38">
        <f t="shared" si="2"/>
        <v>21050.07</v>
      </c>
      <c r="N38" s="3">
        <f t="shared" si="4"/>
        <v>0</v>
      </c>
      <c r="O38" t="s">
        <v>20</v>
      </c>
      <c r="P38" t="s">
        <v>107</v>
      </c>
    </row>
    <row r="39" spans="1:16" x14ac:dyDescent="0.25">
      <c r="A39">
        <v>37</v>
      </c>
      <c r="B39" t="s">
        <v>88</v>
      </c>
      <c r="C39" t="s">
        <v>89</v>
      </c>
      <c r="D39" s="1">
        <v>45455</v>
      </c>
      <c r="E39" t="s">
        <v>21</v>
      </c>
      <c r="F39" t="s">
        <v>22</v>
      </c>
      <c r="G39" t="s">
        <v>23</v>
      </c>
      <c r="H39">
        <v>3300</v>
      </c>
      <c r="I39">
        <f>IF(H39&gt;0,H39,"")</f>
        <v>3300</v>
      </c>
      <c r="K39">
        <v>24350.07</v>
      </c>
      <c r="L39">
        <f t="shared" si="3"/>
        <v>3300</v>
      </c>
      <c r="M39">
        <f t="shared" si="2"/>
        <v>24350.07</v>
      </c>
      <c r="N39" s="3">
        <f t="shared" si="4"/>
        <v>0</v>
      </c>
      <c r="O39" t="s">
        <v>24</v>
      </c>
      <c r="P39" t="s">
        <v>106</v>
      </c>
    </row>
    <row r="40" spans="1:16" x14ac:dyDescent="0.25">
      <c r="A40">
        <v>38</v>
      </c>
      <c r="B40" t="s">
        <v>88</v>
      </c>
      <c r="C40" t="s">
        <v>89</v>
      </c>
      <c r="D40" s="1">
        <v>45461</v>
      </c>
      <c r="E40" t="s">
        <v>39</v>
      </c>
      <c r="F40" t="s">
        <v>45</v>
      </c>
      <c r="G40" t="s">
        <v>9</v>
      </c>
      <c r="H40">
        <v>-300</v>
      </c>
      <c r="J40">
        <f>IF(H40&lt;0,H40,"")</f>
        <v>-300</v>
      </c>
      <c r="K40">
        <v>24050.07</v>
      </c>
      <c r="L40">
        <f t="shared" si="3"/>
        <v>-300</v>
      </c>
      <c r="M40">
        <f t="shared" si="2"/>
        <v>24050.07</v>
      </c>
      <c r="N40" s="3">
        <f t="shared" si="4"/>
        <v>0</v>
      </c>
      <c r="O40" t="s">
        <v>16</v>
      </c>
      <c r="P40" t="s">
        <v>105</v>
      </c>
    </row>
    <row r="41" spans="1:16" x14ac:dyDescent="0.25">
      <c r="A41">
        <v>39</v>
      </c>
      <c r="B41" t="s">
        <v>88</v>
      </c>
      <c r="C41" t="s">
        <v>89</v>
      </c>
      <c r="D41" s="1">
        <v>45470</v>
      </c>
      <c r="E41" t="s">
        <v>35</v>
      </c>
      <c r="F41" t="s">
        <v>36</v>
      </c>
      <c r="G41" t="s">
        <v>9</v>
      </c>
      <c r="H41">
        <v>700</v>
      </c>
      <c r="I41">
        <f>IF(H41&gt;0,H41,"")</f>
        <v>700</v>
      </c>
      <c r="K41">
        <v>24750.07</v>
      </c>
      <c r="L41">
        <f t="shared" si="3"/>
        <v>700</v>
      </c>
      <c r="M41">
        <f t="shared" si="2"/>
        <v>24750.07</v>
      </c>
      <c r="N41" s="3">
        <f t="shared" si="4"/>
        <v>0</v>
      </c>
      <c r="O41" t="s">
        <v>24</v>
      </c>
      <c r="P41" t="s">
        <v>106</v>
      </c>
    </row>
    <row r="42" spans="1:16" x14ac:dyDescent="0.25">
      <c r="A42">
        <v>40</v>
      </c>
      <c r="B42" t="s">
        <v>88</v>
      </c>
      <c r="C42" t="s">
        <v>89</v>
      </c>
      <c r="D42" s="1">
        <v>45471</v>
      </c>
      <c r="E42" t="s">
        <v>7</v>
      </c>
      <c r="F42" t="s">
        <v>25</v>
      </c>
      <c r="G42" t="s">
        <v>9</v>
      </c>
      <c r="H42">
        <v>-4000</v>
      </c>
      <c r="J42">
        <f>IF(H42&lt;0,H42,"")</f>
        <v>-4000</v>
      </c>
      <c r="K42">
        <v>20750.07</v>
      </c>
      <c r="L42">
        <f t="shared" si="3"/>
        <v>-4000</v>
      </c>
      <c r="M42">
        <f t="shared" si="2"/>
        <v>20750.07</v>
      </c>
      <c r="N42" s="3">
        <f t="shared" si="4"/>
        <v>0</v>
      </c>
      <c r="O42" t="s">
        <v>26</v>
      </c>
      <c r="P42" t="s">
        <v>98</v>
      </c>
    </row>
    <row r="43" spans="1:16" x14ac:dyDescent="0.25">
      <c r="A43">
        <v>41</v>
      </c>
      <c r="B43" t="s">
        <v>88</v>
      </c>
      <c r="C43" t="s">
        <v>89</v>
      </c>
      <c r="D43" s="1">
        <v>45473</v>
      </c>
      <c r="E43" t="s">
        <v>46</v>
      </c>
      <c r="F43" t="s">
        <v>47</v>
      </c>
      <c r="G43" t="s">
        <v>48</v>
      </c>
      <c r="H43">
        <v>-750</v>
      </c>
      <c r="J43">
        <f>IF(H43&lt;0,H43,"")</f>
        <v>-750</v>
      </c>
      <c r="K43">
        <v>20000.07</v>
      </c>
      <c r="L43">
        <f t="shared" si="3"/>
        <v>-750</v>
      </c>
      <c r="M43">
        <f t="shared" si="2"/>
        <v>20000.07</v>
      </c>
      <c r="N43" s="3">
        <f t="shared" si="4"/>
        <v>0</v>
      </c>
      <c r="O43" t="s">
        <v>49</v>
      </c>
      <c r="P43" t="s">
        <v>126</v>
      </c>
    </row>
    <row r="44" spans="1:16" x14ac:dyDescent="0.25">
      <c r="A44">
        <v>42</v>
      </c>
      <c r="B44" t="s">
        <v>88</v>
      </c>
      <c r="C44" t="s">
        <v>89</v>
      </c>
      <c r="D44" s="1">
        <v>45474</v>
      </c>
      <c r="E44" t="s">
        <v>14</v>
      </c>
      <c r="F44">
        <v>87201</v>
      </c>
      <c r="G44" t="s">
        <v>15</v>
      </c>
      <c r="H44">
        <v>-72</v>
      </c>
      <c r="J44">
        <f>IF(H44&lt;0,H44,"")</f>
        <v>-72</v>
      </c>
      <c r="K44">
        <v>19928.07</v>
      </c>
      <c r="L44">
        <f t="shared" si="3"/>
        <v>-72</v>
      </c>
      <c r="M44">
        <f t="shared" si="2"/>
        <v>19928.07</v>
      </c>
      <c r="N44" s="3">
        <f t="shared" si="4"/>
        <v>0</v>
      </c>
      <c r="O44" t="s">
        <v>16</v>
      </c>
      <c r="P44" t="s">
        <v>101</v>
      </c>
    </row>
    <row r="45" spans="1:16" x14ac:dyDescent="0.25">
      <c r="A45">
        <v>43</v>
      </c>
      <c r="B45" t="s">
        <v>88</v>
      </c>
      <c r="C45" t="s">
        <v>89</v>
      </c>
      <c r="D45" s="1">
        <v>45474</v>
      </c>
      <c r="E45" t="s">
        <v>7</v>
      </c>
      <c r="F45" t="s">
        <v>8</v>
      </c>
      <c r="G45" t="s">
        <v>9</v>
      </c>
      <c r="H45">
        <v>-1000</v>
      </c>
      <c r="J45">
        <f>IF(H45&lt;0,H45,"")</f>
        <v>-1000</v>
      </c>
      <c r="K45">
        <v>18928.07</v>
      </c>
      <c r="L45">
        <f t="shared" si="3"/>
        <v>-1000</v>
      </c>
      <c r="M45">
        <f t="shared" si="2"/>
        <v>18928.07</v>
      </c>
      <c r="N45" s="3">
        <f t="shared" si="4"/>
        <v>0</v>
      </c>
      <c r="O45" t="s">
        <v>10</v>
      </c>
      <c r="P45" t="s">
        <v>96</v>
      </c>
    </row>
    <row r="46" spans="1:16" x14ac:dyDescent="0.25">
      <c r="A46">
        <v>44</v>
      </c>
      <c r="B46" t="s">
        <v>88</v>
      </c>
      <c r="C46" t="s">
        <v>89</v>
      </c>
      <c r="D46" s="1">
        <v>45477</v>
      </c>
      <c r="E46" t="s">
        <v>50</v>
      </c>
      <c r="F46" t="s">
        <v>51</v>
      </c>
      <c r="G46" t="s">
        <v>9</v>
      </c>
      <c r="H46">
        <v>450</v>
      </c>
      <c r="I46">
        <f>IF(H46&gt;0,H46,"")</f>
        <v>450</v>
      </c>
      <c r="K46">
        <v>19378.07</v>
      </c>
      <c r="L46">
        <f t="shared" si="3"/>
        <v>450</v>
      </c>
      <c r="M46">
        <f t="shared" si="2"/>
        <v>19378.07</v>
      </c>
      <c r="N46" s="3">
        <f t="shared" si="4"/>
        <v>0</v>
      </c>
      <c r="O46" t="s">
        <v>24</v>
      </c>
      <c r="P46" t="s">
        <v>106</v>
      </c>
    </row>
    <row r="47" spans="1:16" x14ac:dyDescent="0.25">
      <c r="A47">
        <v>46</v>
      </c>
      <c r="B47" t="s">
        <v>88</v>
      </c>
      <c r="C47" t="s">
        <v>89</v>
      </c>
      <c r="D47" s="1">
        <v>45478</v>
      </c>
      <c r="E47" t="s">
        <v>7</v>
      </c>
      <c r="F47" t="s">
        <v>25</v>
      </c>
      <c r="G47" t="s">
        <v>9</v>
      </c>
      <c r="H47">
        <v>-2000</v>
      </c>
      <c r="J47">
        <f>IF(H47&lt;0,H47,"")</f>
        <v>-2000</v>
      </c>
      <c r="K47">
        <v>22421.07</v>
      </c>
      <c r="L47">
        <f t="shared" si="3"/>
        <v>-2000</v>
      </c>
      <c r="M47">
        <f t="shared" si="2"/>
        <v>17378.07</v>
      </c>
      <c r="N47" s="3">
        <f t="shared" si="4"/>
        <v>5043</v>
      </c>
      <c r="O47" t="s">
        <v>26</v>
      </c>
      <c r="P47" t="s">
        <v>98</v>
      </c>
    </row>
    <row r="48" spans="1:16" x14ac:dyDescent="0.25">
      <c r="A48">
        <v>45</v>
      </c>
      <c r="B48" t="s">
        <v>88</v>
      </c>
      <c r="C48" t="s">
        <v>89</v>
      </c>
      <c r="D48" s="1">
        <v>45478</v>
      </c>
      <c r="E48" t="s">
        <v>21</v>
      </c>
      <c r="F48" t="s">
        <v>22</v>
      </c>
      <c r="G48" t="s">
        <v>23</v>
      </c>
      <c r="H48">
        <v>5043</v>
      </c>
      <c r="I48">
        <f>IF(H48&gt;0,H48,"")</f>
        <v>5043</v>
      </c>
      <c r="K48">
        <v>24421.07</v>
      </c>
      <c r="L48">
        <f t="shared" si="3"/>
        <v>5043</v>
      </c>
      <c r="M48">
        <f t="shared" si="2"/>
        <v>27464.07</v>
      </c>
      <c r="N48" s="3">
        <f t="shared" si="4"/>
        <v>-3043</v>
      </c>
      <c r="O48" t="s">
        <v>24</v>
      </c>
      <c r="P48" t="s">
        <v>106</v>
      </c>
    </row>
    <row r="49" spans="1:16" x14ac:dyDescent="0.25">
      <c r="A49">
        <v>47</v>
      </c>
      <c r="B49" t="s">
        <v>88</v>
      </c>
      <c r="C49" t="s">
        <v>89</v>
      </c>
      <c r="D49" s="1">
        <v>45480</v>
      </c>
      <c r="E49" t="s">
        <v>41</v>
      </c>
      <c r="F49" t="s">
        <v>42</v>
      </c>
      <c r="G49" t="s">
        <v>19</v>
      </c>
      <c r="H49">
        <v>-1.1000000000000001</v>
      </c>
      <c r="J49">
        <f>IF(H49&lt;0,H49,"")</f>
        <v>-1.1000000000000001</v>
      </c>
      <c r="K49">
        <v>22419.97</v>
      </c>
      <c r="L49">
        <f t="shared" si="3"/>
        <v>-1.1000000000000001</v>
      </c>
      <c r="M49">
        <f t="shared" si="2"/>
        <v>24419.97</v>
      </c>
      <c r="N49" s="3">
        <f t="shared" si="4"/>
        <v>-2000</v>
      </c>
      <c r="O49" t="s">
        <v>20</v>
      </c>
      <c r="P49" t="s">
        <v>107</v>
      </c>
    </row>
    <row r="50" spans="1:16" x14ac:dyDescent="0.25">
      <c r="A50">
        <v>48</v>
      </c>
      <c r="B50" t="s">
        <v>88</v>
      </c>
      <c r="C50" t="s">
        <v>89</v>
      </c>
      <c r="D50" s="1">
        <v>45485</v>
      </c>
      <c r="E50" t="s">
        <v>52</v>
      </c>
      <c r="F50" t="s">
        <v>53</v>
      </c>
      <c r="G50" t="s">
        <v>23</v>
      </c>
      <c r="H50">
        <v>375</v>
      </c>
      <c r="I50">
        <f>IF(H50&gt;0,H50,"")</f>
        <v>375</v>
      </c>
      <c r="K50">
        <v>22794.97</v>
      </c>
      <c r="L50">
        <f t="shared" si="3"/>
        <v>375</v>
      </c>
      <c r="M50">
        <f t="shared" si="2"/>
        <v>22794.97</v>
      </c>
      <c r="N50" s="3">
        <f t="shared" si="4"/>
        <v>0</v>
      </c>
      <c r="O50" t="s">
        <v>24</v>
      </c>
      <c r="P50" t="s">
        <v>106</v>
      </c>
    </row>
    <row r="51" spans="1:16" x14ac:dyDescent="0.25">
      <c r="A51">
        <v>49</v>
      </c>
      <c r="B51" t="s">
        <v>88</v>
      </c>
      <c r="C51" t="s">
        <v>89</v>
      </c>
      <c r="D51" s="1">
        <v>45490</v>
      </c>
      <c r="E51" t="s">
        <v>41</v>
      </c>
      <c r="F51" t="s">
        <v>42</v>
      </c>
      <c r="G51" t="s">
        <v>19</v>
      </c>
      <c r="H51">
        <v>-1.1000000000000001</v>
      </c>
      <c r="J51">
        <f>IF(H51&lt;0,H51,"")</f>
        <v>-1.1000000000000001</v>
      </c>
      <c r="K51">
        <v>22793.87</v>
      </c>
      <c r="L51">
        <f t="shared" si="3"/>
        <v>-1.1000000000000001</v>
      </c>
      <c r="M51">
        <f t="shared" si="2"/>
        <v>22793.870000000003</v>
      </c>
      <c r="N51" s="3">
        <f t="shared" si="4"/>
        <v>0</v>
      </c>
      <c r="O51" t="s">
        <v>20</v>
      </c>
      <c r="P51" t="s">
        <v>107</v>
      </c>
    </row>
    <row r="52" spans="1:16" x14ac:dyDescent="0.25">
      <c r="A52">
        <v>50</v>
      </c>
      <c r="B52" t="s">
        <v>88</v>
      </c>
      <c r="C52" t="s">
        <v>89</v>
      </c>
      <c r="D52" s="1">
        <v>45491</v>
      </c>
      <c r="E52" t="s">
        <v>54</v>
      </c>
      <c r="F52" t="s">
        <v>55</v>
      </c>
      <c r="G52" t="s">
        <v>48</v>
      </c>
      <c r="H52">
        <v>-1400</v>
      </c>
      <c r="J52">
        <f>IF(H52&lt;0,H52,"")</f>
        <v>-1400</v>
      </c>
      <c r="K52">
        <v>21393.87</v>
      </c>
      <c r="L52">
        <f t="shared" si="3"/>
        <v>-1400</v>
      </c>
      <c r="M52">
        <f t="shared" si="2"/>
        <v>21393.87</v>
      </c>
      <c r="N52" s="3">
        <f t="shared" si="4"/>
        <v>0</v>
      </c>
      <c r="O52" t="s">
        <v>16</v>
      </c>
      <c r="P52" t="s">
        <v>127</v>
      </c>
    </row>
    <row r="53" spans="1:16" x14ac:dyDescent="0.25">
      <c r="A53">
        <v>51</v>
      </c>
      <c r="B53" t="s">
        <v>88</v>
      </c>
      <c r="C53" t="s">
        <v>89</v>
      </c>
      <c r="D53" s="1">
        <v>45491</v>
      </c>
      <c r="E53" t="s">
        <v>41</v>
      </c>
      <c r="F53" t="s">
        <v>42</v>
      </c>
      <c r="G53" t="s">
        <v>19</v>
      </c>
      <c r="H53">
        <v>-1.1000000000000001</v>
      </c>
      <c r="J53">
        <f>IF(H53&lt;0,H53,"")</f>
        <v>-1.1000000000000001</v>
      </c>
      <c r="K53">
        <v>21392.77</v>
      </c>
      <c r="L53">
        <f t="shared" si="3"/>
        <v>-1.1000000000000001</v>
      </c>
      <c r="M53">
        <f t="shared" si="2"/>
        <v>21392.77</v>
      </c>
      <c r="N53" s="3">
        <f t="shared" si="4"/>
        <v>0</v>
      </c>
      <c r="O53" t="s">
        <v>20</v>
      </c>
      <c r="P53" t="s">
        <v>107</v>
      </c>
    </row>
    <row r="54" spans="1:16" x14ac:dyDescent="0.25">
      <c r="A54">
        <v>52</v>
      </c>
      <c r="B54" t="s">
        <v>88</v>
      </c>
      <c r="C54" t="s">
        <v>89</v>
      </c>
      <c r="D54" s="1">
        <v>45493</v>
      </c>
      <c r="E54" t="s">
        <v>35</v>
      </c>
      <c r="F54" t="s">
        <v>36</v>
      </c>
      <c r="G54" t="s">
        <v>9</v>
      </c>
      <c r="H54">
        <v>1100</v>
      </c>
      <c r="I54">
        <f>IF(H54&gt;0,H54,"")</f>
        <v>1100</v>
      </c>
      <c r="K54">
        <v>22492.77</v>
      </c>
      <c r="L54">
        <f t="shared" si="3"/>
        <v>1100</v>
      </c>
      <c r="M54">
        <f t="shared" si="2"/>
        <v>22492.77</v>
      </c>
      <c r="N54" s="3">
        <f t="shared" si="4"/>
        <v>0</v>
      </c>
      <c r="O54" t="s">
        <v>24</v>
      </c>
      <c r="P54" t="s">
        <v>106</v>
      </c>
    </row>
    <row r="55" spans="1:16" x14ac:dyDescent="0.25">
      <c r="A55">
        <v>53</v>
      </c>
      <c r="B55" t="s">
        <v>88</v>
      </c>
      <c r="C55" t="s">
        <v>89</v>
      </c>
      <c r="D55" s="1">
        <v>45497</v>
      </c>
      <c r="E55" t="s">
        <v>7</v>
      </c>
      <c r="F55" t="s">
        <v>25</v>
      </c>
      <c r="G55" t="s">
        <v>9</v>
      </c>
      <c r="H55">
        <v>-7500</v>
      </c>
      <c r="J55">
        <f>IF(H55&lt;0,H55,"")</f>
        <v>-7500</v>
      </c>
      <c r="K55">
        <v>14992.77</v>
      </c>
      <c r="L55">
        <f t="shared" si="3"/>
        <v>-7500</v>
      </c>
      <c r="M55">
        <f t="shared" si="2"/>
        <v>14992.77</v>
      </c>
      <c r="N55" s="3">
        <f t="shared" si="4"/>
        <v>0</v>
      </c>
      <c r="O55" t="s">
        <v>26</v>
      </c>
      <c r="P55" t="s">
        <v>98</v>
      </c>
    </row>
    <row r="56" spans="1:16" x14ac:dyDescent="0.25">
      <c r="A56">
        <v>54</v>
      </c>
      <c r="B56" t="s">
        <v>88</v>
      </c>
      <c r="C56" t="s">
        <v>89</v>
      </c>
      <c r="D56" s="1">
        <v>45505</v>
      </c>
      <c r="E56" t="s">
        <v>7</v>
      </c>
      <c r="F56" t="s">
        <v>8</v>
      </c>
      <c r="G56" t="s">
        <v>9</v>
      </c>
      <c r="H56">
        <v>-1000</v>
      </c>
      <c r="J56">
        <f>IF(H56&lt;0,H56,"")</f>
        <v>-1000</v>
      </c>
      <c r="K56">
        <v>13992.77</v>
      </c>
      <c r="L56">
        <f t="shared" si="3"/>
        <v>-1000</v>
      </c>
      <c r="M56">
        <f t="shared" si="2"/>
        <v>13992.77</v>
      </c>
      <c r="N56" s="3">
        <f t="shared" si="4"/>
        <v>0</v>
      </c>
      <c r="O56" t="s">
        <v>10</v>
      </c>
      <c r="P56" t="s">
        <v>96</v>
      </c>
    </row>
    <row r="57" spans="1:16" x14ac:dyDescent="0.25">
      <c r="A57">
        <v>55</v>
      </c>
      <c r="B57" t="s">
        <v>88</v>
      </c>
      <c r="C57" t="s">
        <v>89</v>
      </c>
      <c r="D57" s="1">
        <v>45505</v>
      </c>
      <c r="E57" t="s">
        <v>14</v>
      </c>
      <c r="F57">
        <v>87201</v>
      </c>
      <c r="G57" t="s">
        <v>15</v>
      </c>
      <c r="H57">
        <v>-72</v>
      </c>
      <c r="J57">
        <f>IF(H57&lt;0,H57,"")</f>
        <v>-72</v>
      </c>
      <c r="K57">
        <v>13920.77</v>
      </c>
      <c r="L57">
        <f t="shared" si="3"/>
        <v>-72</v>
      </c>
      <c r="M57">
        <f t="shared" si="2"/>
        <v>13920.77</v>
      </c>
      <c r="N57" s="3">
        <f t="shared" si="4"/>
        <v>0</v>
      </c>
      <c r="O57" t="s">
        <v>16</v>
      </c>
      <c r="P57" t="s">
        <v>101</v>
      </c>
    </row>
    <row r="58" spans="1:16" x14ac:dyDescent="0.25">
      <c r="A58">
        <v>56</v>
      </c>
      <c r="B58" t="s">
        <v>88</v>
      </c>
      <c r="C58" t="s">
        <v>89</v>
      </c>
      <c r="D58" s="1">
        <v>45511</v>
      </c>
      <c r="E58" t="s">
        <v>21</v>
      </c>
      <c r="F58" t="s">
        <v>22</v>
      </c>
      <c r="G58" t="s">
        <v>23</v>
      </c>
      <c r="H58">
        <v>2350</v>
      </c>
      <c r="I58">
        <f>IF(H58&gt;0,H58,"")</f>
        <v>2350</v>
      </c>
      <c r="K58">
        <v>16270.77</v>
      </c>
      <c r="L58">
        <f t="shared" si="3"/>
        <v>2350</v>
      </c>
      <c r="M58">
        <f t="shared" si="2"/>
        <v>16270.77</v>
      </c>
      <c r="N58" s="3">
        <f t="shared" si="4"/>
        <v>0</v>
      </c>
      <c r="O58" t="s">
        <v>24</v>
      </c>
      <c r="P58" t="s">
        <v>106</v>
      </c>
    </row>
    <row r="59" spans="1:16" x14ac:dyDescent="0.25">
      <c r="A59">
        <v>57</v>
      </c>
      <c r="B59" t="s">
        <v>88</v>
      </c>
      <c r="C59" t="s">
        <v>89</v>
      </c>
      <c r="D59" s="1">
        <v>45512</v>
      </c>
      <c r="E59" t="s">
        <v>37</v>
      </c>
      <c r="F59" t="s">
        <v>38</v>
      </c>
      <c r="G59" t="s">
        <v>19</v>
      </c>
      <c r="H59">
        <v>-7</v>
      </c>
      <c r="J59">
        <f>IF(H59&lt;0,H59,"")</f>
        <v>-7</v>
      </c>
      <c r="K59">
        <v>16263.77</v>
      </c>
      <c r="L59">
        <f t="shared" si="3"/>
        <v>-7</v>
      </c>
      <c r="M59">
        <f t="shared" si="2"/>
        <v>16263.77</v>
      </c>
      <c r="N59" s="3">
        <f t="shared" si="4"/>
        <v>0</v>
      </c>
      <c r="O59" t="s">
        <v>20</v>
      </c>
      <c r="P59" t="s">
        <v>107</v>
      </c>
    </row>
    <row r="60" spans="1:16" x14ac:dyDescent="0.25">
      <c r="A60">
        <v>58</v>
      </c>
      <c r="B60" t="s">
        <v>88</v>
      </c>
      <c r="C60" t="s">
        <v>89</v>
      </c>
      <c r="D60" s="1">
        <v>45513</v>
      </c>
      <c r="E60" t="s">
        <v>21</v>
      </c>
      <c r="F60" t="s">
        <v>22</v>
      </c>
      <c r="G60" t="s">
        <v>23</v>
      </c>
      <c r="H60">
        <v>2125</v>
      </c>
      <c r="I60">
        <f>IF(H60&gt;0,H60,"")</f>
        <v>2125</v>
      </c>
      <c r="K60">
        <v>18388.77</v>
      </c>
      <c r="L60">
        <f t="shared" si="3"/>
        <v>2125</v>
      </c>
      <c r="M60">
        <f t="shared" si="2"/>
        <v>18388.77</v>
      </c>
      <c r="N60" s="3">
        <f t="shared" si="4"/>
        <v>0</v>
      </c>
      <c r="O60" t="s">
        <v>24</v>
      </c>
      <c r="P60" t="s">
        <v>106</v>
      </c>
    </row>
    <row r="61" spans="1:16" x14ac:dyDescent="0.25">
      <c r="A61">
        <v>59</v>
      </c>
      <c r="B61" t="s">
        <v>88</v>
      </c>
      <c r="C61" t="s">
        <v>89</v>
      </c>
      <c r="D61" s="1">
        <v>45516</v>
      </c>
      <c r="E61" t="s">
        <v>50</v>
      </c>
      <c r="F61" t="s">
        <v>51</v>
      </c>
      <c r="G61" t="s">
        <v>9</v>
      </c>
      <c r="H61">
        <v>900</v>
      </c>
      <c r="I61">
        <f>IF(H61&gt;0,H61,"")</f>
        <v>900</v>
      </c>
      <c r="K61">
        <v>19288.77</v>
      </c>
      <c r="L61">
        <f t="shared" si="3"/>
        <v>900</v>
      </c>
      <c r="M61">
        <f t="shared" si="2"/>
        <v>19288.77</v>
      </c>
      <c r="N61" s="3">
        <f t="shared" si="4"/>
        <v>0</v>
      </c>
      <c r="O61" t="s">
        <v>24</v>
      </c>
      <c r="P61" t="s">
        <v>106</v>
      </c>
    </row>
    <row r="62" spans="1:16" x14ac:dyDescent="0.25">
      <c r="A62">
        <v>60</v>
      </c>
      <c r="B62" t="s">
        <v>88</v>
      </c>
      <c r="C62" t="s">
        <v>89</v>
      </c>
      <c r="D62" s="1">
        <v>45520</v>
      </c>
      <c r="E62" t="s">
        <v>21</v>
      </c>
      <c r="F62" t="s">
        <v>22</v>
      </c>
      <c r="G62" t="s">
        <v>23</v>
      </c>
      <c r="H62">
        <v>430</v>
      </c>
      <c r="I62">
        <f>IF(H62&gt;0,H62,"")</f>
        <v>430</v>
      </c>
      <c r="K62">
        <v>19718.77</v>
      </c>
      <c r="L62">
        <f t="shared" si="3"/>
        <v>430</v>
      </c>
      <c r="M62">
        <f t="shared" si="2"/>
        <v>19718.77</v>
      </c>
      <c r="N62" s="3">
        <f t="shared" si="4"/>
        <v>0</v>
      </c>
      <c r="O62" t="s">
        <v>24</v>
      </c>
      <c r="P62" t="s">
        <v>106</v>
      </c>
    </row>
    <row r="63" spans="1:16" x14ac:dyDescent="0.25">
      <c r="A63">
        <v>61</v>
      </c>
      <c r="B63" t="s">
        <v>88</v>
      </c>
      <c r="C63" t="s">
        <v>89</v>
      </c>
      <c r="D63" s="1">
        <v>45522</v>
      </c>
      <c r="E63" t="s">
        <v>41</v>
      </c>
      <c r="F63" t="s">
        <v>42</v>
      </c>
      <c r="G63" t="s">
        <v>19</v>
      </c>
      <c r="H63">
        <v>-5.6</v>
      </c>
      <c r="J63">
        <f t="shared" ref="J63:J69" si="5">IF(H63&lt;0,H63,"")</f>
        <v>-5.6</v>
      </c>
      <c r="K63">
        <v>19713.169999999998</v>
      </c>
      <c r="L63">
        <f t="shared" si="3"/>
        <v>-5.6</v>
      </c>
      <c r="M63">
        <f t="shared" si="2"/>
        <v>19713.170000000002</v>
      </c>
      <c r="N63" s="3">
        <f t="shared" si="4"/>
        <v>0</v>
      </c>
      <c r="O63" t="s">
        <v>20</v>
      </c>
      <c r="P63" t="s">
        <v>107</v>
      </c>
    </row>
    <row r="64" spans="1:16" x14ac:dyDescent="0.25">
      <c r="A64">
        <v>62</v>
      </c>
      <c r="B64" t="s">
        <v>88</v>
      </c>
      <c r="C64" t="s">
        <v>89</v>
      </c>
      <c r="D64" s="1">
        <v>45523</v>
      </c>
      <c r="E64" t="s">
        <v>41</v>
      </c>
      <c r="F64" t="s">
        <v>42</v>
      </c>
      <c r="G64" t="s">
        <v>19</v>
      </c>
      <c r="H64">
        <v>-5.6</v>
      </c>
      <c r="J64">
        <f t="shared" si="5"/>
        <v>-5.6</v>
      </c>
      <c r="K64">
        <v>19707.57</v>
      </c>
      <c r="L64">
        <f t="shared" si="3"/>
        <v>-5.6</v>
      </c>
      <c r="M64">
        <f t="shared" si="2"/>
        <v>19707.57</v>
      </c>
      <c r="N64" s="3">
        <f t="shared" si="4"/>
        <v>0</v>
      </c>
      <c r="O64" t="s">
        <v>20</v>
      </c>
      <c r="P64" t="s">
        <v>107</v>
      </c>
    </row>
    <row r="65" spans="1:16" x14ac:dyDescent="0.25">
      <c r="A65">
        <v>63</v>
      </c>
      <c r="B65" t="s">
        <v>88</v>
      </c>
      <c r="C65" t="s">
        <v>89</v>
      </c>
      <c r="D65" s="1">
        <v>45525</v>
      </c>
      <c r="E65" t="s">
        <v>41</v>
      </c>
      <c r="F65" t="s">
        <v>42</v>
      </c>
      <c r="G65" t="s">
        <v>19</v>
      </c>
      <c r="H65">
        <v>-5.6</v>
      </c>
      <c r="J65">
        <f t="shared" si="5"/>
        <v>-5.6</v>
      </c>
      <c r="K65">
        <v>19701.97</v>
      </c>
      <c r="L65">
        <f t="shared" si="3"/>
        <v>-5.6</v>
      </c>
      <c r="M65">
        <f t="shared" si="2"/>
        <v>19701.97</v>
      </c>
      <c r="N65" s="3">
        <f t="shared" si="4"/>
        <v>0</v>
      </c>
      <c r="O65" t="s">
        <v>20</v>
      </c>
      <c r="P65" t="s">
        <v>107</v>
      </c>
    </row>
    <row r="66" spans="1:16" x14ac:dyDescent="0.25">
      <c r="A66">
        <v>64</v>
      </c>
      <c r="B66" t="s">
        <v>88</v>
      </c>
      <c r="C66" t="s">
        <v>89</v>
      </c>
      <c r="D66" s="1">
        <v>45526</v>
      </c>
      <c r="E66" t="s">
        <v>46</v>
      </c>
      <c r="F66" t="s">
        <v>47</v>
      </c>
      <c r="G66" t="s">
        <v>48</v>
      </c>
      <c r="H66">
        <v>-750</v>
      </c>
      <c r="J66">
        <f t="shared" si="5"/>
        <v>-750</v>
      </c>
      <c r="K66">
        <v>18951.97</v>
      </c>
      <c r="L66">
        <f t="shared" si="3"/>
        <v>-750</v>
      </c>
      <c r="M66">
        <f t="shared" si="2"/>
        <v>18951.97</v>
      </c>
      <c r="N66" s="3">
        <f t="shared" si="4"/>
        <v>0</v>
      </c>
      <c r="O66" t="s">
        <v>49</v>
      </c>
      <c r="P66" t="s">
        <v>126</v>
      </c>
    </row>
    <row r="67" spans="1:16" x14ac:dyDescent="0.25">
      <c r="A67">
        <v>65</v>
      </c>
      <c r="B67" t="s">
        <v>88</v>
      </c>
      <c r="C67" t="s">
        <v>89</v>
      </c>
      <c r="D67" s="1">
        <v>45526</v>
      </c>
      <c r="E67" t="s">
        <v>41</v>
      </c>
      <c r="F67" t="s">
        <v>42</v>
      </c>
      <c r="G67" t="s">
        <v>19</v>
      </c>
      <c r="H67">
        <v>-5.6</v>
      </c>
      <c r="J67">
        <f t="shared" si="5"/>
        <v>-5.6</v>
      </c>
      <c r="K67">
        <v>18946.37</v>
      </c>
      <c r="L67">
        <f t="shared" ref="L67:L98" si="6">I67+J67</f>
        <v>-5.6</v>
      </c>
      <c r="M67">
        <f t="shared" si="2"/>
        <v>18946.370000000003</v>
      </c>
      <c r="N67" s="3">
        <f t="shared" ref="N67:N98" si="7">K67-M67</f>
        <v>0</v>
      </c>
      <c r="O67" t="s">
        <v>20</v>
      </c>
      <c r="P67" t="s">
        <v>107</v>
      </c>
    </row>
    <row r="68" spans="1:16" x14ac:dyDescent="0.25">
      <c r="A68">
        <v>66</v>
      </c>
      <c r="B68" t="s">
        <v>88</v>
      </c>
      <c r="C68" t="s">
        <v>89</v>
      </c>
      <c r="D68" s="1">
        <v>45529</v>
      </c>
      <c r="E68" t="s">
        <v>41</v>
      </c>
      <c r="F68" t="s">
        <v>42</v>
      </c>
      <c r="G68" t="s">
        <v>19</v>
      </c>
      <c r="H68">
        <v>-5.6</v>
      </c>
      <c r="J68">
        <f t="shared" si="5"/>
        <v>-5.6</v>
      </c>
      <c r="K68">
        <v>18940.77</v>
      </c>
      <c r="L68">
        <f t="shared" si="6"/>
        <v>-5.6</v>
      </c>
      <c r="M68">
        <f t="shared" ref="M68:M131" si="8">K67+L68</f>
        <v>18940.77</v>
      </c>
      <c r="N68" s="3">
        <f t="shared" si="7"/>
        <v>0</v>
      </c>
      <c r="O68" t="s">
        <v>20</v>
      </c>
      <c r="P68" t="s">
        <v>107</v>
      </c>
    </row>
    <row r="69" spans="1:16" x14ac:dyDescent="0.25">
      <c r="A69">
        <v>67</v>
      </c>
      <c r="B69" t="s">
        <v>88</v>
      </c>
      <c r="C69" t="s">
        <v>89</v>
      </c>
      <c r="D69" s="1">
        <v>45530</v>
      </c>
      <c r="E69" t="s">
        <v>41</v>
      </c>
      <c r="F69" t="s">
        <v>42</v>
      </c>
      <c r="G69" t="s">
        <v>19</v>
      </c>
      <c r="H69">
        <v>-5.0999999999999996</v>
      </c>
      <c r="J69">
        <f t="shared" si="5"/>
        <v>-5.0999999999999996</v>
      </c>
      <c r="K69">
        <v>18935.669999999998</v>
      </c>
      <c r="L69">
        <f t="shared" si="6"/>
        <v>-5.0999999999999996</v>
      </c>
      <c r="M69">
        <f t="shared" si="8"/>
        <v>18935.670000000002</v>
      </c>
      <c r="N69" s="3">
        <f t="shared" si="7"/>
        <v>0</v>
      </c>
      <c r="O69" t="s">
        <v>20</v>
      </c>
      <c r="P69" t="s">
        <v>107</v>
      </c>
    </row>
    <row r="70" spans="1:16" x14ac:dyDescent="0.25">
      <c r="A70">
        <v>68</v>
      </c>
      <c r="B70" t="s">
        <v>88</v>
      </c>
      <c r="C70" t="s">
        <v>89</v>
      </c>
      <c r="D70" s="1">
        <v>45533</v>
      </c>
      <c r="E70" t="s">
        <v>35</v>
      </c>
      <c r="F70" t="s">
        <v>36</v>
      </c>
      <c r="G70" t="s">
        <v>9</v>
      </c>
      <c r="H70">
        <v>1200</v>
      </c>
      <c r="I70">
        <f>IF(H70&gt;0,H70,"")</f>
        <v>1200</v>
      </c>
      <c r="K70">
        <v>20135.669999999998</v>
      </c>
      <c r="L70">
        <f t="shared" si="6"/>
        <v>1200</v>
      </c>
      <c r="M70">
        <f t="shared" si="8"/>
        <v>20135.669999999998</v>
      </c>
      <c r="N70" s="3">
        <f t="shared" si="7"/>
        <v>0</v>
      </c>
      <c r="O70" t="s">
        <v>24</v>
      </c>
      <c r="P70" t="s">
        <v>106</v>
      </c>
    </row>
    <row r="71" spans="1:16" x14ac:dyDescent="0.25">
      <c r="A71">
        <v>69</v>
      </c>
      <c r="B71" t="s">
        <v>88</v>
      </c>
      <c r="C71" t="s">
        <v>89</v>
      </c>
      <c r="D71" s="1">
        <v>45533</v>
      </c>
      <c r="E71" t="s">
        <v>7</v>
      </c>
      <c r="F71" t="s">
        <v>25</v>
      </c>
      <c r="G71" t="s">
        <v>9</v>
      </c>
      <c r="H71">
        <v>-2000</v>
      </c>
      <c r="J71">
        <f>IF(H71&lt;0,H71,"")</f>
        <v>-2000</v>
      </c>
      <c r="K71">
        <v>18135.669999999998</v>
      </c>
      <c r="L71">
        <f t="shared" si="6"/>
        <v>-2000</v>
      </c>
      <c r="M71">
        <f t="shared" si="8"/>
        <v>18135.669999999998</v>
      </c>
      <c r="N71" s="3">
        <f t="shared" si="7"/>
        <v>0</v>
      </c>
      <c r="O71" t="s">
        <v>26</v>
      </c>
      <c r="P71" t="s">
        <v>98</v>
      </c>
    </row>
    <row r="72" spans="1:16" x14ac:dyDescent="0.25">
      <c r="A72">
        <v>70</v>
      </c>
      <c r="B72" t="s">
        <v>88</v>
      </c>
      <c r="C72" t="s">
        <v>89</v>
      </c>
      <c r="D72" s="1">
        <v>45537</v>
      </c>
      <c r="E72" t="s">
        <v>7</v>
      </c>
      <c r="F72" t="s">
        <v>8</v>
      </c>
      <c r="G72" t="s">
        <v>9</v>
      </c>
      <c r="H72">
        <v>-1000</v>
      </c>
      <c r="J72">
        <f>IF(H72&lt;0,H72,"")</f>
        <v>-1000</v>
      </c>
      <c r="K72">
        <v>17135.669999999998</v>
      </c>
      <c r="L72">
        <f t="shared" si="6"/>
        <v>-1000</v>
      </c>
      <c r="M72">
        <f t="shared" si="8"/>
        <v>17135.669999999998</v>
      </c>
      <c r="N72" s="3">
        <f t="shared" si="7"/>
        <v>0</v>
      </c>
      <c r="O72" t="s">
        <v>10</v>
      </c>
      <c r="P72" t="s">
        <v>96</v>
      </c>
    </row>
    <row r="73" spans="1:16" x14ac:dyDescent="0.25">
      <c r="A73">
        <v>71</v>
      </c>
      <c r="B73" t="s">
        <v>88</v>
      </c>
      <c r="C73" t="s">
        <v>89</v>
      </c>
      <c r="D73" s="1">
        <v>45537</v>
      </c>
      <c r="E73" t="s">
        <v>14</v>
      </c>
      <c r="F73">
        <v>87201</v>
      </c>
      <c r="G73" t="s">
        <v>15</v>
      </c>
      <c r="H73">
        <v>-72</v>
      </c>
      <c r="J73">
        <f>IF(H73&lt;0,H73,"")</f>
        <v>-72</v>
      </c>
      <c r="K73">
        <v>17063.669999999998</v>
      </c>
      <c r="L73">
        <f t="shared" si="6"/>
        <v>-72</v>
      </c>
      <c r="M73">
        <f t="shared" si="8"/>
        <v>17063.669999999998</v>
      </c>
      <c r="N73" s="3">
        <f t="shared" si="7"/>
        <v>0</v>
      </c>
      <c r="O73" t="s">
        <v>16</v>
      </c>
      <c r="P73" t="s">
        <v>101</v>
      </c>
    </row>
    <row r="74" spans="1:16" x14ac:dyDescent="0.25">
      <c r="A74">
        <v>72</v>
      </c>
      <c r="B74" t="s">
        <v>88</v>
      </c>
      <c r="C74" t="s">
        <v>89</v>
      </c>
      <c r="D74" s="1">
        <v>45540</v>
      </c>
      <c r="E74" t="s">
        <v>17</v>
      </c>
      <c r="F74" t="s">
        <v>18</v>
      </c>
      <c r="G74" t="s">
        <v>19</v>
      </c>
      <c r="H74">
        <v>-7</v>
      </c>
      <c r="J74">
        <f>IF(H74&lt;0,H74,"")</f>
        <v>-7</v>
      </c>
      <c r="K74">
        <v>17056.669999999998</v>
      </c>
      <c r="L74">
        <f t="shared" si="6"/>
        <v>-7</v>
      </c>
      <c r="M74">
        <f t="shared" si="8"/>
        <v>17056.669999999998</v>
      </c>
      <c r="N74" s="3">
        <f t="shared" si="7"/>
        <v>0</v>
      </c>
      <c r="O74" t="s">
        <v>20</v>
      </c>
      <c r="P74" t="s">
        <v>107</v>
      </c>
    </row>
    <row r="75" spans="1:16" x14ac:dyDescent="0.25">
      <c r="A75">
        <v>73</v>
      </c>
      <c r="B75" t="s">
        <v>88</v>
      </c>
      <c r="C75" t="s">
        <v>89</v>
      </c>
      <c r="D75" s="1">
        <v>45540</v>
      </c>
      <c r="E75" t="s">
        <v>41</v>
      </c>
      <c r="F75" t="s">
        <v>42</v>
      </c>
      <c r="G75" t="s">
        <v>19</v>
      </c>
      <c r="H75">
        <v>-2.1</v>
      </c>
      <c r="J75">
        <f>IF(H75&lt;0,H75,"")</f>
        <v>-2.1</v>
      </c>
      <c r="K75">
        <v>17054.57</v>
      </c>
      <c r="L75">
        <f t="shared" si="6"/>
        <v>-2.1</v>
      </c>
      <c r="M75">
        <f t="shared" si="8"/>
        <v>17054.57</v>
      </c>
      <c r="N75" s="3">
        <f t="shared" si="7"/>
        <v>0</v>
      </c>
      <c r="O75" t="s">
        <v>20</v>
      </c>
      <c r="P75" t="s">
        <v>107</v>
      </c>
    </row>
    <row r="76" spans="1:16" x14ac:dyDescent="0.25">
      <c r="A76">
        <v>74</v>
      </c>
      <c r="B76" t="s">
        <v>88</v>
      </c>
      <c r="C76" t="s">
        <v>89</v>
      </c>
      <c r="D76" s="1">
        <v>45541</v>
      </c>
      <c r="E76" t="s">
        <v>21</v>
      </c>
      <c r="F76" t="s">
        <v>22</v>
      </c>
      <c r="G76" t="s">
        <v>23</v>
      </c>
      <c r="H76">
        <v>3825</v>
      </c>
      <c r="I76">
        <f>IF(H76&gt;0,H76,"")</f>
        <v>3825</v>
      </c>
      <c r="K76">
        <v>20879.57</v>
      </c>
      <c r="L76">
        <f t="shared" si="6"/>
        <v>3825</v>
      </c>
      <c r="M76">
        <f t="shared" si="8"/>
        <v>20879.57</v>
      </c>
      <c r="N76" s="3">
        <f t="shared" si="7"/>
        <v>0</v>
      </c>
      <c r="O76" t="s">
        <v>24</v>
      </c>
      <c r="P76" t="s">
        <v>106</v>
      </c>
    </row>
    <row r="77" spans="1:16" x14ac:dyDescent="0.25">
      <c r="A77">
        <v>75</v>
      </c>
      <c r="B77" t="s">
        <v>88</v>
      </c>
      <c r="C77" t="s">
        <v>89</v>
      </c>
      <c r="D77" s="1">
        <v>45543</v>
      </c>
      <c r="E77" t="s">
        <v>41</v>
      </c>
      <c r="F77" t="s">
        <v>42</v>
      </c>
      <c r="G77" t="s">
        <v>19</v>
      </c>
      <c r="H77">
        <v>-4.0999999999999996</v>
      </c>
      <c r="J77">
        <f>IF(H77&lt;0,H77,"")</f>
        <v>-4.0999999999999996</v>
      </c>
      <c r="K77">
        <v>20875.47</v>
      </c>
      <c r="L77">
        <f t="shared" si="6"/>
        <v>-4.0999999999999996</v>
      </c>
      <c r="M77">
        <f t="shared" si="8"/>
        <v>20875.47</v>
      </c>
      <c r="N77" s="3">
        <f t="shared" si="7"/>
        <v>0</v>
      </c>
      <c r="O77" t="s">
        <v>20</v>
      </c>
      <c r="P77" t="s">
        <v>107</v>
      </c>
    </row>
    <row r="78" spans="1:16" x14ac:dyDescent="0.25">
      <c r="A78">
        <v>76</v>
      </c>
      <c r="B78" t="s">
        <v>88</v>
      </c>
      <c r="C78" t="s">
        <v>89</v>
      </c>
      <c r="D78" s="1">
        <v>45543</v>
      </c>
      <c r="E78" t="s">
        <v>41</v>
      </c>
      <c r="F78" t="s">
        <v>42</v>
      </c>
      <c r="G78" t="s">
        <v>19</v>
      </c>
      <c r="H78">
        <v>-5.0999999999999996</v>
      </c>
      <c r="J78">
        <f>IF(H78&lt;0,H78,"")</f>
        <v>-5.0999999999999996</v>
      </c>
      <c r="K78">
        <v>20870.37</v>
      </c>
      <c r="L78">
        <f t="shared" si="6"/>
        <v>-5.0999999999999996</v>
      </c>
      <c r="M78">
        <f t="shared" si="8"/>
        <v>20870.370000000003</v>
      </c>
      <c r="N78" s="3">
        <f t="shared" si="7"/>
        <v>0</v>
      </c>
      <c r="O78" t="s">
        <v>20</v>
      </c>
      <c r="P78" t="s">
        <v>107</v>
      </c>
    </row>
    <row r="79" spans="1:16" x14ac:dyDescent="0.25">
      <c r="A79">
        <v>77</v>
      </c>
      <c r="B79" t="s">
        <v>88</v>
      </c>
      <c r="C79" t="s">
        <v>89</v>
      </c>
      <c r="D79" s="1">
        <v>45544</v>
      </c>
      <c r="E79" t="s">
        <v>50</v>
      </c>
      <c r="F79" t="s">
        <v>51</v>
      </c>
      <c r="G79" t="s">
        <v>9</v>
      </c>
      <c r="H79">
        <v>900</v>
      </c>
      <c r="I79">
        <f>IF(H79&gt;0,H79,"")</f>
        <v>900</v>
      </c>
      <c r="K79">
        <v>21770.37</v>
      </c>
      <c r="L79">
        <f t="shared" si="6"/>
        <v>900</v>
      </c>
      <c r="M79">
        <f t="shared" si="8"/>
        <v>21770.37</v>
      </c>
      <c r="N79" s="3">
        <f t="shared" si="7"/>
        <v>0</v>
      </c>
      <c r="O79" t="s">
        <v>24</v>
      </c>
      <c r="P79" t="s">
        <v>106</v>
      </c>
    </row>
    <row r="80" spans="1:16" x14ac:dyDescent="0.25">
      <c r="A80">
        <v>78</v>
      </c>
      <c r="B80" t="s">
        <v>88</v>
      </c>
      <c r="C80" t="s">
        <v>89</v>
      </c>
      <c r="D80" s="1">
        <v>45546</v>
      </c>
      <c r="E80" t="s">
        <v>21</v>
      </c>
      <c r="F80" t="s">
        <v>22</v>
      </c>
      <c r="G80" t="s">
        <v>23</v>
      </c>
      <c r="H80">
        <v>1826</v>
      </c>
      <c r="I80">
        <f>IF(H80&gt;0,H80,"")</f>
        <v>1826</v>
      </c>
      <c r="K80">
        <v>23596.37</v>
      </c>
      <c r="L80">
        <f t="shared" si="6"/>
        <v>1826</v>
      </c>
      <c r="M80">
        <f t="shared" si="8"/>
        <v>23596.37</v>
      </c>
      <c r="N80" s="3">
        <f t="shared" si="7"/>
        <v>0</v>
      </c>
      <c r="O80" t="s">
        <v>24</v>
      </c>
      <c r="P80" t="s">
        <v>106</v>
      </c>
    </row>
    <row r="81" spans="1:16" x14ac:dyDescent="0.25">
      <c r="A81">
        <v>79</v>
      </c>
      <c r="B81" t="s">
        <v>88</v>
      </c>
      <c r="C81" t="s">
        <v>89</v>
      </c>
      <c r="D81" s="1">
        <v>45548</v>
      </c>
      <c r="E81" t="s">
        <v>52</v>
      </c>
      <c r="F81" t="s">
        <v>56</v>
      </c>
      <c r="G81" t="s">
        <v>23</v>
      </c>
      <c r="H81">
        <v>375</v>
      </c>
      <c r="I81">
        <f>IF(H81&gt;0,H81,"")</f>
        <v>375</v>
      </c>
      <c r="K81">
        <v>23971.37</v>
      </c>
      <c r="L81">
        <f t="shared" si="6"/>
        <v>375</v>
      </c>
      <c r="M81">
        <f t="shared" si="8"/>
        <v>23971.37</v>
      </c>
      <c r="N81" s="3">
        <f t="shared" si="7"/>
        <v>0</v>
      </c>
      <c r="O81" t="s">
        <v>24</v>
      </c>
      <c r="P81" t="s">
        <v>106</v>
      </c>
    </row>
    <row r="82" spans="1:16" x14ac:dyDescent="0.25">
      <c r="A82">
        <v>80</v>
      </c>
      <c r="B82" t="s">
        <v>88</v>
      </c>
      <c r="C82" t="s">
        <v>89</v>
      </c>
      <c r="D82" s="1">
        <v>45548</v>
      </c>
      <c r="E82" t="s">
        <v>41</v>
      </c>
      <c r="F82" t="s">
        <v>42</v>
      </c>
      <c r="G82" t="s">
        <v>19</v>
      </c>
      <c r="H82">
        <v>-5.6</v>
      </c>
      <c r="J82">
        <f>IF(H82&lt;0,H82,"")</f>
        <v>-5.6</v>
      </c>
      <c r="K82">
        <v>23965.77</v>
      </c>
      <c r="L82">
        <f t="shared" si="6"/>
        <v>-5.6</v>
      </c>
      <c r="M82">
        <f t="shared" si="8"/>
        <v>23965.77</v>
      </c>
      <c r="N82" s="3">
        <f t="shared" si="7"/>
        <v>0</v>
      </c>
      <c r="O82" t="s">
        <v>20</v>
      </c>
      <c r="P82" t="s">
        <v>107</v>
      </c>
    </row>
    <row r="83" spans="1:16" x14ac:dyDescent="0.25">
      <c r="A83">
        <v>81</v>
      </c>
      <c r="B83" t="s">
        <v>88</v>
      </c>
      <c r="C83" t="s">
        <v>89</v>
      </c>
      <c r="D83" s="1">
        <v>45551</v>
      </c>
      <c r="E83" t="s">
        <v>41</v>
      </c>
      <c r="F83" t="s">
        <v>42</v>
      </c>
      <c r="G83" t="s">
        <v>19</v>
      </c>
      <c r="H83">
        <v>-4.0999999999999996</v>
      </c>
      <c r="J83">
        <f>IF(H83&lt;0,H83,"")</f>
        <v>-4.0999999999999996</v>
      </c>
      <c r="K83">
        <v>23961.67</v>
      </c>
      <c r="L83">
        <f t="shared" si="6"/>
        <v>-4.0999999999999996</v>
      </c>
      <c r="M83">
        <f t="shared" si="8"/>
        <v>23961.670000000002</v>
      </c>
      <c r="N83" s="3">
        <f t="shared" si="7"/>
        <v>0</v>
      </c>
      <c r="O83" t="s">
        <v>20</v>
      </c>
      <c r="P83" t="s">
        <v>107</v>
      </c>
    </row>
    <row r="84" spans="1:16" x14ac:dyDescent="0.25">
      <c r="A84">
        <v>82</v>
      </c>
      <c r="B84" t="s">
        <v>88</v>
      </c>
      <c r="C84" t="s">
        <v>89</v>
      </c>
      <c r="D84" s="1">
        <v>45551</v>
      </c>
      <c r="E84" t="s">
        <v>41</v>
      </c>
      <c r="F84" t="s">
        <v>42</v>
      </c>
      <c r="G84" t="s">
        <v>19</v>
      </c>
      <c r="H84">
        <v>-5.0999999999999996</v>
      </c>
      <c r="J84">
        <f>IF(H84&lt;0,H84,"")</f>
        <v>-5.0999999999999996</v>
      </c>
      <c r="K84">
        <v>23956.57</v>
      </c>
      <c r="L84">
        <f t="shared" si="6"/>
        <v>-5.0999999999999996</v>
      </c>
      <c r="M84">
        <f t="shared" si="8"/>
        <v>23956.57</v>
      </c>
      <c r="N84" s="3">
        <f t="shared" si="7"/>
        <v>0</v>
      </c>
      <c r="O84" t="s">
        <v>20</v>
      </c>
      <c r="P84" t="s">
        <v>107</v>
      </c>
    </row>
    <row r="85" spans="1:16" x14ac:dyDescent="0.25">
      <c r="A85">
        <v>83</v>
      </c>
      <c r="B85" t="s">
        <v>88</v>
      </c>
      <c r="C85" t="s">
        <v>89</v>
      </c>
      <c r="D85" s="1">
        <v>45555</v>
      </c>
      <c r="E85" t="s">
        <v>41</v>
      </c>
      <c r="F85" t="s">
        <v>42</v>
      </c>
      <c r="G85" t="s">
        <v>19</v>
      </c>
      <c r="H85">
        <v>-1.6</v>
      </c>
      <c r="J85">
        <f>IF(H85&lt;0,H85,"")</f>
        <v>-1.6</v>
      </c>
      <c r="K85">
        <v>23954.97</v>
      </c>
      <c r="L85">
        <f t="shared" si="6"/>
        <v>-1.6</v>
      </c>
      <c r="M85">
        <f t="shared" si="8"/>
        <v>23954.97</v>
      </c>
      <c r="N85" s="3">
        <f t="shared" si="7"/>
        <v>0</v>
      </c>
      <c r="O85" t="s">
        <v>20</v>
      </c>
      <c r="P85" t="s">
        <v>107</v>
      </c>
    </row>
    <row r="86" spans="1:16" x14ac:dyDescent="0.25">
      <c r="A86">
        <v>84</v>
      </c>
      <c r="B86" t="s">
        <v>88</v>
      </c>
      <c r="C86" t="s">
        <v>89</v>
      </c>
      <c r="D86" s="1">
        <v>45559</v>
      </c>
      <c r="E86" t="s">
        <v>35</v>
      </c>
      <c r="F86" t="s">
        <v>36</v>
      </c>
      <c r="G86" t="s">
        <v>9</v>
      </c>
      <c r="H86">
        <v>200</v>
      </c>
      <c r="I86">
        <f>IF(H86&gt;0,H86,"")</f>
        <v>200</v>
      </c>
      <c r="K86">
        <v>24154.97</v>
      </c>
      <c r="L86">
        <f t="shared" si="6"/>
        <v>200</v>
      </c>
      <c r="M86">
        <f t="shared" si="8"/>
        <v>24154.97</v>
      </c>
      <c r="N86" s="3">
        <f t="shared" si="7"/>
        <v>0</v>
      </c>
      <c r="O86" t="s">
        <v>24</v>
      </c>
      <c r="P86" t="s">
        <v>106</v>
      </c>
    </row>
    <row r="87" spans="1:16" x14ac:dyDescent="0.25">
      <c r="A87">
        <v>85</v>
      </c>
      <c r="B87" t="s">
        <v>88</v>
      </c>
      <c r="C87" t="s">
        <v>89</v>
      </c>
      <c r="D87" s="1">
        <v>45563</v>
      </c>
      <c r="E87" t="s">
        <v>39</v>
      </c>
      <c r="F87" t="s">
        <v>45</v>
      </c>
      <c r="G87" t="s">
        <v>9</v>
      </c>
      <c r="H87">
        <v>-48</v>
      </c>
      <c r="J87">
        <f t="shared" ref="J87:J94" si="9">IF(H87&lt;0,H87,"")</f>
        <v>-48</v>
      </c>
      <c r="K87">
        <v>24106.97</v>
      </c>
      <c r="L87">
        <f t="shared" si="6"/>
        <v>-48</v>
      </c>
      <c r="M87">
        <f t="shared" si="8"/>
        <v>24106.97</v>
      </c>
      <c r="N87" s="3">
        <f t="shared" si="7"/>
        <v>0</v>
      </c>
      <c r="O87" t="s">
        <v>16</v>
      </c>
      <c r="P87" t="s">
        <v>105</v>
      </c>
    </row>
    <row r="88" spans="1:16" x14ac:dyDescent="0.25">
      <c r="A88">
        <v>86</v>
      </c>
      <c r="B88" t="s">
        <v>88</v>
      </c>
      <c r="C88" t="s">
        <v>89</v>
      </c>
      <c r="D88" s="1">
        <v>45563</v>
      </c>
      <c r="E88" t="s">
        <v>46</v>
      </c>
      <c r="F88" t="s">
        <v>47</v>
      </c>
      <c r="G88" t="s">
        <v>48</v>
      </c>
      <c r="H88">
        <v>-1500</v>
      </c>
      <c r="J88">
        <f t="shared" si="9"/>
        <v>-1500</v>
      </c>
      <c r="K88">
        <v>22606.97</v>
      </c>
      <c r="L88">
        <f t="shared" si="6"/>
        <v>-1500</v>
      </c>
      <c r="M88">
        <f t="shared" si="8"/>
        <v>22606.97</v>
      </c>
      <c r="N88" s="3">
        <f t="shared" si="7"/>
        <v>0</v>
      </c>
      <c r="O88" t="s">
        <v>49</v>
      </c>
      <c r="P88" t="s">
        <v>126</v>
      </c>
    </row>
    <row r="89" spans="1:16" x14ac:dyDescent="0.25">
      <c r="A89">
        <v>87</v>
      </c>
      <c r="B89" t="s">
        <v>88</v>
      </c>
      <c r="C89" t="s">
        <v>89</v>
      </c>
      <c r="D89" s="1">
        <v>45565</v>
      </c>
      <c r="E89" t="s">
        <v>41</v>
      </c>
      <c r="F89" t="s">
        <v>42</v>
      </c>
      <c r="G89" t="s">
        <v>19</v>
      </c>
      <c r="H89">
        <v>-5.6</v>
      </c>
      <c r="J89">
        <f t="shared" si="9"/>
        <v>-5.6</v>
      </c>
      <c r="K89">
        <v>22601.37</v>
      </c>
      <c r="L89">
        <f t="shared" si="6"/>
        <v>-5.6</v>
      </c>
      <c r="M89">
        <f t="shared" si="8"/>
        <v>22601.370000000003</v>
      </c>
      <c r="N89" s="3">
        <f t="shared" si="7"/>
        <v>0</v>
      </c>
      <c r="O89" t="s">
        <v>20</v>
      </c>
      <c r="P89" t="s">
        <v>107</v>
      </c>
    </row>
    <row r="90" spans="1:16" x14ac:dyDescent="0.25">
      <c r="A90">
        <v>88</v>
      </c>
      <c r="B90" t="s">
        <v>88</v>
      </c>
      <c r="C90" t="s">
        <v>89</v>
      </c>
      <c r="D90" s="1">
        <v>45566</v>
      </c>
      <c r="E90" t="s">
        <v>43</v>
      </c>
      <c r="F90" t="s">
        <v>44</v>
      </c>
      <c r="G90" t="s">
        <v>15</v>
      </c>
      <c r="H90">
        <v>-316</v>
      </c>
      <c r="J90">
        <f t="shared" si="9"/>
        <v>-316</v>
      </c>
      <c r="K90">
        <v>22285.37</v>
      </c>
      <c r="L90">
        <f t="shared" si="6"/>
        <v>-316</v>
      </c>
      <c r="M90">
        <f t="shared" si="8"/>
        <v>22285.37</v>
      </c>
      <c r="N90" s="3">
        <f t="shared" si="7"/>
        <v>0</v>
      </c>
      <c r="O90" t="s">
        <v>16</v>
      </c>
      <c r="P90" t="s">
        <v>103</v>
      </c>
    </row>
    <row r="91" spans="1:16" x14ac:dyDescent="0.25">
      <c r="A91">
        <v>89</v>
      </c>
      <c r="B91" t="s">
        <v>88</v>
      </c>
      <c r="C91" t="s">
        <v>89</v>
      </c>
      <c r="D91" s="1">
        <v>45566</v>
      </c>
      <c r="E91" t="s">
        <v>14</v>
      </c>
      <c r="F91">
        <v>87201</v>
      </c>
      <c r="G91" t="s">
        <v>15</v>
      </c>
      <c r="H91">
        <v>-72</v>
      </c>
      <c r="J91">
        <f t="shared" si="9"/>
        <v>-72</v>
      </c>
      <c r="K91">
        <v>22213.37</v>
      </c>
      <c r="L91">
        <f t="shared" si="6"/>
        <v>-72</v>
      </c>
      <c r="M91">
        <f t="shared" si="8"/>
        <v>22213.37</v>
      </c>
      <c r="N91" s="3">
        <f t="shared" si="7"/>
        <v>0</v>
      </c>
      <c r="O91" t="s">
        <v>16</v>
      </c>
      <c r="P91" t="s">
        <v>101</v>
      </c>
    </row>
    <row r="92" spans="1:16" x14ac:dyDescent="0.25">
      <c r="A92">
        <v>90</v>
      </c>
      <c r="B92" t="s">
        <v>88</v>
      </c>
      <c r="C92" t="s">
        <v>89</v>
      </c>
      <c r="D92" s="1">
        <v>45566</v>
      </c>
      <c r="E92" t="s">
        <v>7</v>
      </c>
      <c r="F92" t="s">
        <v>8</v>
      </c>
      <c r="G92" t="s">
        <v>9</v>
      </c>
      <c r="H92">
        <v>-1000</v>
      </c>
      <c r="J92">
        <f t="shared" si="9"/>
        <v>-1000</v>
      </c>
      <c r="K92">
        <v>21213.37</v>
      </c>
      <c r="L92">
        <f t="shared" si="6"/>
        <v>-1000</v>
      </c>
      <c r="M92">
        <f t="shared" si="8"/>
        <v>21213.37</v>
      </c>
      <c r="N92" s="3">
        <f t="shared" si="7"/>
        <v>0</v>
      </c>
      <c r="O92" t="s">
        <v>10</v>
      </c>
      <c r="P92" t="s">
        <v>96</v>
      </c>
    </row>
    <row r="93" spans="1:16" x14ac:dyDescent="0.25">
      <c r="A93">
        <v>91</v>
      </c>
      <c r="B93" t="s">
        <v>88</v>
      </c>
      <c r="C93" t="s">
        <v>89</v>
      </c>
      <c r="D93" s="1">
        <v>45573</v>
      </c>
      <c r="E93" t="s">
        <v>41</v>
      </c>
      <c r="F93" t="s">
        <v>42</v>
      </c>
      <c r="G93" t="s">
        <v>19</v>
      </c>
      <c r="H93">
        <v>-2.1</v>
      </c>
      <c r="J93">
        <f t="shared" si="9"/>
        <v>-2.1</v>
      </c>
      <c r="K93">
        <v>21211.27</v>
      </c>
      <c r="L93">
        <f t="shared" si="6"/>
        <v>-2.1</v>
      </c>
      <c r="M93">
        <f t="shared" si="8"/>
        <v>21211.27</v>
      </c>
      <c r="N93" s="3">
        <f t="shared" si="7"/>
        <v>0</v>
      </c>
      <c r="O93" t="s">
        <v>20</v>
      </c>
      <c r="P93" t="s">
        <v>107</v>
      </c>
    </row>
    <row r="94" spans="1:16" x14ac:dyDescent="0.25">
      <c r="A94">
        <v>93</v>
      </c>
      <c r="B94" t="s">
        <v>88</v>
      </c>
      <c r="C94" t="s">
        <v>89</v>
      </c>
      <c r="D94" s="1">
        <v>45574</v>
      </c>
      <c r="E94" t="s">
        <v>7</v>
      </c>
      <c r="F94" t="s">
        <v>25</v>
      </c>
      <c r="G94" t="s">
        <v>9</v>
      </c>
      <c r="H94">
        <v>-3000</v>
      </c>
      <c r="J94">
        <f t="shared" si="9"/>
        <v>-3000</v>
      </c>
      <c r="K94">
        <v>21611.27</v>
      </c>
      <c r="L94">
        <f t="shared" si="6"/>
        <v>-3000</v>
      </c>
      <c r="M94">
        <f t="shared" si="8"/>
        <v>18211.27</v>
      </c>
      <c r="N94" s="3">
        <f t="shared" si="7"/>
        <v>3400</v>
      </c>
      <c r="O94" t="s">
        <v>26</v>
      </c>
      <c r="P94" t="s">
        <v>98</v>
      </c>
    </row>
    <row r="95" spans="1:16" x14ac:dyDescent="0.25">
      <c r="A95">
        <v>92</v>
      </c>
      <c r="B95" t="s">
        <v>88</v>
      </c>
      <c r="C95" t="s">
        <v>89</v>
      </c>
      <c r="D95" s="1">
        <v>45574</v>
      </c>
      <c r="E95" t="s">
        <v>21</v>
      </c>
      <c r="F95" t="s">
        <v>22</v>
      </c>
      <c r="G95" t="s">
        <v>23</v>
      </c>
      <c r="H95">
        <v>3400</v>
      </c>
      <c r="I95">
        <f>IF(H95&gt;0,H95,"")</f>
        <v>3400</v>
      </c>
      <c r="K95">
        <v>24611.27</v>
      </c>
      <c r="L95">
        <f t="shared" si="6"/>
        <v>3400</v>
      </c>
      <c r="M95">
        <f t="shared" si="8"/>
        <v>25011.27</v>
      </c>
      <c r="N95" s="3">
        <f t="shared" si="7"/>
        <v>-400</v>
      </c>
      <c r="O95" t="s">
        <v>24</v>
      </c>
      <c r="P95" t="s">
        <v>106</v>
      </c>
    </row>
    <row r="96" spans="1:16" x14ac:dyDescent="0.25">
      <c r="A96">
        <v>94</v>
      </c>
      <c r="B96" t="s">
        <v>88</v>
      </c>
      <c r="C96" t="s">
        <v>89</v>
      </c>
      <c r="D96" s="1">
        <v>45579</v>
      </c>
      <c r="E96" t="s">
        <v>21</v>
      </c>
      <c r="F96" t="s">
        <v>22</v>
      </c>
      <c r="G96" t="s">
        <v>23</v>
      </c>
      <c r="H96">
        <v>1275</v>
      </c>
      <c r="I96">
        <f>IF(H96&gt;0,H96,"")</f>
        <v>1275</v>
      </c>
      <c r="K96">
        <v>22886.27</v>
      </c>
      <c r="L96">
        <f t="shared" si="6"/>
        <v>1275</v>
      </c>
      <c r="M96">
        <f t="shared" si="8"/>
        <v>25886.27</v>
      </c>
      <c r="N96" s="3">
        <f t="shared" si="7"/>
        <v>-3000</v>
      </c>
      <c r="O96" t="s">
        <v>24</v>
      </c>
      <c r="P96" t="s">
        <v>106</v>
      </c>
    </row>
    <row r="97" spans="1:16" x14ac:dyDescent="0.25">
      <c r="A97">
        <v>95</v>
      </c>
      <c r="B97" t="s">
        <v>88</v>
      </c>
      <c r="C97" t="s">
        <v>89</v>
      </c>
      <c r="D97" s="1">
        <v>45579</v>
      </c>
      <c r="E97" t="s">
        <v>50</v>
      </c>
      <c r="F97" t="s">
        <v>51</v>
      </c>
      <c r="G97" t="s">
        <v>9</v>
      </c>
      <c r="H97">
        <v>900</v>
      </c>
      <c r="I97">
        <f>IF(H97&gt;0,H97,"")</f>
        <v>900</v>
      </c>
      <c r="K97">
        <v>23786.27</v>
      </c>
      <c r="L97">
        <f t="shared" si="6"/>
        <v>900</v>
      </c>
      <c r="M97">
        <f t="shared" si="8"/>
        <v>23786.27</v>
      </c>
      <c r="N97" s="3">
        <f t="shared" si="7"/>
        <v>0</v>
      </c>
      <c r="O97" t="s">
        <v>24</v>
      </c>
      <c r="P97" t="s">
        <v>106</v>
      </c>
    </row>
    <row r="98" spans="1:16" x14ac:dyDescent="0.25">
      <c r="A98">
        <v>96</v>
      </c>
      <c r="B98" t="s">
        <v>88</v>
      </c>
      <c r="C98" t="s">
        <v>89</v>
      </c>
      <c r="D98" s="1">
        <v>45580</v>
      </c>
      <c r="E98" t="s">
        <v>57</v>
      </c>
      <c r="F98" t="s">
        <v>58</v>
      </c>
      <c r="G98" t="s">
        <v>48</v>
      </c>
      <c r="H98">
        <v>-428.77</v>
      </c>
      <c r="J98">
        <f>IF(H98&lt;0,H98,"")</f>
        <v>-428.77</v>
      </c>
      <c r="K98">
        <v>23357.5</v>
      </c>
      <c r="L98">
        <f t="shared" si="6"/>
        <v>-428.77</v>
      </c>
      <c r="M98">
        <f t="shared" si="8"/>
        <v>23357.5</v>
      </c>
      <c r="N98" s="3">
        <f t="shared" si="7"/>
        <v>0</v>
      </c>
      <c r="O98" t="s">
        <v>59</v>
      </c>
      <c r="P98" t="s">
        <v>124</v>
      </c>
    </row>
    <row r="99" spans="1:16" x14ac:dyDescent="0.25">
      <c r="A99">
        <v>97</v>
      </c>
      <c r="B99" t="s">
        <v>88</v>
      </c>
      <c r="C99" t="s">
        <v>89</v>
      </c>
      <c r="D99" s="1">
        <v>45581</v>
      </c>
      <c r="E99" t="s">
        <v>60</v>
      </c>
      <c r="F99" t="s">
        <v>61</v>
      </c>
      <c r="G99" t="s">
        <v>19</v>
      </c>
      <c r="H99">
        <v>-16.2</v>
      </c>
      <c r="J99">
        <f>IF(H99&lt;0,H99,"")</f>
        <v>-16.2</v>
      </c>
      <c r="K99">
        <v>23341.3</v>
      </c>
      <c r="L99">
        <f t="shared" ref="L99:L130" si="10">I99+J99</f>
        <v>-16.2</v>
      </c>
      <c r="M99">
        <f t="shared" si="8"/>
        <v>23341.3</v>
      </c>
      <c r="N99" s="3">
        <f t="shared" ref="N99:N130" si="11">K99-M99</f>
        <v>0</v>
      </c>
      <c r="O99" t="s">
        <v>28</v>
      </c>
      <c r="P99" t="s">
        <v>100</v>
      </c>
    </row>
    <row r="100" spans="1:16" x14ac:dyDescent="0.25">
      <c r="A100">
        <v>98</v>
      </c>
      <c r="B100" t="s">
        <v>88</v>
      </c>
      <c r="C100" t="s">
        <v>89</v>
      </c>
      <c r="D100" s="1">
        <v>45582</v>
      </c>
      <c r="E100" t="s">
        <v>41</v>
      </c>
      <c r="F100" t="s">
        <v>42</v>
      </c>
      <c r="G100" t="s">
        <v>19</v>
      </c>
      <c r="H100">
        <v>-6.1</v>
      </c>
      <c r="J100">
        <f>IF(H100&lt;0,H100,"")</f>
        <v>-6.1</v>
      </c>
      <c r="K100">
        <v>23335.200000000001</v>
      </c>
      <c r="L100">
        <f t="shared" si="10"/>
        <v>-6.1</v>
      </c>
      <c r="M100">
        <f t="shared" si="8"/>
        <v>23335.200000000001</v>
      </c>
      <c r="N100" s="3">
        <f t="shared" si="11"/>
        <v>0</v>
      </c>
      <c r="O100" t="s">
        <v>20</v>
      </c>
      <c r="P100" t="s">
        <v>107</v>
      </c>
    </row>
    <row r="101" spans="1:16" x14ac:dyDescent="0.25">
      <c r="A101">
        <v>100</v>
      </c>
      <c r="B101" t="s">
        <v>88</v>
      </c>
      <c r="C101" t="s">
        <v>89</v>
      </c>
      <c r="D101" s="1">
        <v>45593</v>
      </c>
      <c r="E101" t="s">
        <v>35</v>
      </c>
      <c r="F101" t="s">
        <v>36</v>
      </c>
      <c r="G101" t="s">
        <v>9</v>
      </c>
      <c r="H101">
        <v>600</v>
      </c>
      <c r="I101">
        <f>IF(H101&gt;0,H101,"")</f>
        <v>600</v>
      </c>
      <c r="K101">
        <v>23887.200000000001</v>
      </c>
      <c r="L101">
        <f t="shared" si="10"/>
        <v>600</v>
      </c>
      <c r="M101">
        <f t="shared" si="8"/>
        <v>23935.200000000001</v>
      </c>
      <c r="N101" s="3">
        <f t="shared" si="11"/>
        <v>-48</v>
      </c>
      <c r="O101" t="s">
        <v>24</v>
      </c>
      <c r="P101" t="s">
        <v>106</v>
      </c>
    </row>
    <row r="102" spans="1:16" x14ac:dyDescent="0.25">
      <c r="A102">
        <v>99</v>
      </c>
      <c r="B102" t="s">
        <v>88</v>
      </c>
      <c r="C102" t="s">
        <v>89</v>
      </c>
      <c r="D102" s="1">
        <v>45593</v>
      </c>
      <c r="E102" t="s">
        <v>39</v>
      </c>
      <c r="F102" t="s">
        <v>45</v>
      </c>
      <c r="G102" t="s">
        <v>9</v>
      </c>
      <c r="H102">
        <v>-48</v>
      </c>
      <c r="J102">
        <f>IF(H102&lt;0,H102,"")</f>
        <v>-48</v>
      </c>
      <c r="K102">
        <v>23287.200000000001</v>
      </c>
      <c r="L102">
        <f t="shared" si="10"/>
        <v>-48</v>
      </c>
      <c r="M102">
        <f t="shared" si="8"/>
        <v>23839.200000000001</v>
      </c>
      <c r="N102" s="3">
        <f t="shared" si="11"/>
        <v>-552</v>
      </c>
      <c r="O102" t="s">
        <v>16</v>
      </c>
      <c r="P102" t="s">
        <v>105</v>
      </c>
    </row>
    <row r="103" spans="1:16" x14ac:dyDescent="0.25">
      <c r="A103">
        <v>101</v>
      </c>
      <c r="B103" t="s">
        <v>88</v>
      </c>
      <c r="C103" t="s">
        <v>89</v>
      </c>
      <c r="D103" s="1">
        <v>45597</v>
      </c>
      <c r="E103" t="s">
        <v>7</v>
      </c>
      <c r="F103" t="s">
        <v>8</v>
      </c>
      <c r="G103" t="s">
        <v>9</v>
      </c>
      <c r="H103">
        <v>-1000</v>
      </c>
      <c r="J103">
        <f>IF(H103&lt;0,H103,"")</f>
        <v>-1000</v>
      </c>
      <c r="K103">
        <v>22887.200000000001</v>
      </c>
      <c r="L103">
        <f t="shared" si="10"/>
        <v>-1000</v>
      </c>
      <c r="M103">
        <f t="shared" si="8"/>
        <v>22287.200000000001</v>
      </c>
      <c r="N103" s="3">
        <f t="shared" si="11"/>
        <v>600</v>
      </c>
      <c r="O103" t="s">
        <v>10</v>
      </c>
      <c r="P103" t="s">
        <v>96</v>
      </c>
    </row>
    <row r="104" spans="1:16" x14ac:dyDescent="0.25">
      <c r="A104">
        <v>102</v>
      </c>
      <c r="B104" t="s">
        <v>88</v>
      </c>
      <c r="C104" t="s">
        <v>89</v>
      </c>
      <c r="D104" s="1">
        <v>45602</v>
      </c>
      <c r="E104" t="s">
        <v>21</v>
      </c>
      <c r="F104" t="s">
        <v>22</v>
      </c>
      <c r="G104" t="s">
        <v>23</v>
      </c>
      <c r="H104">
        <v>5100</v>
      </c>
      <c r="I104">
        <f>IF(H104&gt;0,H104,"")</f>
        <v>5100</v>
      </c>
      <c r="K104">
        <v>27987.200000000001</v>
      </c>
      <c r="L104">
        <f t="shared" si="10"/>
        <v>5100</v>
      </c>
      <c r="M104">
        <f t="shared" si="8"/>
        <v>27987.200000000001</v>
      </c>
      <c r="N104" s="3">
        <f t="shared" si="11"/>
        <v>0</v>
      </c>
      <c r="O104" t="s">
        <v>24</v>
      </c>
      <c r="P104" t="s">
        <v>106</v>
      </c>
    </row>
    <row r="105" spans="1:16" x14ac:dyDescent="0.25">
      <c r="A105">
        <v>103</v>
      </c>
      <c r="B105" t="s">
        <v>88</v>
      </c>
      <c r="C105" t="s">
        <v>89</v>
      </c>
      <c r="D105" s="1">
        <v>45618</v>
      </c>
      <c r="E105" t="s">
        <v>21</v>
      </c>
      <c r="F105" t="s">
        <v>22</v>
      </c>
      <c r="G105" t="s">
        <v>23</v>
      </c>
      <c r="H105">
        <v>1700</v>
      </c>
      <c r="I105">
        <f>IF(H105&gt;0,H105,"")</f>
        <v>1700</v>
      </c>
      <c r="K105">
        <v>29687.200000000001</v>
      </c>
      <c r="L105">
        <f t="shared" si="10"/>
        <v>1700</v>
      </c>
      <c r="M105">
        <f t="shared" si="8"/>
        <v>29687.200000000001</v>
      </c>
      <c r="N105" s="3">
        <f t="shared" si="11"/>
        <v>0</v>
      </c>
      <c r="O105" t="s">
        <v>24</v>
      </c>
      <c r="P105" t="s">
        <v>106</v>
      </c>
    </row>
    <row r="106" spans="1:16" x14ac:dyDescent="0.25">
      <c r="A106">
        <v>104</v>
      </c>
      <c r="B106" t="s">
        <v>88</v>
      </c>
      <c r="C106" t="s">
        <v>89</v>
      </c>
      <c r="D106" s="1">
        <v>45620</v>
      </c>
      <c r="E106" t="s">
        <v>41</v>
      </c>
      <c r="F106" t="s">
        <v>42</v>
      </c>
      <c r="G106" t="s">
        <v>19</v>
      </c>
      <c r="H106">
        <v>-2.1</v>
      </c>
      <c r="J106">
        <f>IF(H106&lt;0,H106,"")</f>
        <v>-2.1</v>
      </c>
      <c r="K106">
        <v>29685.1</v>
      </c>
      <c r="L106">
        <f t="shared" si="10"/>
        <v>-2.1</v>
      </c>
      <c r="M106">
        <f t="shared" si="8"/>
        <v>29685.100000000002</v>
      </c>
      <c r="N106" s="3">
        <f t="shared" si="11"/>
        <v>0</v>
      </c>
      <c r="O106" t="s">
        <v>20</v>
      </c>
      <c r="P106" t="s">
        <v>107</v>
      </c>
    </row>
    <row r="107" spans="1:16" x14ac:dyDescent="0.25">
      <c r="A107">
        <v>105</v>
      </c>
      <c r="B107" t="s">
        <v>88</v>
      </c>
      <c r="C107" t="s">
        <v>89</v>
      </c>
      <c r="D107" s="1">
        <v>45622</v>
      </c>
      <c r="E107" t="s">
        <v>35</v>
      </c>
      <c r="F107" t="s">
        <v>36</v>
      </c>
      <c r="G107" t="s">
        <v>9</v>
      </c>
      <c r="H107">
        <v>600</v>
      </c>
      <c r="I107">
        <f>IF(H107&gt;0,H107,"")</f>
        <v>600</v>
      </c>
      <c r="K107">
        <v>30285.1</v>
      </c>
      <c r="L107">
        <f t="shared" si="10"/>
        <v>600</v>
      </c>
      <c r="M107">
        <f t="shared" si="8"/>
        <v>30285.1</v>
      </c>
      <c r="N107" s="3">
        <f t="shared" si="11"/>
        <v>0</v>
      </c>
      <c r="O107" t="s">
        <v>24</v>
      </c>
      <c r="P107" t="s">
        <v>106</v>
      </c>
    </row>
    <row r="108" spans="1:16" x14ac:dyDescent="0.25">
      <c r="A108">
        <v>106</v>
      </c>
      <c r="B108" t="s">
        <v>88</v>
      </c>
      <c r="C108" t="s">
        <v>89</v>
      </c>
      <c r="D108" s="1">
        <v>45622</v>
      </c>
      <c r="E108" t="s">
        <v>62</v>
      </c>
      <c r="F108" t="s">
        <v>25</v>
      </c>
      <c r="G108" t="s">
        <v>9</v>
      </c>
      <c r="H108">
        <v>-1500</v>
      </c>
      <c r="J108">
        <f>IF(H108&lt;0,H108,"")</f>
        <v>-1500</v>
      </c>
      <c r="K108">
        <v>28785.1</v>
      </c>
      <c r="L108">
        <f t="shared" si="10"/>
        <v>-1500</v>
      </c>
      <c r="M108">
        <f t="shared" si="8"/>
        <v>28785.1</v>
      </c>
      <c r="N108" s="3">
        <f t="shared" si="11"/>
        <v>0</v>
      </c>
      <c r="O108" t="s">
        <v>26</v>
      </c>
      <c r="P108" t="s">
        <v>98</v>
      </c>
    </row>
    <row r="109" spans="1:16" x14ac:dyDescent="0.25">
      <c r="A109">
        <v>107</v>
      </c>
      <c r="B109" t="s">
        <v>88</v>
      </c>
      <c r="C109" t="s">
        <v>89</v>
      </c>
      <c r="D109" s="1">
        <v>45623</v>
      </c>
      <c r="E109" t="s">
        <v>7</v>
      </c>
      <c r="F109" t="s">
        <v>25</v>
      </c>
      <c r="G109" t="s">
        <v>9</v>
      </c>
      <c r="H109">
        <v>-1500</v>
      </c>
      <c r="J109">
        <f>IF(H109&lt;0,H109,"")</f>
        <v>-1500</v>
      </c>
      <c r="K109">
        <v>27285.1</v>
      </c>
      <c r="L109">
        <f t="shared" si="10"/>
        <v>-1500</v>
      </c>
      <c r="M109">
        <f t="shared" si="8"/>
        <v>27285.1</v>
      </c>
      <c r="N109" s="3">
        <f t="shared" si="11"/>
        <v>0</v>
      </c>
      <c r="O109" t="s">
        <v>26</v>
      </c>
      <c r="P109" t="s">
        <v>98</v>
      </c>
    </row>
    <row r="110" spans="1:16" x14ac:dyDescent="0.25">
      <c r="A110">
        <v>108</v>
      </c>
      <c r="B110" t="s">
        <v>88</v>
      </c>
      <c r="C110" t="s">
        <v>89</v>
      </c>
      <c r="D110" s="1">
        <v>45624</v>
      </c>
      <c r="E110" t="s">
        <v>39</v>
      </c>
      <c r="F110" t="s">
        <v>45</v>
      </c>
      <c r="G110" t="s">
        <v>9</v>
      </c>
      <c r="H110">
        <v>-48</v>
      </c>
      <c r="J110">
        <f>IF(H110&lt;0,H110,"")</f>
        <v>-48</v>
      </c>
      <c r="K110">
        <v>27237.1</v>
      </c>
      <c r="L110">
        <f t="shared" si="10"/>
        <v>-48</v>
      </c>
      <c r="M110">
        <f t="shared" si="8"/>
        <v>27237.1</v>
      </c>
      <c r="N110" s="3">
        <f t="shared" si="11"/>
        <v>0</v>
      </c>
      <c r="O110" t="s">
        <v>16</v>
      </c>
      <c r="P110" t="s">
        <v>105</v>
      </c>
    </row>
    <row r="111" spans="1:16" x14ac:dyDescent="0.25">
      <c r="A111">
        <v>109</v>
      </c>
      <c r="B111" t="s">
        <v>88</v>
      </c>
      <c r="C111" t="s">
        <v>89</v>
      </c>
      <c r="D111" s="1">
        <v>45624</v>
      </c>
      <c r="E111" t="s">
        <v>50</v>
      </c>
      <c r="F111" t="s">
        <v>51</v>
      </c>
      <c r="G111" t="s">
        <v>9</v>
      </c>
      <c r="H111">
        <v>900</v>
      </c>
      <c r="I111">
        <f>IF(H111&gt;0,H111,"")</f>
        <v>900</v>
      </c>
      <c r="K111">
        <v>28137.1</v>
      </c>
      <c r="L111">
        <f t="shared" si="10"/>
        <v>900</v>
      </c>
      <c r="M111">
        <f t="shared" si="8"/>
        <v>28137.1</v>
      </c>
      <c r="N111" s="3">
        <f t="shared" si="11"/>
        <v>0</v>
      </c>
      <c r="O111" t="s">
        <v>24</v>
      </c>
      <c r="P111" t="s">
        <v>106</v>
      </c>
    </row>
    <row r="112" spans="1:16" x14ac:dyDescent="0.25">
      <c r="A112">
        <v>110</v>
      </c>
      <c r="B112" t="s">
        <v>88</v>
      </c>
      <c r="C112" t="s">
        <v>89</v>
      </c>
      <c r="D112" s="1">
        <v>45627</v>
      </c>
      <c r="E112" t="s">
        <v>62</v>
      </c>
      <c r="F112" t="s">
        <v>63</v>
      </c>
      <c r="G112" t="s">
        <v>9</v>
      </c>
      <c r="H112">
        <v>-1000</v>
      </c>
      <c r="J112">
        <f>IF(H112&lt;0,H112,"")</f>
        <v>-1000</v>
      </c>
      <c r="K112">
        <v>27137.1</v>
      </c>
      <c r="L112">
        <f t="shared" si="10"/>
        <v>-1000</v>
      </c>
      <c r="M112">
        <f t="shared" si="8"/>
        <v>27137.1</v>
      </c>
      <c r="N112" s="3">
        <f t="shared" si="11"/>
        <v>0</v>
      </c>
      <c r="O112" t="s">
        <v>10</v>
      </c>
      <c r="P112" t="s">
        <v>96</v>
      </c>
    </row>
    <row r="113" spans="1:16" x14ac:dyDescent="0.25">
      <c r="A113">
        <v>111</v>
      </c>
      <c r="B113" t="s">
        <v>88</v>
      </c>
      <c r="C113" t="s">
        <v>89</v>
      </c>
      <c r="D113" s="1">
        <v>45628</v>
      </c>
      <c r="E113" t="s">
        <v>64</v>
      </c>
      <c r="F113" t="s">
        <v>64</v>
      </c>
      <c r="G113" t="s">
        <v>48</v>
      </c>
      <c r="H113">
        <v>-59</v>
      </c>
      <c r="J113">
        <f>IF(H113&lt;0,H113,"")</f>
        <v>-59</v>
      </c>
      <c r="K113">
        <v>27078.1</v>
      </c>
      <c r="L113">
        <f t="shared" si="10"/>
        <v>-59</v>
      </c>
      <c r="M113">
        <f t="shared" si="8"/>
        <v>27078.1</v>
      </c>
      <c r="N113" s="3">
        <f t="shared" si="11"/>
        <v>0</v>
      </c>
      <c r="O113" t="s">
        <v>20</v>
      </c>
      <c r="P113" t="s">
        <v>107</v>
      </c>
    </row>
    <row r="114" spans="1:16" x14ac:dyDescent="0.25">
      <c r="A114">
        <v>112</v>
      </c>
      <c r="B114" t="s">
        <v>88</v>
      </c>
      <c r="C114" t="s">
        <v>89</v>
      </c>
      <c r="D114" s="1">
        <v>45635</v>
      </c>
      <c r="E114" t="s">
        <v>41</v>
      </c>
      <c r="F114" t="s">
        <v>42</v>
      </c>
      <c r="G114" t="s">
        <v>19</v>
      </c>
      <c r="H114">
        <v>-5.6</v>
      </c>
      <c r="J114">
        <f>IF(H114&lt;0,H114,"")</f>
        <v>-5.6</v>
      </c>
      <c r="K114">
        <v>27072.5</v>
      </c>
      <c r="L114">
        <f t="shared" si="10"/>
        <v>-5.6</v>
      </c>
      <c r="M114">
        <f t="shared" si="8"/>
        <v>27072.5</v>
      </c>
      <c r="N114" s="3">
        <f t="shared" si="11"/>
        <v>0</v>
      </c>
      <c r="O114" t="s">
        <v>20</v>
      </c>
      <c r="P114" t="s">
        <v>107</v>
      </c>
    </row>
    <row r="115" spans="1:16" x14ac:dyDescent="0.25">
      <c r="A115">
        <v>113</v>
      </c>
      <c r="B115" t="s">
        <v>88</v>
      </c>
      <c r="C115" t="s">
        <v>89</v>
      </c>
      <c r="D115" s="1">
        <v>45637</v>
      </c>
      <c r="E115" t="s">
        <v>21</v>
      </c>
      <c r="F115" t="s">
        <v>22</v>
      </c>
      <c r="G115" t="s">
        <v>23</v>
      </c>
      <c r="H115">
        <v>3825</v>
      </c>
      <c r="I115">
        <f>IF(H115&gt;0,H115,"")</f>
        <v>3825</v>
      </c>
      <c r="K115">
        <v>30897.5</v>
      </c>
      <c r="L115">
        <f t="shared" si="10"/>
        <v>3825</v>
      </c>
      <c r="M115">
        <f t="shared" si="8"/>
        <v>30897.5</v>
      </c>
      <c r="N115" s="3">
        <f t="shared" si="11"/>
        <v>0</v>
      </c>
      <c r="O115" t="s">
        <v>24</v>
      </c>
      <c r="P115" t="s">
        <v>106</v>
      </c>
    </row>
    <row r="116" spans="1:16" x14ac:dyDescent="0.25">
      <c r="A116">
        <v>114</v>
      </c>
      <c r="B116" t="s">
        <v>88</v>
      </c>
      <c r="C116" t="s">
        <v>89</v>
      </c>
      <c r="D116" s="1">
        <v>45638</v>
      </c>
      <c r="E116" t="s">
        <v>50</v>
      </c>
      <c r="F116" t="s">
        <v>51</v>
      </c>
      <c r="G116" t="s">
        <v>9</v>
      </c>
      <c r="H116">
        <v>900</v>
      </c>
      <c r="I116">
        <f>IF(H116&gt;0,H116,"")</f>
        <v>900</v>
      </c>
      <c r="K116">
        <v>31797.5</v>
      </c>
      <c r="L116">
        <f t="shared" si="10"/>
        <v>900</v>
      </c>
      <c r="M116">
        <f t="shared" si="8"/>
        <v>31797.5</v>
      </c>
      <c r="N116" s="3">
        <f t="shared" si="11"/>
        <v>0</v>
      </c>
      <c r="O116" t="s">
        <v>24</v>
      </c>
      <c r="P116" t="s">
        <v>106</v>
      </c>
    </row>
    <row r="117" spans="1:16" x14ac:dyDescent="0.25">
      <c r="A117">
        <v>115</v>
      </c>
      <c r="B117" t="s">
        <v>88</v>
      </c>
      <c r="C117" t="s">
        <v>89</v>
      </c>
      <c r="D117" s="1">
        <v>45639</v>
      </c>
      <c r="E117" t="s">
        <v>21</v>
      </c>
      <c r="F117" t="s">
        <v>22</v>
      </c>
      <c r="G117" t="s">
        <v>23</v>
      </c>
      <c r="H117">
        <v>1275</v>
      </c>
      <c r="I117">
        <f>IF(H117&gt;0,H117,"")</f>
        <v>1275</v>
      </c>
      <c r="K117">
        <v>33072.5</v>
      </c>
      <c r="L117">
        <f t="shared" si="10"/>
        <v>1275</v>
      </c>
      <c r="M117">
        <f t="shared" si="8"/>
        <v>33072.5</v>
      </c>
      <c r="N117" s="3">
        <f t="shared" si="11"/>
        <v>0</v>
      </c>
      <c r="O117" t="s">
        <v>24</v>
      </c>
      <c r="P117" t="s">
        <v>106</v>
      </c>
    </row>
    <row r="118" spans="1:16" x14ac:dyDescent="0.25">
      <c r="A118">
        <v>116</v>
      </c>
      <c r="B118" t="s">
        <v>88</v>
      </c>
      <c r="C118" t="s">
        <v>89</v>
      </c>
      <c r="D118" s="1">
        <v>45640</v>
      </c>
      <c r="E118" t="s">
        <v>65</v>
      </c>
      <c r="F118" t="s">
        <v>66</v>
      </c>
      <c r="G118" t="s">
        <v>19</v>
      </c>
      <c r="H118">
        <v>-57.4</v>
      </c>
      <c r="J118">
        <f>IF(H118&lt;0,H118,"")</f>
        <v>-57.4</v>
      </c>
      <c r="K118">
        <v>33015.1</v>
      </c>
      <c r="L118">
        <f t="shared" si="10"/>
        <v>-57.4</v>
      </c>
      <c r="M118">
        <f t="shared" si="8"/>
        <v>33015.1</v>
      </c>
      <c r="N118" s="3">
        <f t="shared" si="11"/>
        <v>0</v>
      </c>
      <c r="O118" t="s">
        <v>28</v>
      </c>
      <c r="P118" t="s">
        <v>125</v>
      </c>
    </row>
    <row r="119" spans="1:16" x14ac:dyDescent="0.25">
      <c r="A119">
        <v>118</v>
      </c>
      <c r="B119" t="s">
        <v>88</v>
      </c>
      <c r="C119" t="s">
        <v>89</v>
      </c>
      <c r="D119" s="1">
        <v>45645</v>
      </c>
      <c r="E119" t="s">
        <v>35</v>
      </c>
      <c r="F119" t="s">
        <v>36</v>
      </c>
      <c r="G119" t="s">
        <v>9</v>
      </c>
      <c r="H119">
        <v>600</v>
      </c>
      <c r="I119">
        <f>IF(H119&gt;0,H119,"")</f>
        <v>600</v>
      </c>
      <c r="K119">
        <v>33581.1</v>
      </c>
      <c r="L119">
        <f t="shared" si="10"/>
        <v>600</v>
      </c>
      <c r="M119">
        <f t="shared" si="8"/>
        <v>33615.1</v>
      </c>
      <c r="N119" s="3">
        <f t="shared" si="11"/>
        <v>-34</v>
      </c>
      <c r="O119" t="s">
        <v>24</v>
      </c>
      <c r="P119" t="s">
        <v>106</v>
      </c>
    </row>
    <row r="120" spans="1:16" x14ac:dyDescent="0.25">
      <c r="A120">
        <v>117</v>
      </c>
      <c r="B120" t="s">
        <v>88</v>
      </c>
      <c r="C120" t="s">
        <v>89</v>
      </c>
      <c r="D120" s="1">
        <v>45645</v>
      </c>
      <c r="E120" t="s">
        <v>67</v>
      </c>
      <c r="F120" t="s">
        <v>68</v>
      </c>
      <c r="G120" t="s">
        <v>48</v>
      </c>
      <c r="H120">
        <v>-34</v>
      </c>
      <c r="J120">
        <f t="shared" ref="J120:J127" si="12">IF(H120&lt;0,H120,"")</f>
        <v>-34</v>
      </c>
      <c r="K120">
        <v>32981.1</v>
      </c>
      <c r="L120">
        <f t="shared" si="10"/>
        <v>-34</v>
      </c>
      <c r="M120">
        <f t="shared" si="8"/>
        <v>33547.1</v>
      </c>
      <c r="N120" s="3">
        <f t="shared" si="11"/>
        <v>-566</v>
      </c>
      <c r="O120" t="s">
        <v>16</v>
      </c>
      <c r="P120" t="s">
        <v>102</v>
      </c>
    </row>
    <row r="121" spans="1:16" x14ac:dyDescent="0.25">
      <c r="A121">
        <v>119</v>
      </c>
      <c r="B121" t="s">
        <v>88</v>
      </c>
      <c r="C121" t="s">
        <v>89</v>
      </c>
      <c r="D121" s="1">
        <v>45646</v>
      </c>
      <c r="E121" t="s">
        <v>41</v>
      </c>
      <c r="F121" t="s">
        <v>42</v>
      </c>
      <c r="G121" t="s">
        <v>19</v>
      </c>
      <c r="H121">
        <v>-1.1000000000000001</v>
      </c>
      <c r="J121">
        <f t="shared" si="12"/>
        <v>-1.1000000000000001</v>
      </c>
      <c r="K121">
        <v>33580</v>
      </c>
      <c r="L121">
        <f t="shared" si="10"/>
        <v>-1.1000000000000001</v>
      </c>
      <c r="M121">
        <f t="shared" si="8"/>
        <v>32980</v>
      </c>
      <c r="N121" s="3">
        <f t="shared" si="11"/>
        <v>600</v>
      </c>
      <c r="O121" t="s">
        <v>20</v>
      </c>
      <c r="P121" t="s">
        <v>107</v>
      </c>
    </row>
    <row r="122" spans="1:16" x14ac:dyDescent="0.25">
      <c r="A122">
        <v>120</v>
      </c>
      <c r="B122" t="s">
        <v>88</v>
      </c>
      <c r="C122" t="s">
        <v>89</v>
      </c>
      <c r="D122" s="1">
        <v>45646</v>
      </c>
      <c r="E122" t="s">
        <v>41</v>
      </c>
      <c r="F122" t="s">
        <v>42</v>
      </c>
      <c r="G122" t="s">
        <v>19</v>
      </c>
      <c r="H122">
        <v>-1.6</v>
      </c>
      <c r="J122">
        <f t="shared" si="12"/>
        <v>-1.6</v>
      </c>
      <c r="K122">
        <v>33578.400000000001</v>
      </c>
      <c r="L122">
        <f t="shared" si="10"/>
        <v>-1.6</v>
      </c>
      <c r="M122">
        <f t="shared" si="8"/>
        <v>33578.400000000001</v>
      </c>
      <c r="N122" s="3">
        <f t="shared" si="11"/>
        <v>0</v>
      </c>
      <c r="O122" t="s">
        <v>20</v>
      </c>
      <c r="P122" t="s">
        <v>107</v>
      </c>
    </row>
    <row r="123" spans="1:16" x14ac:dyDescent="0.25">
      <c r="A123">
        <v>121</v>
      </c>
      <c r="B123" t="s">
        <v>88</v>
      </c>
      <c r="C123" t="s">
        <v>89</v>
      </c>
      <c r="D123" s="1">
        <v>45648</v>
      </c>
      <c r="E123" t="s">
        <v>46</v>
      </c>
      <c r="F123" t="s">
        <v>47</v>
      </c>
      <c r="G123" t="s">
        <v>48</v>
      </c>
      <c r="H123">
        <v>-1500</v>
      </c>
      <c r="J123">
        <f t="shared" si="12"/>
        <v>-1500</v>
      </c>
      <c r="K123">
        <v>32078.400000000001</v>
      </c>
      <c r="L123">
        <f t="shared" si="10"/>
        <v>-1500</v>
      </c>
      <c r="M123">
        <f t="shared" si="8"/>
        <v>32078.400000000001</v>
      </c>
      <c r="N123" s="3">
        <f t="shared" si="11"/>
        <v>0</v>
      </c>
      <c r="O123" t="s">
        <v>49</v>
      </c>
      <c r="P123" t="s">
        <v>126</v>
      </c>
    </row>
    <row r="124" spans="1:16" x14ac:dyDescent="0.25">
      <c r="A124">
        <v>122</v>
      </c>
      <c r="B124" t="s">
        <v>88</v>
      </c>
      <c r="C124" t="s">
        <v>89</v>
      </c>
      <c r="D124" s="1">
        <v>45650</v>
      </c>
      <c r="E124" t="s">
        <v>69</v>
      </c>
      <c r="F124" t="s">
        <v>70</v>
      </c>
      <c r="G124" t="s">
        <v>48</v>
      </c>
      <c r="H124">
        <v>-17.2</v>
      </c>
      <c r="J124">
        <f t="shared" si="12"/>
        <v>-17.2</v>
      </c>
      <c r="K124">
        <v>32061.200000000001</v>
      </c>
      <c r="L124">
        <f t="shared" si="10"/>
        <v>-17.2</v>
      </c>
      <c r="M124">
        <f t="shared" si="8"/>
        <v>32061.200000000001</v>
      </c>
      <c r="N124" s="3">
        <f t="shared" si="11"/>
        <v>0</v>
      </c>
      <c r="O124" t="s">
        <v>71</v>
      </c>
      <c r="P124" t="s">
        <v>128</v>
      </c>
    </row>
    <row r="125" spans="1:16" x14ac:dyDescent="0.25">
      <c r="A125">
        <v>123</v>
      </c>
      <c r="B125" t="s">
        <v>88</v>
      </c>
      <c r="C125" t="s">
        <v>89</v>
      </c>
      <c r="D125" s="1">
        <v>45653</v>
      </c>
      <c r="E125" t="s">
        <v>72</v>
      </c>
      <c r="F125" t="s">
        <v>73</v>
      </c>
      <c r="G125" t="s">
        <v>74</v>
      </c>
      <c r="H125">
        <v>-16</v>
      </c>
      <c r="J125">
        <f t="shared" si="12"/>
        <v>-16</v>
      </c>
      <c r="K125">
        <v>32045.200000000001</v>
      </c>
      <c r="L125">
        <f t="shared" si="10"/>
        <v>-16</v>
      </c>
      <c r="M125">
        <f t="shared" si="8"/>
        <v>32045.200000000001</v>
      </c>
      <c r="N125" s="3">
        <f t="shared" si="11"/>
        <v>0</v>
      </c>
      <c r="O125" t="s">
        <v>16</v>
      </c>
      <c r="P125" t="s">
        <v>102</v>
      </c>
    </row>
    <row r="126" spans="1:16" x14ac:dyDescent="0.25">
      <c r="A126">
        <v>124</v>
      </c>
      <c r="B126" t="s">
        <v>88</v>
      </c>
      <c r="C126" t="s">
        <v>89</v>
      </c>
      <c r="D126" s="1">
        <v>45654</v>
      </c>
      <c r="E126" t="s">
        <v>39</v>
      </c>
      <c r="F126" t="s">
        <v>45</v>
      </c>
      <c r="G126" t="s">
        <v>9</v>
      </c>
      <c r="H126">
        <v>-48</v>
      </c>
      <c r="J126">
        <f t="shared" si="12"/>
        <v>-48</v>
      </c>
      <c r="K126">
        <v>31997.200000000001</v>
      </c>
      <c r="L126">
        <f t="shared" si="10"/>
        <v>-48</v>
      </c>
      <c r="M126">
        <f t="shared" si="8"/>
        <v>31997.200000000001</v>
      </c>
      <c r="N126" s="3">
        <f t="shared" si="11"/>
        <v>0</v>
      </c>
      <c r="O126" t="s">
        <v>16</v>
      </c>
      <c r="P126" t="s">
        <v>105</v>
      </c>
    </row>
    <row r="127" spans="1:16" x14ac:dyDescent="0.25">
      <c r="A127">
        <v>125</v>
      </c>
      <c r="B127" t="s">
        <v>88</v>
      </c>
      <c r="C127" t="s">
        <v>89</v>
      </c>
      <c r="D127" s="1">
        <v>45655</v>
      </c>
      <c r="E127" t="s">
        <v>62</v>
      </c>
      <c r="F127" t="s">
        <v>25</v>
      </c>
      <c r="G127" t="s">
        <v>9</v>
      </c>
      <c r="H127">
        <v>-4000</v>
      </c>
      <c r="J127">
        <f t="shared" si="12"/>
        <v>-4000</v>
      </c>
      <c r="K127">
        <v>27997.200000000001</v>
      </c>
      <c r="L127">
        <f t="shared" si="10"/>
        <v>-4000</v>
      </c>
      <c r="M127">
        <f t="shared" si="8"/>
        <v>27997.200000000001</v>
      </c>
      <c r="N127" s="3">
        <f t="shared" si="11"/>
        <v>0</v>
      </c>
      <c r="O127" t="s">
        <v>26</v>
      </c>
      <c r="P127" t="s">
        <v>98</v>
      </c>
    </row>
    <row r="128" spans="1:16" x14ac:dyDescent="0.25">
      <c r="A128">
        <v>126</v>
      </c>
      <c r="B128" t="s">
        <v>88</v>
      </c>
      <c r="C128" t="s">
        <v>89</v>
      </c>
      <c r="D128" s="1">
        <v>45657</v>
      </c>
      <c r="E128" t="s">
        <v>69</v>
      </c>
      <c r="F128" t="s">
        <v>70</v>
      </c>
      <c r="G128" t="s">
        <v>48</v>
      </c>
      <c r="H128">
        <v>5</v>
      </c>
      <c r="I128">
        <f>IF(H128&gt;0,H128,"")</f>
        <v>5</v>
      </c>
      <c r="K128">
        <v>28002.2</v>
      </c>
      <c r="L128">
        <f t="shared" si="10"/>
        <v>5</v>
      </c>
      <c r="M128">
        <f t="shared" si="8"/>
        <v>28002.2</v>
      </c>
      <c r="N128" s="3">
        <f t="shared" si="11"/>
        <v>0</v>
      </c>
      <c r="O128" t="s">
        <v>71</v>
      </c>
      <c r="P128" t="s">
        <v>128</v>
      </c>
    </row>
    <row r="129" spans="1:16" x14ac:dyDescent="0.25">
      <c r="A129">
        <v>127</v>
      </c>
      <c r="B129" t="s">
        <v>88</v>
      </c>
      <c r="C129" t="s">
        <v>89</v>
      </c>
      <c r="D129" s="1">
        <v>45657</v>
      </c>
      <c r="E129" t="s">
        <v>75</v>
      </c>
      <c r="F129" t="s">
        <v>76</v>
      </c>
      <c r="G129" t="s">
        <v>9</v>
      </c>
      <c r="H129">
        <v>-9231.15</v>
      </c>
      <c r="J129">
        <f>IF(H129&lt;0,H129,"")</f>
        <v>-9231.15</v>
      </c>
      <c r="K129">
        <v>18771.05</v>
      </c>
      <c r="L129">
        <f t="shared" si="10"/>
        <v>-9231.15</v>
      </c>
      <c r="M129">
        <f t="shared" si="8"/>
        <v>18771.050000000003</v>
      </c>
      <c r="N129" s="3">
        <f t="shared" si="11"/>
        <v>0</v>
      </c>
      <c r="O129" t="s">
        <v>77</v>
      </c>
      <c r="P129" t="s">
        <v>108</v>
      </c>
    </row>
    <row r="130" spans="1:16" x14ac:dyDescent="0.25">
      <c r="A130">
        <v>128</v>
      </c>
      <c r="B130" t="s">
        <v>88</v>
      </c>
      <c r="C130" t="s">
        <v>89</v>
      </c>
      <c r="D130" s="1">
        <v>45658</v>
      </c>
      <c r="E130" t="s">
        <v>62</v>
      </c>
      <c r="F130" t="s">
        <v>63</v>
      </c>
      <c r="G130" t="s">
        <v>9</v>
      </c>
      <c r="H130">
        <v>-1000</v>
      </c>
      <c r="J130">
        <f>IF(H130&lt;0,H130,"")</f>
        <v>-1000</v>
      </c>
      <c r="K130">
        <v>17771.05</v>
      </c>
      <c r="L130">
        <f t="shared" si="10"/>
        <v>-1000</v>
      </c>
      <c r="M130">
        <f t="shared" si="8"/>
        <v>17771.05</v>
      </c>
      <c r="N130" s="3">
        <f t="shared" si="11"/>
        <v>0</v>
      </c>
      <c r="O130" t="s">
        <v>10</v>
      </c>
      <c r="P130" t="s">
        <v>96</v>
      </c>
    </row>
    <row r="131" spans="1:16" x14ac:dyDescent="0.25">
      <c r="A131">
        <v>129</v>
      </c>
      <c r="B131" t="s">
        <v>88</v>
      </c>
      <c r="C131" t="s">
        <v>89</v>
      </c>
      <c r="D131" s="1">
        <v>45659</v>
      </c>
      <c r="E131" t="s">
        <v>14</v>
      </c>
      <c r="F131">
        <v>87201</v>
      </c>
      <c r="G131" t="s">
        <v>15</v>
      </c>
      <c r="H131">
        <v>-73</v>
      </c>
      <c r="J131">
        <f>IF(H131&lt;0,H131,"")</f>
        <v>-73</v>
      </c>
      <c r="K131">
        <v>17698.05</v>
      </c>
      <c r="L131">
        <f t="shared" ref="L131:L161" si="13">I131+J131</f>
        <v>-73</v>
      </c>
      <c r="M131">
        <f t="shared" si="8"/>
        <v>17698.05</v>
      </c>
      <c r="N131" s="3">
        <f t="shared" ref="N131:N161" si="14">K131-M131</f>
        <v>0</v>
      </c>
      <c r="O131" t="s">
        <v>16</v>
      </c>
      <c r="P131" t="s">
        <v>101</v>
      </c>
    </row>
    <row r="132" spans="1:16" x14ac:dyDescent="0.25">
      <c r="A132">
        <v>130</v>
      </c>
      <c r="B132" t="s">
        <v>88</v>
      </c>
      <c r="C132" t="s">
        <v>89</v>
      </c>
      <c r="D132" s="1">
        <v>45665</v>
      </c>
      <c r="E132" t="s">
        <v>21</v>
      </c>
      <c r="F132" t="s">
        <v>22</v>
      </c>
      <c r="G132" t="s">
        <v>23</v>
      </c>
      <c r="H132">
        <v>4050</v>
      </c>
      <c r="I132">
        <f>IF(H132&gt;0,H132,"")</f>
        <v>4050</v>
      </c>
      <c r="K132">
        <v>21748.05</v>
      </c>
      <c r="L132">
        <f t="shared" si="13"/>
        <v>4050</v>
      </c>
      <c r="M132">
        <f t="shared" ref="M132:M161" si="15">K131+L132</f>
        <v>21748.05</v>
      </c>
      <c r="N132" s="3">
        <f t="shared" si="14"/>
        <v>0</v>
      </c>
      <c r="O132" t="s">
        <v>24</v>
      </c>
      <c r="P132" t="s">
        <v>106</v>
      </c>
    </row>
    <row r="133" spans="1:16" x14ac:dyDescent="0.25">
      <c r="A133">
        <v>131</v>
      </c>
      <c r="B133" t="s">
        <v>88</v>
      </c>
      <c r="C133" t="s">
        <v>89</v>
      </c>
      <c r="D133" s="1">
        <v>45667</v>
      </c>
      <c r="E133" t="s">
        <v>41</v>
      </c>
      <c r="F133" t="s">
        <v>42</v>
      </c>
      <c r="G133" t="s">
        <v>19</v>
      </c>
      <c r="H133">
        <v>-1.1000000000000001</v>
      </c>
      <c r="J133">
        <f>IF(H133&lt;0,H133,"")</f>
        <v>-1.1000000000000001</v>
      </c>
      <c r="K133">
        <v>21746.95</v>
      </c>
      <c r="L133">
        <f t="shared" si="13"/>
        <v>-1.1000000000000001</v>
      </c>
      <c r="M133">
        <f t="shared" si="15"/>
        <v>21746.95</v>
      </c>
      <c r="N133" s="3">
        <f t="shared" si="14"/>
        <v>0</v>
      </c>
      <c r="O133" t="s">
        <v>20</v>
      </c>
      <c r="P133" t="s">
        <v>107</v>
      </c>
    </row>
    <row r="134" spans="1:16" x14ac:dyDescent="0.25">
      <c r="A134">
        <v>132</v>
      </c>
      <c r="B134" t="s">
        <v>88</v>
      </c>
      <c r="C134" t="s">
        <v>89</v>
      </c>
      <c r="D134" s="1">
        <v>45669</v>
      </c>
      <c r="E134" t="s">
        <v>78</v>
      </c>
      <c r="F134" t="s">
        <v>79</v>
      </c>
      <c r="G134" t="s">
        <v>48</v>
      </c>
      <c r="H134">
        <v>-20</v>
      </c>
      <c r="J134">
        <f>IF(H134&lt;0,H134,"")</f>
        <v>-20</v>
      </c>
      <c r="K134">
        <v>21726.95</v>
      </c>
      <c r="L134">
        <f t="shared" si="13"/>
        <v>-20</v>
      </c>
      <c r="M134">
        <f t="shared" si="15"/>
        <v>21726.95</v>
      </c>
      <c r="N134" s="3">
        <f t="shared" si="14"/>
        <v>0</v>
      </c>
      <c r="O134" t="s">
        <v>16</v>
      </c>
      <c r="P134" t="s">
        <v>102</v>
      </c>
    </row>
    <row r="135" spans="1:16" x14ac:dyDescent="0.25">
      <c r="A135">
        <v>133</v>
      </c>
      <c r="B135" t="s">
        <v>88</v>
      </c>
      <c r="C135" t="s">
        <v>89</v>
      </c>
      <c r="D135" s="1">
        <v>45670</v>
      </c>
      <c r="E135" t="s">
        <v>50</v>
      </c>
      <c r="F135" t="s">
        <v>51</v>
      </c>
      <c r="G135" t="s">
        <v>9</v>
      </c>
      <c r="H135">
        <v>450</v>
      </c>
      <c r="I135">
        <f>IF(H135&gt;0,H135,"")</f>
        <v>450</v>
      </c>
      <c r="K135">
        <v>22176.95</v>
      </c>
      <c r="L135">
        <f t="shared" si="13"/>
        <v>450</v>
      </c>
      <c r="M135">
        <f t="shared" si="15"/>
        <v>22176.95</v>
      </c>
      <c r="N135" s="3">
        <f t="shared" si="14"/>
        <v>0</v>
      </c>
      <c r="O135" t="s">
        <v>24</v>
      </c>
      <c r="P135" t="s">
        <v>106</v>
      </c>
    </row>
    <row r="136" spans="1:16" x14ac:dyDescent="0.25">
      <c r="A136">
        <v>134</v>
      </c>
      <c r="B136" t="s">
        <v>88</v>
      </c>
      <c r="C136" t="s">
        <v>89</v>
      </c>
      <c r="D136" s="1">
        <v>45671</v>
      </c>
      <c r="E136" t="s">
        <v>80</v>
      </c>
      <c r="F136" t="s">
        <v>81</v>
      </c>
      <c r="G136" t="s">
        <v>19</v>
      </c>
      <c r="H136">
        <v>-3.25</v>
      </c>
      <c r="J136">
        <f>IF(H136&lt;0,H136,"")</f>
        <v>-3.25</v>
      </c>
      <c r="K136">
        <v>22173.7</v>
      </c>
      <c r="L136">
        <f t="shared" si="13"/>
        <v>-3.25</v>
      </c>
      <c r="M136">
        <f t="shared" si="15"/>
        <v>22173.7</v>
      </c>
      <c r="N136" s="3">
        <f t="shared" si="14"/>
        <v>0</v>
      </c>
      <c r="O136" t="s">
        <v>20</v>
      </c>
      <c r="P136" t="s">
        <v>107</v>
      </c>
    </row>
    <row r="137" spans="1:16" x14ac:dyDescent="0.25">
      <c r="A137">
        <v>135</v>
      </c>
      <c r="B137" t="s">
        <v>88</v>
      </c>
      <c r="C137" t="s">
        <v>89</v>
      </c>
      <c r="D137" s="1">
        <v>45671</v>
      </c>
      <c r="E137" t="s">
        <v>80</v>
      </c>
      <c r="F137" t="s">
        <v>81</v>
      </c>
      <c r="G137" t="s">
        <v>19</v>
      </c>
      <c r="H137">
        <v>-2.5499999999999998</v>
      </c>
      <c r="J137">
        <f>IF(H137&lt;0,H137,"")</f>
        <v>-2.5499999999999998</v>
      </c>
      <c r="K137">
        <v>22171.15</v>
      </c>
      <c r="L137">
        <f t="shared" si="13"/>
        <v>-2.5499999999999998</v>
      </c>
      <c r="M137">
        <f t="shared" si="15"/>
        <v>22171.15</v>
      </c>
      <c r="N137" s="3">
        <f t="shared" si="14"/>
        <v>0</v>
      </c>
      <c r="O137" t="s">
        <v>20</v>
      </c>
      <c r="P137" t="s">
        <v>107</v>
      </c>
    </row>
    <row r="138" spans="1:16" x14ac:dyDescent="0.25">
      <c r="A138">
        <v>136</v>
      </c>
      <c r="B138" t="s">
        <v>88</v>
      </c>
      <c r="C138" t="s">
        <v>89</v>
      </c>
      <c r="D138" s="1">
        <v>45672</v>
      </c>
      <c r="E138" t="s">
        <v>21</v>
      </c>
      <c r="F138" t="s">
        <v>22</v>
      </c>
      <c r="G138" t="s">
        <v>23</v>
      </c>
      <c r="H138">
        <v>850</v>
      </c>
      <c r="I138">
        <f>IF(H138&gt;0,H138,"")</f>
        <v>850</v>
      </c>
      <c r="K138">
        <v>23021.15</v>
      </c>
      <c r="L138">
        <f t="shared" si="13"/>
        <v>850</v>
      </c>
      <c r="M138">
        <f t="shared" si="15"/>
        <v>23021.15</v>
      </c>
      <c r="N138" s="3">
        <f t="shared" si="14"/>
        <v>0</v>
      </c>
      <c r="O138" t="s">
        <v>24</v>
      </c>
      <c r="P138" t="s">
        <v>106</v>
      </c>
    </row>
    <row r="139" spans="1:16" x14ac:dyDescent="0.25">
      <c r="A139">
        <v>137</v>
      </c>
      <c r="B139" t="s">
        <v>88</v>
      </c>
      <c r="C139" t="s">
        <v>89</v>
      </c>
      <c r="D139" s="1">
        <v>45674</v>
      </c>
      <c r="E139" t="s">
        <v>41</v>
      </c>
      <c r="F139" t="s">
        <v>42</v>
      </c>
      <c r="G139" t="s">
        <v>19</v>
      </c>
      <c r="H139">
        <v>-1.1000000000000001</v>
      </c>
      <c r="J139">
        <f>IF(H139&lt;0,H139,"")</f>
        <v>-1.1000000000000001</v>
      </c>
      <c r="K139">
        <v>23020.05</v>
      </c>
      <c r="L139">
        <f t="shared" si="13"/>
        <v>-1.1000000000000001</v>
      </c>
      <c r="M139">
        <f t="shared" si="15"/>
        <v>23020.050000000003</v>
      </c>
      <c r="N139" s="3">
        <f t="shared" si="14"/>
        <v>0</v>
      </c>
      <c r="O139" t="s">
        <v>20</v>
      </c>
      <c r="P139" t="s">
        <v>107</v>
      </c>
    </row>
    <row r="140" spans="1:16" x14ac:dyDescent="0.25">
      <c r="A140">
        <v>139</v>
      </c>
      <c r="B140" t="s">
        <v>88</v>
      </c>
      <c r="C140" t="s">
        <v>89</v>
      </c>
      <c r="D140" s="1">
        <v>45685</v>
      </c>
      <c r="E140" t="s">
        <v>35</v>
      </c>
      <c r="F140" t="s">
        <v>36</v>
      </c>
      <c r="G140" t="s">
        <v>9</v>
      </c>
      <c r="H140">
        <v>1200</v>
      </c>
      <c r="I140">
        <f>IF(H140&gt;0,H140,"")</f>
        <v>1200</v>
      </c>
      <c r="K140">
        <v>24172.05</v>
      </c>
      <c r="L140">
        <f t="shared" si="13"/>
        <v>1200</v>
      </c>
      <c r="M140">
        <f t="shared" si="15"/>
        <v>24220.05</v>
      </c>
      <c r="N140" s="3">
        <f t="shared" si="14"/>
        <v>-48</v>
      </c>
      <c r="O140" t="s">
        <v>24</v>
      </c>
      <c r="P140" t="s">
        <v>106</v>
      </c>
    </row>
    <row r="141" spans="1:16" x14ac:dyDescent="0.25">
      <c r="A141">
        <v>138</v>
      </c>
      <c r="B141" t="s">
        <v>88</v>
      </c>
      <c r="C141" t="s">
        <v>89</v>
      </c>
      <c r="D141" s="1">
        <v>45685</v>
      </c>
      <c r="E141" t="s">
        <v>39</v>
      </c>
      <c r="F141" t="s">
        <v>45</v>
      </c>
      <c r="G141" t="s">
        <v>9</v>
      </c>
      <c r="H141">
        <v>-48</v>
      </c>
      <c r="J141">
        <f>IF(H141&lt;0,H141,"")</f>
        <v>-48</v>
      </c>
      <c r="K141">
        <v>22972.05</v>
      </c>
      <c r="L141">
        <f t="shared" si="13"/>
        <v>-48</v>
      </c>
      <c r="M141">
        <f t="shared" si="15"/>
        <v>24124.05</v>
      </c>
      <c r="N141" s="3">
        <f t="shared" si="14"/>
        <v>-1152</v>
      </c>
      <c r="O141" t="s">
        <v>16</v>
      </c>
      <c r="P141" t="s">
        <v>105</v>
      </c>
    </row>
    <row r="142" spans="1:16" x14ac:dyDescent="0.25">
      <c r="A142">
        <v>140</v>
      </c>
      <c r="B142" t="s">
        <v>88</v>
      </c>
      <c r="C142" t="s">
        <v>89</v>
      </c>
      <c r="D142" s="1">
        <v>45689</v>
      </c>
      <c r="E142" t="s">
        <v>62</v>
      </c>
      <c r="F142" t="s">
        <v>63</v>
      </c>
      <c r="G142" t="s">
        <v>9</v>
      </c>
      <c r="H142">
        <v>-1000</v>
      </c>
      <c r="J142">
        <f>IF(H142&lt;0,H142,"")</f>
        <v>-1000</v>
      </c>
      <c r="K142">
        <v>23172.05</v>
      </c>
      <c r="L142">
        <f t="shared" si="13"/>
        <v>-1000</v>
      </c>
      <c r="M142">
        <f t="shared" si="15"/>
        <v>21972.05</v>
      </c>
      <c r="N142" s="3">
        <f t="shared" si="14"/>
        <v>1200</v>
      </c>
      <c r="O142" t="s">
        <v>10</v>
      </c>
      <c r="P142" t="s">
        <v>96</v>
      </c>
    </row>
    <row r="143" spans="1:16" x14ac:dyDescent="0.25">
      <c r="A143">
        <v>141</v>
      </c>
      <c r="B143" t="s">
        <v>88</v>
      </c>
      <c r="C143" t="s">
        <v>89</v>
      </c>
      <c r="D143" s="1">
        <v>45689</v>
      </c>
      <c r="E143" t="s">
        <v>62</v>
      </c>
      <c r="F143" t="s">
        <v>25</v>
      </c>
      <c r="G143" t="s">
        <v>9</v>
      </c>
      <c r="H143">
        <v>-4000</v>
      </c>
      <c r="J143">
        <f>IF(H143&lt;0,H143,"")</f>
        <v>-4000</v>
      </c>
      <c r="K143">
        <v>19172.05</v>
      </c>
      <c r="L143">
        <f t="shared" si="13"/>
        <v>-4000</v>
      </c>
      <c r="M143">
        <f t="shared" si="15"/>
        <v>19172.05</v>
      </c>
      <c r="N143" s="3">
        <f t="shared" si="14"/>
        <v>0</v>
      </c>
      <c r="O143" t="s">
        <v>97</v>
      </c>
      <c r="P143" t="s">
        <v>98</v>
      </c>
    </row>
    <row r="144" spans="1:16" x14ac:dyDescent="0.25">
      <c r="A144">
        <v>142</v>
      </c>
      <c r="B144" t="s">
        <v>88</v>
      </c>
      <c r="C144" t="s">
        <v>89</v>
      </c>
      <c r="D144" s="1">
        <v>45690</v>
      </c>
      <c r="E144" t="s">
        <v>46</v>
      </c>
      <c r="F144" t="s">
        <v>47</v>
      </c>
      <c r="G144" t="s">
        <v>48</v>
      </c>
      <c r="H144">
        <v>-750</v>
      </c>
      <c r="J144">
        <f>IF(H144&lt;0,H144,"")</f>
        <v>-750</v>
      </c>
      <c r="K144">
        <v>18422.05</v>
      </c>
      <c r="L144">
        <f t="shared" si="13"/>
        <v>-750</v>
      </c>
      <c r="M144">
        <f t="shared" si="15"/>
        <v>18422.05</v>
      </c>
      <c r="N144" s="3">
        <f t="shared" si="14"/>
        <v>0</v>
      </c>
      <c r="O144" t="s">
        <v>49</v>
      </c>
      <c r="P144" t="s">
        <v>126</v>
      </c>
    </row>
    <row r="145" spans="1:19" x14ac:dyDescent="0.25">
      <c r="A145">
        <v>143</v>
      </c>
      <c r="B145" t="s">
        <v>88</v>
      </c>
      <c r="C145" t="s">
        <v>89</v>
      </c>
      <c r="D145" s="1">
        <v>45691</v>
      </c>
      <c r="E145" t="s">
        <v>14</v>
      </c>
      <c r="F145">
        <v>87201</v>
      </c>
      <c r="G145" t="s">
        <v>15</v>
      </c>
      <c r="H145">
        <v>-73</v>
      </c>
      <c r="J145">
        <f>IF(H145&lt;0,H145,"")</f>
        <v>-73</v>
      </c>
      <c r="K145">
        <v>18349.05</v>
      </c>
      <c r="L145">
        <f t="shared" si="13"/>
        <v>-73</v>
      </c>
      <c r="M145">
        <f t="shared" si="15"/>
        <v>18349.05</v>
      </c>
      <c r="N145" s="3">
        <f t="shared" si="14"/>
        <v>0</v>
      </c>
      <c r="O145" t="s">
        <v>16</v>
      </c>
      <c r="P145" t="s">
        <v>101</v>
      </c>
    </row>
    <row r="146" spans="1:19" x14ac:dyDescent="0.25">
      <c r="A146">
        <v>144</v>
      </c>
      <c r="B146" t="s">
        <v>88</v>
      </c>
      <c r="C146" t="s">
        <v>89</v>
      </c>
      <c r="D146" s="1">
        <v>45695</v>
      </c>
      <c r="E146" t="s">
        <v>21</v>
      </c>
      <c r="F146" t="s">
        <v>22</v>
      </c>
      <c r="G146" t="s">
        <v>23</v>
      </c>
      <c r="H146">
        <v>3850</v>
      </c>
      <c r="I146">
        <f>IF(H146&gt;0,H146,"")</f>
        <v>3850</v>
      </c>
      <c r="K146">
        <v>22199.05</v>
      </c>
      <c r="L146">
        <f t="shared" si="13"/>
        <v>3850</v>
      </c>
      <c r="M146">
        <f t="shared" si="15"/>
        <v>22199.05</v>
      </c>
      <c r="N146" s="3">
        <f t="shared" si="14"/>
        <v>0</v>
      </c>
      <c r="O146" t="s">
        <v>24</v>
      </c>
      <c r="P146" t="s">
        <v>106</v>
      </c>
    </row>
    <row r="147" spans="1:19" x14ac:dyDescent="0.25">
      <c r="A147">
        <v>145</v>
      </c>
      <c r="B147" t="s">
        <v>88</v>
      </c>
      <c r="C147" t="s">
        <v>89</v>
      </c>
      <c r="D147" s="1">
        <v>45706</v>
      </c>
      <c r="E147" t="s">
        <v>50</v>
      </c>
      <c r="F147" t="s">
        <v>82</v>
      </c>
      <c r="G147" t="s">
        <v>9</v>
      </c>
      <c r="H147">
        <v>425</v>
      </c>
      <c r="I147">
        <f>IF(H147&gt;0,H147,"")</f>
        <v>425</v>
      </c>
      <c r="K147">
        <v>22624.05</v>
      </c>
      <c r="L147">
        <f t="shared" si="13"/>
        <v>425</v>
      </c>
      <c r="M147">
        <f t="shared" si="15"/>
        <v>22624.05</v>
      </c>
      <c r="N147" s="3">
        <f t="shared" si="14"/>
        <v>0</v>
      </c>
      <c r="O147" t="s">
        <v>24</v>
      </c>
      <c r="P147" t="s">
        <v>106</v>
      </c>
    </row>
    <row r="148" spans="1:19" x14ac:dyDescent="0.25">
      <c r="A148">
        <v>146</v>
      </c>
      <c r="B148" t="s">
        <v>88</v>
      </c>
      <c r="C148" t="s">
        <v>89</v>
      </c>
      <c r="D148" s="1">
        <v>45712</v>
      </c>
      <c r="E148" t="s">
        <v>35</v>
      </c>
      <c r="F148" t="s">
        <v>36</v>
      </c>
      <c r="G148" t="s">
        <v>9</v>
      </c>
      <c r="H148">
        <v>1400</v>
      </c>
      <c r="I148">
        <f>IF(H148&gt;0,H148,"")</f>
        <v>1400</v>
      </c>
      <c r="K148">
        <v>24024.05</v>
      </c>
      <c r="L148">
        <f t="shared" si="13"/>
        <v>1400</v>
      </c>
      <c r="M148">
        <f t="shared" si="15"/>
        <v>24024.05</v>
      </c>
      <c r="N148" s="3">
        <f t="shared" si="14"/>
        <v>0</v>
      </c>
      <c r="O148" t="s">
        <v>24</v>
      </c>
      <c r="P148" t="s">
        <v>106</v>
      </c>
    </row>
    <row r="149" spans="1:19" x14ac:dyDescent="0.25">
      <c r="A149">
        <v>147</v>
      </c>
      <c r="B149" t="s">
        <v>88</v>
      </c>
      <c r="C149" t="s">
        <v>89</v>
      </c>
      <c r="D149" s="1">
        <v>45716</v>
      </c>
      <c r="E149" t="s">
        <v>39</v>
      </c>
      <c r="F149" t="s">
        <v>45</v>
      </c>
      <c r="G149" t="s">
        <v>9</v>
      </c>
      <c r="H149">
        <v>-48</v>
      </c>
      <c r="J149">
        <f>IF(H149&lt;0,H149,"")</f>
        <v>-48</v>
      </c>
      <c r="K149">
        <v>23976.05</v>
      </c>
      <c r="L149">
        <f t="shared" si="13"/>
        <v>-48</v>
      </c>
      <c r="M149">
        <f t="shared" si="15"/>
        <v>23976.05</v>
      </c>
      <c r="N149" s="3">
        <f t="shared" si="14"/>
        <v>0</v>
      </c>
      <c r="O149" t="s">
        <v>16</v>
      </c>
      <c r="P149" t="s">
        <v>105</v>
      </c>
    </row>
    <row r="150" spans="1:19" x14ac:dyDescent="0.25">
      <c r="A150">
        <v>148</v>
      </c>
      <c r="B150" t="s">
        <v>88</v>
      </c>
      <c r="C150" t="s">
        <v>89</v>
      </c>
      <c r="D150" s="1">
        <v>45716</v>
      </c>
      <c r="E150" t="s">
        <v>50</v>
      </c>
      <c r="F150" t="s">
        <v>51</v>
      </c>
      <c r="G150" t="s">
        <v>9</v>
      </c>
      <c r="H150">
        <v>1275</v>
      </c>
      <c r="I150">
        <f>IF(H150&gt;0,H150,"")</f>
        <v>1275</v>
      </c>
      <c r="K150">
        <v>25251.05</v>
      </c>
      <c r="L150">
        <f t="shared" si="13"/>
        <v>1275</v>
      </c>
      <c r="M150">
        <f t="shared" si="15"/>
        <v>25251.05</v>
      </c>
      <c r="N150" s="3">
        <f t="shared" si="14"/>
        <v>0</v>
      </c>
      <c r="O150" t="s">
        <v>24</v>
      </c>
      <c r="P150" t="s">
        <v>106</v>
      </c>
    </row>
    <row r="151" spans="1:19" x14ac:dyDescent="0.25">
      <c r="A151">
        <v>149</v>
      </c>
      <c r="B151" t="s">
        <v>88</v>
      </c>
      <c r="C151" t="s">
        <v>89</v>
      </c>
      <c r="D151" s="1">
        <v>45717</v>
      </c>
      <c r="E151" t="s">
        <v>62</v>
      </c>
      <c r="F151" t="s">
        <v>63</v>
      </c>
      <c r="G151" t="s">
        <v>9</v>
      </c>
      <c r="H151">
        <v>-1000</v>
      </c>
      <c r="J151">
        <f>IF(H151&lt;0,H151,"")</f>
        <v>-1000</v>
      </c>
      <c r="K151">
        <v>24251.05</v>
      </c>
      <c r="L151">
        <f t="shared" si="13"/>
        <v>-1000</v>
      </c>
      <c r="M151">
        <f t="shared" si="15"/>
        <v>24251.05</v>
      </c>
      <c r="N151" s="3">
        <f t="shared" si="14"/>
        <v>0</v>
      </c>
      <c r="O151" t="s">
        <v>10</v>
      </c>
      <c r="P151" t="s">
        <v>96</v>
      </c>
    </row>
    <row r="152" spans="1:19" x14ac:dyDescent="0.25">
      <c r="A152">
        <v>150</v>
      </c>
      <c r="B152" t="s">
        <v>88</v>
      </c>
      <c r="C152" t="s">
        <v>89</v>
      </c>
      <c r="D152" s="1">
        <v>45718</v>
      </c>
      <c r="E152" t="s">
        <v>62</v>
      </c>
      <c r="F152" t="s">
        <v>25</v>
      </c>
      <c r="G152" t="s">
        <v>9</v>
      </c>
      <c r="H152">
        <v>-3370</v>
      </c>
      <c r="J152">
        <f>IF(H152&lt;0,H152,"")</f>
        <v>-3370</v>
      </c>
      <c r="K152">
        <v>20881.05</v>
      </c>
      <c r="L152">
        <f t="shared" si="13"/>
        <v>-3370</v>
      </c>
      <c r="M152">
        <f t="shared" si="15"/>
        <v>20881.05</v>
      </c>
      <c r="N152" s="3">
        <f t="shared" si="14"/>
        <v>0</v>
      </c>
      <c r="O152" t="s">
        <v>10</v>
      </c>
      <c r="P152" t="s">
        <v>98</v>
      </c>
    </row>
    <row r="153" spans="1:19" x14ac:dyDescent="0.25">
      <c r="A153">
        <v>151</v>
      </c>
      <c r="B153" t="s">
        <v>88</v>
      </c>
      <c r="C153" t="s">
        <v>89</v>
      </c>
      <c r="D153" s="1">
        <v>45719</v>
      </c>
      <c r="E153" t="s">
        <v>14</v>
      </c>
      <c r="F153">
        <v>87201</v>
      </c>
      <c r="G153" t="s">
        <v>15</v>
      </c>
      <c r="H153">
        <v>-73</v>
      </c>
      <c r="J153">
        <f>IF(H153&lt;0,H153,"")</f>
        <v>-73</v>
      </c>
      <c r="K153">
        <v>20808.05</v>
      </c>
      <c r="L153">
        <f t="shared" si="13"/>
        <v>-73</v>
      </c>
      <c r="M153">
        <f t="shared" si="15"/>
        <v>20808.05</v>
      </c>
      <c r="N153" s="3">
        <f t="shared" si="14"/>
        <v>0</v>
      </c>
      <c r="O153" t="s">
        <v>16</v>
      </c>
      <c r="P153" t="s">
        <v>101</v>
      </c>
    </row>
    <row r="154" spans="1:19" x14ac:dyDescent="0.25">
      <c r="A154">
        <v>152</v>
      </c>
      <c r="B154" t="s">
        <v>88</v>
      </c>
      <c r="C154" t="s">
        <v>89</v>
      </c>
      <c r="D154" s="1">
        <v>45719</v>
      </c>
      <c r="E154" t="s">
        <v>46</v>
      </c>
      <c r="F154" t="s">
        <v>47</v>
      </c>
      <c r="G154" t="s">
        <v>48</v>
      </c>
      <c r="H154">
        <v>-1250</v>
      </c>
      <c r="J154">
        <f>IF(H154&lt;0,H154,"")</f>
        <v>-1250</v>
      </c>
      <c r="K154">
        <v>19558.05</v>
      </c>
      <c r="L154">
        <f t="shared" si="13"/>
        <v>-1250</v>
      </c>
      <c r="M154">
        <f t="shared" si="15"/>
        <v>19558.05</v>
      </c>
      <c r="N154" s="3">
        <f t="shared" si="14"/>
        <v>0</v>
      </c>
      <c r="O154" t="s">
        <v>49</v>
      </c>
      <c r="P154" t="s">
        <v>126</v>
      </c>
    </row>
    <row r="155" spans="1:19" x14ac:dyDescent="0.25">
      <c r="A155">
        <v>153</v>
      </c>
      <c r="B155" t="s">
        <v>88</v>
      </c>
      <c r="C155" t="s">
        <v>89</v>
      </c>
      <c r="D155" s="1">
        <v>45721</v>
      </c>
      <c r="E155" t="s">
        <v>21</v>
      </c>
      <c r="F155" t="s">
        <v>22</v>
      </c>
      <c r="G155" t="s">
        <v>23</v>
      </c>
      <c r="H155">
        <v>2975</v>
      </c>
      <c r="I155">
        <f>IF(H155&gt;0,H155,"")</f>
        <v>2975</v>
      </c>
      <c r="K155">
        <v>22533.05</v>
      </c>
      <c r="L155">
        <f t="shared" si="13"/>
        <v>2975</v>
      </c>
      <c r="M155">
        <f t="shared" si="15"/>
        <v>22533.05</v>
      </c>
      <c r="N155" s="3">
        <f t="shared" si="14"/>
        <v>0</v>
      </c>
      <c r="O155" t="s">
        <v>24</v>
      </c>
      <c r="P155" t="s">
        <v>106</v>
      </c>
    </row>
    <row r="156" spans="1:19" x14ac:dyDescent="0.25">
      <c r="A156">
        <v>154</v>
      </c>
      <c r="B156" t="s">
        <v>88</v>
      </c>
      <c r="C156" t="s">
        <v>89</v>
      </c>
      <c r="D156" s="1">
        <v>45723</v>
      </c>
      <c r="E156" t="s">
        <v>21</v>
      </c>
      <c r="F156" t="s">
        <v>22</v>
      </c>
      <c r="G156" t="s">
        <v>23</v>
      </c>
      <c r="H156">
        <v>850</v>
      </c>
      <c r="I156">
        <f>IF(H156&gt;0,H156,"")</f>
        <v>850</v>
      </c>
      <c r="K156">
        <v>23383.05</v>
      </c>
      <c r="L156">
        <f t="shared" si="13"/>
        <v>850</v>
      </c>
      <c r="M156">
        <f t="shared" si="15"/>
        <v>23383.05</v>
      </c>
      <c r="N156" s="3">
        <f t="shared" si="14"/>
        <v>0</v>
      </c>
      <c r="O156" t="s">
        <v>24</v>
      </c>
      <c r="P156" t="s">
        <v>106</v>
      </c>
    </row>
    <row r="157" spans="1:19" x14ac:dyDescent="0.25">
      <c r="A157">
        <v>155</v>
      </c>
      <c r="B157" t="s">
        <v>88</v>
      </c>
      <c r="C157" t="s">
        <v>89</v>
      </c>
      <c r="D157" s="1">
        <v>45724</v>
      </c>
      <c r="E157" t="s">
        <v>83</v>
      </c>
      <c r="F157" t="s">
        <v>84</v>
      </c>
      <c r="G157" t="s">
        <v>48</v>
      </c>
      <c r="H157">
        <v>-415</v>
      </c>
      <c r="J157">
        <f>IF(H157&lt;0,H157,"")</f>
        <v>-415</v>
      </c>
      <c r="K157">
        <v>22968.05</v>
      </c>
      <c r="L157">
        <f t="shared" si="13"/>
        <v>-415</v>
      </c>
      <c r="M157">
        <f t="shared" si="15"/>
        <v>22968.05</v>
      </c>
      <c r="N157" s="3">
        <f t="shared" si="14"/>
        <v>0</v>
      </c>
      <c r="O157" t="s">
        <v>16</v>
      </c>
      <c r="P157" t="s">
        <v>104</v>
      </c>
    </row>
    <row r="158" spans="1:19" x14ac:dyDescent="0.25">
      <c r="A158">
        <v>156</v>
      </c>
      <c r="B158" t="s">
        <v>88</v>
      </c>
      <c r="C158" t="s">
        <v>89</v>
      </c>
      <c r="D158" s="1">
        <v>45727</v>
      </c>
      <c r="E158" t="s">
        <v>50</v>
      </c>
      <c r="F158" t="s">
        <v>51</v>
      </c>
      <c r="G158" t="s">
        <v>9</v>
      </c>
      <c r="H158">
        <v>1925</v>
      </c>
      <c r="I158">
        <f>IF(H158&gt;0,H158,"")</f>
        <v>1925</v>
      </c>
      <c r="K158">
        <v>24893.05</v>
      </c>
      <c r="L158">
        <f t="shared" si="13"/>
        <v>1925</v>
      </c>
      <c r="M158">
        <f t="shared" si="15"/>
        <v>24893.05</v>
      </c>
      <c r="N158" s="3">
        <f t="shared" si="14"/>
        <v>0</v>
      </c>
      <c r="O158" t="s">
        <v>24</v>
      </c>
      <c r="P158" t="s">
        <v>106</v>
      </c>
    </row>
    <row r="159" spans="1:19" x14ac:dyDescent="0.25">
      <c r="A159">
        <v>157</v>
      </c>
      <c r="B159" t="s">
        <v>88</v>
      </c>
      <c r="C159" t="s">
        <v>89</v>
      </c>
      <c r="D159" s="1">
        <v>45728</v>
      </c>
      <c r="E159" t="s">
        <v>37</v>
      </c>
      <c r="F159" t="s">
        <v>38</v>
      </c>
      <c r="G159" t="s">
        <v>19</v>
      </c>
      <c r="H159">
        <v>-5</v>
      </c>
      <c r="J159">
        <f>IF(H159&lt;0,H159,"")</f>
        <v>-5</v>
      </c>
      <c r="K159">
        <v>24888.05</v>
      </c>
      <c r="L159">
        <f t="shared" si="13"/>
        <v>-5</v>
      </c>
      <c r="M159">
        <f t="shared" si="15"/>
        <v>24888.05</v>
      </c>
      <c r="N159" s="3">
        <f t="shared" si="14"/>
        <v>0</v>
      </c>
      <c r="O159" t="s">
        <v>20</v>
      </c>
      <c r="P159" t="s">
        <v>107</v>
      </c>
    </row>
    <row r="160" spans="1:19" x14ac:dyDescent="0.25">
      <c r="A160">
        <v>158</v>
      </c>
      <c r="B160" t="s">
        <v>88</v>
      </c>
      <c r="C160" t="s">
        <v>89</v>
      </c>
      <c r="D160" s="1">
        <v>45742</v>
      </c>
      <c r="E160" t="s">
        <v>35</v>
      </c>
      <c r="F160" t="s">
        <v>36</v>
      </c>
      <c r="G160" t="s">
        <v>9</v>
      </c>
      <c r="H160">
        <v>600</v>
      </c>
      <c r="I160">
        <f>IF(H160&gt;0,H160,"")</f>
        <v>600</v>
      </c>
      <c r="K160">
        <v>25488.05</v>
      </c>
      <c r="L160">
        <f t="shared" si="13"/>
        <v>600</v>
      </c>
      <c r="M160">
        <f t="shared" si="15"/>
        <v>25488.05</v>
      </c>
      <c r="N160" s="3">
        <f t="shared" si="14"/>
        <v>0</v>
      </c>
      <c r="O160" t="s">
        <v>24</v>
      </c>
      <c r="P160" t="s">
        <v>106</v>
      </c>
      <c r="S160" s="10"/>
    </row>
    <row r="161" spans="1:19" x14ac:dyDescent="0.25">
      <c r="A161">
        <v>159</v>
      </c>
      <c r="B161" t="s">
        <v>88</v>
      </c>
      <c r="C161" t="s">
        <v>89</v>
      </c>
      <c r="D161" s="1">
        <v>45744</v>
      </c>
      <c r="E161" t="s">
        <v>39</v>
      </c>
      <c r="F161" t="s">
        <v>45</v>
      </c>
      <c r="G161" t="s">
        <v>9</v>
      </c>
      <c r="H161">
        <v>-48</v>
      </c>
      <c r="J161">
        <f>IF(H161&lt;0,H161,"")</f>
        <v>-48</v>
      </c>
      <c r="K161">
        <v>25440.05</v>
      </c>
      <c r="L161">
        <f t="shared" si="13"/>
        <v>-48</v>
      </c>
      <c r="M161">
        <f t="shared" si="15"/>
        <v>25440.05</v>
      </c>
      <c r="N161" s="3">
        <f t="shared" si="14"/>
        <v>0</v>
      </c>
      <c r="O161" t="s">
        <v>16</v>
      </c>
      <c r="P161" t="s">
        <v>105</v>
      </c>
    </row>
    <row r="163" spans="1:19" x14ac:dyDescent="0.25">
      <c r="S163" s="10"/>
    </row>
  </sheetData>
  <autoFilter ref="A1:P161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56"/>
  <sheetViews>
    <sheetView tabSelected="1" topLeftCell="A19" zoomScale="80" zoomScaleNormal="80" workbookViewId="0">
      <selection activeCell="O8" sqref="O8"/>
    </sheetView>
  </sheetViews>
  <sheetFormatPr defaultRowHeight="15" x14ac:dyDescent="0.25"/>
  <cols>
    <col min="1" max="1" width="14.7109375" customWidth="1"/>
    <col min="2" max="2" width="15.5703125" bestFit="1" customWidth="1"/>
    <col min="3" max="3" width="10.7109375" bestFit="1" customWidth="1"/>
    <col min="6" max="6" width="11.28515625" bestFit="1" customWidth="1"/>
    <col min="7" max="7" width="10.28515625" bestFit="1" customWidth="1"/>
    <col min="9" max="9" width="43.85546875" customWidth="1"/>
    <col min="10" max="10" width="17" customWidth="1"/>
    <col min="11" max="12" width="16.42578125" customWidth="1"/>
    <col min="13" max="13" width="11.28515625" bestFit="1" customWidth="1"/>
    <col min="14" max="14" width="10.28515625" bestFit="1" customWidth="1"/>
    <col min="15" max="15" width="10.28515625" customWidth="1"/>
    <col min="17" max="17" width="10.140625" bestFit="1" customWidth="1"/>
    <col min="19" max="19" width="11.7109375" customWidth="1"/>
    <col min="25" max="25" width="11.28515625" bestFit="1" customWidth="1"/>
    <col min="26" max="26" width="11.28515625" customWidth="1"/>
  </cols>
  <sheetData>
    <row r="3" spans="1:13" x14ac:dyDescent="0.25">
      <c r="A3" s="4" t="s">
        <v>112</v>
      </c>
      <c r="B3" s="4" t="s">
        <v>109</v>
      </c>
      <c r="D3" s="3"/>
      <c r="E3" s="3"/>
      <c r="F3" s="3"/>
      <c r="G3" s="3"/>
      <c r="H3" s="3"/>
      <c r="I3" s="3"/>
      <c r="J3" s="3"/>
      <c r="K3" s="7" t="s">
        <v>106</v>
      </c>
      <c r="L3" s="7"/>
      <c r="M3" s="3">
        <f t="shared" ref="M3:M10" si="0">SUMIF(A:A,K3,B:B)</f>
        <v>84149</v>
      </c>
    </row>
    <row r="4" spans="1:13" x14ac:dyDescent="0.25">
      <c r="A4" s="4" t="s">
        <v>111</v>
      </c>
      <c r="B4" t="s">
        <v>89</v>
      </c>
      <c r="D4" s="3"/>
      <c r="E4" s="3" t="s">
        <v>113</v>
      </c>
      <c r="F4" s="3">
        <f>SUMIF(C:C,E4,B:B)</f>
        <v>62157.46</v>
      </c>
      <c r="G4" s="3"/>
      <c r="H4" s="3"/>
      <c r="I4" s="3"/>
      <c r="J4" s="3"/>
      <c r="K4" s="7" t="s">
        <v>96</v>
      </c>
      <c r="L4" s="7"/>
      <c r="M4" s="3">
        <f t="shared" si="0"/>
        <v>-11100</v>
      </c>
    </row>
    <row r="5" spans="1:13" x14ac:dyDescent="0.25">
      <c r="A5" s="5" t="s">
        <v>105</v>
      </c>
      <c r="B5" s="6">
        <v>-1016</v>
      </c>
      <c r="C5" t="s">
        <v>113</v>
      </c>
      <c r="D5" s="3"/>
      <c r="E5" s="3" t="s">
        <v>114</v>
      </c>
      <c r="F5" s="3">
        <f>SUMIF(C:C,E5,B:B)</f>
        <v>-50029.919999999998</v>
      </c>
      <c r="G5" s="3"/>
      <c r="H5" s="3"/>
      <c r="I5" s="3"/>
      <c r="J5" s="3"/>
      <c r="K5" s="5" t="s">
        <v>128</v>
      </c>
      <c r="L5" s="5"/>
      <c r="M5" s="3">
        <f t="shared" si="0"/>
        <v>-12.2</v>
      </c>
    </row>
    <row r="6" spans="1:13" x14ac:dyDescent="0.25">
      <c r="A6" s="5" t="s">
        <v>101</v>
      </c>
      <c r="B6" s="6">
        <v>-723</v>
      </c>
      <c r="C6" t="s">
        <v>113</v>
      </c>
      <c r="D6" s="3"/>
      <c r="E6" s="3"/>
      <c r="F6" s="3"/>
      <c r="G6" s="3"/>
      <c r="H6" s="3"/>
      <c r="I6" s="3"/>
      <c r="J6" s="3"/>
      <c r="K6" s="5" t="s">
        <v>127</v>
      </c>
      <c r="L6" s="5"/>
      <c r="M6" s="3">
        <f t="shared" si="0"/>
        <v>-1400</v>
      </c>
    </row>
    <row r="7" spans="1:13" x14ac:dyDescent="0.25">
      <c r="A7" s="5" t="s">
        <v>103</v>
      </c>
      <c r="B7" s="6">
        <v>-443.09000000000003</v>
      </c>
      <c r="C7" t="s">
        <v>113</v>
      </c>
      <c r="D7" s="3"/>
      <c r="E7" s="3"/>
      <c r="F7" s="3"/>
      <c r="G7" s="3"/>
      <c r="H7" s="3"/>
      <c r="I7" s="3"/>
      <c r="J7" s="3"/>
      <c r="K7" s="7" t="s">
        <v>100</v>
      </c>
      <c r="L7" s="7"/>
      <c r="M7" s="3">
        <f t="shared" si="0"/>
        <v>-48.05</v>
      </c>
    </row>
    <row r="8" spans="1:13" x14ac:dyDescent="0.25">
      <c r="A8" s="5" t="s">
        <v>96</v>
      </c>
      <c r="B8" s="6">
        <v>-11100</v>
      </c>
      <c r="C8" t="s">
        <v>113</v>
      </c>
      <c r="D8" s="3"/>
      <c r="E8" s="7"/>
      <c r="F8" s="3">
        <f>SUM(F4:F7)</f>
        <v>12127.54</v>
      </c>
      <c r="G8" s="3"/>
      <c r="H8" s="3"/>
      <c r="I8" s="3"/>
      <c r="J8" s="3"/>
      <c r="K8" s="7" t="s">
        <v>107</v>
      </c>
      <c r="L8" s="7"/>
      <c r="M8" s="3">
        <f t="shared" si="0"/>
        <v>-206.79999999999993</v>
      </c>
    </row>
    <row r="9" spans="1:13" x14ac:dyDescent="0.25">
      <c r="A9" s="5" t="s">
        <v>98</v>
      </c>
      <c r="B9" s="6">
        <v>-40370</v>
      </c>
      <c r="C9" t="s">
        <v>114</v>
      </c>
      <c r="D9" s="3"/>
      <c r="E9" s="3"/>
      <c r="F9" s="3"/>
      <c r="G9" s="3"/>
      <c r="H9" s="3"/>
      <c r="I9" s="3"/>
      <c r="J9" s="3"/>
      <c r="K9" s="7" t="s">
        <v>131</v>
      </c>
      <c r="L9" s="7"/>
      <c r="M9" s="3">
        <f t="shared" si="0"/>
        <v>0</v>
      </c>
    </row>
    <row r="10" spans="1:13" x14ac:dyDescent="0.25">
      <c r="A10" s="5" t="s">
        <v>104</v>
      </c>
      <c r="B10" s="6">
        <v>-415</v>
      </c>
      <c r="C10" t="s">
        <v>113</v>
      </c>
      <c r="D10" s="3"/>
      <c r="E10" s="3"/>
      <c r="F10" s="3"/>
      <c r="G10" s="3"/>
      <c r="H10" s="3"/>
      <c r="I10" s="3"/>
      <c r="J10" s="3"/>
      <c r="K10" s="7" t="s">
        <v>133</v>
      </c>
      <c r="L10" s="7"/>
      <c r="M10" s="3">
        <f t="shared" si="0"/>
        <v>0</v>
      </c>
    </row>
    <row r="11" spans="1:13" x14ac:dyDescent="0.25">
      <c r="A11" s="5" t="s">
        <v>108</v>
      </c>
      <c r="B11" s="6">
        <v>-9231.15</v>
      </c>
      <c r="C11" t="s">
        <v>114</v>
      </c>
      <c r="D11" s="3"/>
      <c r="E11" s="7"/>
      <c r="F11" s="8">
        <f>F8-GETPIVOTDATA("Net",$A$3,"FY","FY25")</f>
        <v>0</v>
      </c>
      <c r="G11" s="3"/>
      <c r="H11" s="3"/>
      <c r="I11" s="3"/>
      <c r="J11" s="3"/>
      <c r="K11" s="3" t="s">
        <v>123</v>
      </c>
      <c r="L11" s="3"/>
      <c r="M11" s="3">
        <f t="shared" ref="M11:M25" si="1">SUMIF(A:A,K11,B:B)</f>
        <v>0</v>
      </c>
    </row>
    <row r="12" spans="1:13" x14ac:dyDescent="0.25">
      <c r="A12" s="5" t="s">
        <v>106</v>
      </c>
      <c r="B12" s="6">
        <v>84149</v>
      </c>
      <c r="C12" t="s">
        <v>113</v>
      </c>
      <c r="D12" s="3"/>
      <c r="E12" s="7"/>
      <c r="F12" s="3"/>
      <c r="G12" s="3"/>
      <c r="H12" s="3"/>
      <c r="I12" s="3"/>
      <c r="J12" s="3"/>
      <c r="K12" s="7" t="s">
        <v>129</v>
      </c>
      <c r="L12" s="7"/>
      <c r="M12" s="3">
        <f t="shared" si="1"/>
        <v>0</v>
      </c>
    </row>
    <row r="13" spans="1:13" x14ac:dyDescent="0.25">
      <c r="A13" s="5" t="s">
        <v>100</v>
      </c>
      <c r="B13" s="6">
        <v>-48.05</v>
      </c>
      <c r="C13" t="s">
        <v>113</v>
      </c>
      <c r="D13" s="3"/>
      <c r="E13" s="3"/>
      <c r="F13" s="3"/>
      <c r="G13" s="3"/>
      <c r="H13" s="3"/>
      <c r="I13" s="3"/>
      <c r="J13" s="3"/>
      <c r="K13" s="7" t="s">
        <v>99</v>
      </c>
      <c r="L13" s="7"/>
      <c r="M13" s="3">
        <f t="shared" si="1"/>
        <v>0</v>
      </c>
    </row>
    <row r="14" spans="1:13" x14ac:dyDescent="0.25">
      <c r="A14" s="5" t="s">
        <v>102</v>
      </c>
      <c r="B14" s="6">
        <v>-70</v>
      </c>
      <c r="C14" t="s">
        <v>113</v>
      </c>
      <c r="D14" s="3"/>
      <c r="E14" s="3"/>
      <c r="F14" s="3"/>
      <c r="G14" s="3"/>
      <c r="H14" s="3"/>
      <c r="I14" s="3"/>
      <c r="J14" s="3"/>
      <c r="K14" s="5" t="s">
        <v>125</v>
      </c>
      <c r="L14" s="5"/>
      <c r="M14" s="3">
        <f t="shared" si="1"/>
        <v>-57.4</v>
      </c>
    </row>
    <row r="15" spans="1:13" x14ac:dyDescent="0.25">
      <c r="A15" s="5" t="s">
        <v>107</v>
      </c>
      <c r="B15" s="6">
        <v>-206.79999999999993</v>
      </c>
      <c r="C15" t="s">
        <v>113</v>
      </c>
      <c r="D15" s="3"/>
      <c r="E15" s="3"/>
      <c r="F15" s="3"/>
      <c r="G15" s="3"/>
      <c r="H15" s="3"/>
      <c r="I15" s="3"/>
      <c r="J15" s="3"/>
      <c r="K15" s="3" t="s">
        <v>130</v>
      </c>
      <c r="L15" s="3"/>
      <c r="M15" s="3">
        <f t="shared" si="1"/>
        <v>0</v>
      </c>
    </row>
    <row r="16" spans="1:13" x14ac:dyDescent="0.25">
      <c r="A16" s="5" t="s">
        <v>126</v>
      </c>
      <c r="B16" s="6">
        <v>-6500</v>
      </c>
      <c r="C16" t="s">
        <v>113</v>
      </c>
      <c r="D16" s="3"/>
      <c r="E16" s="3"/>
      <c r="F16" s="3"/>
      <c r="G16" s="3"/>
      <c r="H16" s="3"/>
      <c r="I16" s="3"/>
      <c r="J16" s="3"/>
      <c r="K16" s="7" t="s">
        <v>101</v>
      </c>
      <c r="L16" s="7"/>
      <c r="M16" s="3">
        <f t="shared" si="1"/>
        <v>-723</v>
      </c>
    </row>
    <row r="17" spans="1:13" x14ac:dyDescent="0.25">
      <c r="A17" s="5" t="s">
        <v>127</v>
      </c>
      <c r="B17" s="6">
        <v>-1400</v>
      </c>
      <c r="C17" t="s">
        <v>113</v>
      </c>
      <c r="D17" s="3"/>
      <c r="E17" s="3"/>
      <c r="F17" s="3"/>
      <c r="G17" s="3"/>
      <c r="H17" s="3"/>
      <c r="I17" s="3"/>
      <c r="J17" s="3"/>
      <c r="K17" s="7" t="s">
        <v>103</v>
      </c>
      <c r="L17" s="7"/>
      <c r="M17" s="3">
        <f t="shared" si="1"/>
        <v>-443.09000000000003</v>
      </c>
    </row>
    <row r="18" spans="1:13" x14ac:dyDescent="0.25">
      <c r="A18" s="5" t="s">
        <v>124</v>
      </c>
      <c r="B18" s="6">
        <v>-428.77</v>
      </c>
      <c r="C18" t="s">
        <v>114</v>
      </c>
      <c r="D18" s="3"/>
      <c r="E18" s="3"/>
      <c r="F18" s="3"/>
      <c r="G18" s="3"/>
      <c r="H18" s="3"/>
      <c r="I18" s="3"/>
      <c r="J18" s="3"/>
      <c r="K18" s="7" t="s">
        <v>102</v>
      </c>
      <c r="L18" s="7"/>
      <c r="M18" s="3">
        <f t="shared" si="1"/>
        <v>-70</v>
      </c>
    </row>
    <row r="19" spans="1:13" x14ac:dyDescent="0.25">
      <c r="A19" s="5" t="s">
        <v>125</v>
      </c>
      <c r="B19" s="6">
        <v>-57.4</v>
      </c>
      <c r="C19" t="s">
        <v>113</v>
      </c>
      <c r="D19" s="3"/>
      <c r="E19" s="3"/>
      <c r="F19" s="3"/>
      <c r="G19" s="3"/>
      <c r="H19" s="3"/>
      <c r="I19" s="3"/>
      <c r="J19" s="3"/>
      <c r="K19" s="7"/>
      <c r="L19" s="7"/>
      <c r="M19" s="3">
        <f t="shared" si="1"/>
        <v>0</v>
      </c>
    </row>
    <row r="20" spans="1:13" x14ac:dyDescent="0.25">
      <c r="A20" s="5" t="s">
        <v>128</v>
      </c>
      <c r="B20" s="6">
        <v>-12.2</v>
      </c>
      <c r="C20" t="s">
        <v>113</v>
      </c>
      <c r="D20" s="3"/>
      <c r="E20" s="3"/>
      <c r="F20" s="3"/>
      <c r="G20" s="3"/>
      <c r="H20" s="3"/>
      <c r="I20" s="3"/>
      <c r="J20" s="3"/>
      <c r="K20" s="7"/>
      <c r="L20" s="7"/>
      <c r="M20" s="3">
        <f t="shared" si="1"/>
        <v>0</v>
      </c>
    </row>
    <row r="21" spans="1:13" x14ac:dyDescent="0.25">
      <c r="A21" s="5" t="s">
        <v>110</v>
      </c>
      <c r="B21" s="6">
        <v>12127.540000000003</v>
      </c>
      <c r="D21" s="3"/>
      <c r="E21" s="3"/>
      <c r="F21" s="3"/>
      <c r="G21" s="3"/>
      <c r="H21" s="3"/>
      <c r="I21" s="3"/>
      <c r="J21" s="3"/>
      <c r="K21" s="7" t="s">
        <v>104</v>
      </c>
      <c r="L21" s="7"/>
      <c r="M21" s="3">
        <f t="shared" si="1"/>
        <v>-415</v>
      </c>
    </row>
    <row r="22" spans="1:13" x14ac:dyDescent="0.25">
      <c r="D22" s="3"/>
      <c r="E22" s="3"/>
      <c r="F22" s="3"/>
      <c r="G22" s="3"/>
      <c r="H22" s="3"/>
      <c r="I22" s="3"/>
      <c r="J22" s="3"/>
      <c r="K22" s="3"/>
      <c r="L22" s="3"/>
      <c r="M22" s="3">
        <f t="shared" si="1"/>
        <v>0</v>
      </c>
    </row>
    <row r="23" spans="1:13" x14ac:dyDescent="0.25">
      <c r="D23" s="3"/>
      <c r="E23" s="3"/>
      <c r="F23" s="3"/>
      <c r="G23" s="3"/>
      <c r="H23" s="3"/>
      <c r="I23" s="3"/>
      <c r="J23" s="3"/>
      <c r="K23" s="7" t="s">
        <v>105</v>
      </c>
      <c r="L23" s="7"/>
      <c r="M23" s="3">
        <f t="shared" si="1"/>
        <v>-1016</v>
      </c>
    </row>
    <row r="24" spans="1:13" x14ac:dyDescent="0.25">
      <c r="D24" s="3"/>
      <c r="E24" s="3"/>
      <c r="F24" s="3"/>
      <c r="G24" s="3"/>
      <c r="H24" s="3"/>
      <c r="I24" s="3"/>
      <c r="J24" s="3"/>
      <c r="K24" s="5" t="s">
        <v>126</v>
      </c>
      <c r="L24" s="5"/>
      <c r="M24" s="3">
        <f t="shared" si="1"/>
        <v>-6500</v>
      </c>
    </row>
    <row r="25" spans="1:13" x14ac:dyDescent="0.25">
      <c r="D25" s="3"/>
      <c r="E25" s="3"/>
      <c r="F25" s="3"/>
      <c r="G25" s="3"/>
      <c r="H25" s="3"/>
      <c r="I25" s="3"/>
      <c r="J25" s="3"/>
      <c r="K25" s="7"/>
      <c r="L25" s="7"/>
      <c r="M25" s="3">
        <f t="shared" si="1"/>
        <v>0</v>
      </c>
    </row>
    <row r="26" spans="1:13" x14ac:dyDescent="0.25">
      <c r="J26" s="3"/>
      <c r="K26" s="3"/>
      <c r="L26" s="3"/>
      <c r="M26" s="3"/>
    </row>
    <row r="27" spans="1:13" x14ac:dyDescent="0.25">
      <c r="J27" s="3"/>
      <c r="K27" s="3"/>
      <c r="L27" s="3"/>
      <c r="M27" s="3"/>
    </row>
    <row r="28" spans="1:13" x14ac:dyDescent="0.25">
      <c r="J28" s="3"/>
      <c r="K28" s="11"/>
      <c r="L28" s="11"/>
      <c r="M28" s="11">
        <f>SUM(M3:M27)</f>
        <v>62157.460000000006</v>
      </c>
    </row>
    <row r="29" spans="1:13" x14ac:dyDescent="0.25">
      <c r="J29" s="3"/>
      <c r="K29" s="3"/>
      <c r="L29" s="3"/>
      <c r="M29" s="3"/>
    </row>
    <row r="30" spans="1:13" x14ac:dyDescent="0.25">
      <c r="J30" s="3"/>
      <c r="K30" s="3"/>
      <c r="L30" s="3"/>
      <c r="M30" s="3"/>
    </row>
    <row r="31" spans="1:13" x14ac:dyDescent="0.25">
      <c r="J31" s="3"/>
      <c r="K31" s="3"/>
      <c r="L31" s="3"/>
      <c r="M31" s="8">
        <f>M28-F4</f>
        <v>0</v>
      </c>
    </row>
    <row r="32" spans="1:13" x14ac:dyDescent="0.25">
      <c r="I32" s="3"/>
      <c r="J32" s="3"/>
      <c r="K32" s="3"/>
      <c r="L32" s="3"/>
      <c r="M32" s="3"/>
    </row>
    <row r="33" spans="9:13" x14ac:dyDescent="0.25">
      <c r="I33" s="3" t="s">
        <v>117</v>
      </c>
      <c r="J33" s="3">
        <v>313</v>
      </c>
      <c r="K33" s="3"/>
      <c r="L33" s="3"/>
      <c r="M33" s="3">
        <f>SUM(J33:K33)</f>
        <v>313</v>
      </c>
    </row>
    <row r="35" spans="9:13" x14ac:dyDescent="0.25">
      <c r="I35" s="3" t="s">
        <v>115</v>
      </c>
      <c r="J35" s="3">
        <v>10207</v>
      </c>
      <c r="K35" s="3">
        <f>GETPIVOTDATA("Net",$A$3,"FY","FY25")</f>
        <v>12127.540000000003</v>
      </c>
      <c r="L35" s="3">
        <v>3105.5</v>
      </c>
      <c r="M35" s="3">
        <f>SUM(J35:L35)</f>
        <v>25440.04</v>
      </c>
    </row>
    <row r="36" spans="9:13" x14ac:dyDescent="0.25">
      <c r="I36" s="3" t="s">
        <v>116</v>
      </c>
      <c r="J36" s="3">
        <v>-9326</v>
      </c>
      <c r="K36" s="3">
        <f>-GETPIVOTDATA("Net",$A$3,"FY","FY25","UC Category","HMRC-CT")</f>
        <v>9231.15</v>
      </c>
      <c r="L36" s="3"/>
      <c r="M36" s="3">
        <f>SUM(J36:K36)</f>
        <v>-94.850000000000364</v>
      </c>
    </row>
    <row r="37" spans="9:13" x14ac:dyDescent="0.25">
      <c r="I37" s="5" t="s">
        <v>124</v>
      </c>
      <c r="J37" s="3"/>
      <c r="K37" s="3">
        <f>-GETPIVOTDATA("Net",$A$3,"FY","FY25","UC Category","DLA")</f>
        <v>428.77</v>
      </c>
      <c r="L37" s="3"/>
      <c r="M37" s="3">
        <f>SUM(J37:K37)</f>
        <v>428.77</v>
      </c>
    </row>
    <row r="38" spans="9:13" x14ac:dyDescent="0.25">
      <c r="I38" s="3" t="s">
        <v>132</v>
      </c>
      <c r="J38" s="3"/>
      <c r="K38" s="3"/>
      <c r="L38" s="3"/>
      <c r="M38" s="3"/>
    </row>
    <row r="39" spans="9:13" x14ac:dyDescent="0.25">
      <c r="I39" s="3"/>
      <c r="J39" s="3"/>
      <c r="K39" s="3"/>
      <c r="L39" s="3"/>
      <c r="M39" s="3"/>
    </row>
    <row r="40" spans="9:13" x14ac:dyDescent="0.25">
      <c r="I40" s="12"/>
      <c r="J40" s="11">
        <f>J33+J35+J36</f>
        <v>1194</v>
      </c>
      <c r="K40" s="11"/>
      <c r="L40" s="11"/>
      <c r="M40" s="11">
        <f>SUM(M33:M38)</f>
        <v>26086.960000000003</v>
      </c>
    </row>
    <row r="41" spans="9:13" x14ac:dyDescent="0.25">
      <c r="I41" s="3"/>
      <c r="J41" s="3"/>
      <c r="K41" s="3"/>
      <c r="L41" s="3"/>
      <c r="M41" s="3"/>
    </row>
    <row r="42" spans="9:13" x14ac:dyDescent="0.25">
      <c r="I42" s="3"/>
      <c r="J42" s="3"/>
      <c r="K42" s="3"/>
      <c r="L42" s="3"/>
      <c r="M42" s="3"/>
    </row>
    <row r="43" spans="9:13" x14ac:dyDescent="0.25">
      <c r="I43" s="3" t="s">
        <v>118</v>
      </c>
      <c r="J43" s="3">
        <v>4564</v>
      </c>
      <c r="K43" s="3"/>
      <c r="L43" s="3"/>
      <c r="M43" s="3">
        <f>SUM(J43:K43)</f>
        <v>4564</v>
      </c>
    </row>
    <row r="44" spans="9:13" x14ac:dyDescent="0.25">
      <c r="I44" s="3" t="s">
        <v>119</v>
      </c>
      <c r="J44" s="3">
        <v>-42500</v>
      </c>
      <c r="K44" s="3"/>
      <c r="L44" s="3"/>
      <c r="M44" s="3">
        <f t="shared" ref="M44:M47" si="2">SUM(J44:K44)</f>
        <v>-42500</v>
      </c>
    </row>
    <row r="45" spans="9:13" x14ac:dyDescent="0.25">
      <c r="I45" s="3" t="s">
        <v>120</v>
      </c>
      <c r="J45" s="3">
        <v>39130</v>
      </c>
      <c r="K45" s="3"/>
      <c r="L45" s="3"/>
      <c r="M45" s="3">
        <f t="shared" si="2"/>
        <v>39130</v>
      </c>
    </row>
    <row r="46" spans="9:13" x14ac:dyDescent="0.25">
      <c r="I46" s="3" t="s">
        <v>121</v>
      </c>
      <c r="J46" s="3"/>
      <c r="K46" s="3">
        <f>M28</f>
        <v>62157.460000000006</v>
      </c>
      <c r="L46" s="3"/>
      <c r="M46" s="3">
        <f t="shared" si="2"/>
        <v>62157.460000000006</v>
      </c>
    </row>
    <row r="47" spans="9:13" x14ac:dyDescent="0.25">
      <c r="I47" s="3" t="s">
        <v>122</v>
      </c>
      <c r="J47" s="3"/>
      <c r="K47" s="3">
        <f>GETPIVOTDATA("Net",$A$3,"FY","FY25","UC Category","Dividends")</f>
        <v>-40370</v>
      </c>
      <c r="L47" s="3"/>
      <c r="M47" s="3">
        <f t="shared" si="2"/>
        <v>-40370</v>
      </c>
    </row>
    <row r="48" spans="9:13" x14ac:dyDescent="0.25">
      <c r="I48" s="3" t="s">
        <v>134</v>
      </c>
      <c r="J48" s="3"/>
      <c r="K48" s="3"/>
      <c r="L48" s="3">
        <f>L35</f>
        <v>3105.5</v>
      </c>
      <c r="M48" s="3">
        <f>SUM(J48:L48)</f>
        <v>3105.5</v>
      </c>
    </row>
    <row r="49" spans="9:13" x14ac:dyDescent="0.25">
      <c r="I49" s="3"/>
      <c r="J49" s="3"/>
      <c r="K49" s="3"/>
      <c r="L49" s="3"/>
      <c r="M49" s="3"/>
    </row>
    <row r="50" spans="9:13" x14ac:dyDescent="0.25">
      <c r="I50" s="3"/>
      <c r="J50" s="3"/>
      <c r="K50" s="3"/>
      <c r="L50" s="3"/>
      <c r="M50" s="3"/>
    </row>
    <row r="51" spans="9:13" x14ac:dyDescent="0.25">
      <c r="I51" s="12"/>
      <c r="J51" s="11">
        <f>SUM(J43:J48)</f>
        <v>1194</v>
      </c>
      <c r="K51" s="11"/>
      <c r="L51" s="11"/>
      <c r="M51" s="11">
        <f>SUM(M43:M48)</f>
        <v>26086.960000000006</v>
      </c>
    </row>
    <row r="52" spans="9:13" x14ac:dyDescent="0.25">
      <c r="I52" s="3"/>
      <c r="J52" s="3"/>
      <c r="K52" s="3"/>
      <c r="L52" s="3"/>
      <c r="M52" s="3"/>
    </row>
    <row r="55" spans="9:13" x14ac:dyDescent="0.25">
      <c r="J55" s="8">
        <f>J51-J40</f>
        <v>0</v>
      </c>
      <c r="M55" s="10">
        <f>M51-M40</f>
        <v>0</v>
      </c>
    </row>
    <row r="56" spans="9:13" x14ac:dyDescent="0.25">
      <c r="J56" s="9"/>
    </row>
  </sheetData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2025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Ahmed Alam</cp:lastModifiedBy>
  <dcterms:created xsi:type="dcterms:W3CDTF">2025-10-28T09:42:07Z</dcterms:created>
  <dcterms:modified xsi:type="dcterms:W3CDTF">2026-07-01T20:23:07Z</dcterms:modified>
</cp:coreProperties>
</file>