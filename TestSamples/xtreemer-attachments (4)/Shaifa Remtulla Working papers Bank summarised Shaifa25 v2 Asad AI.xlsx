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cumkit\Shaifa Remtulla\My Workings Shaifa\Shaifa latest\"/>
    </mc:Choice>
  </mc:AlternateContent>
  <bookViews>
    <workbookView xWindow="0" yWindow="0" windowWidth="24000" windowHeight="9600" activeTab="1"/>
  </bookViews>
  <sheets>
    <sheet name="RAW 2025" sheetId="21" r:id="rId1"/>
    <sheet name="Analysis 26" sheetId="22" r:id="rId2"/>
  </sheets>
  <externalReferences>
    <externalReference r:id="rId3"/>
  </externalReferences>
  <definedNames>
    <definedName name="_xlnm._FilterDatabase" localSheetId="0" hidden="1">'RAW 2025'!$A$1:$U$755</definedName>
  </definedNames>
  <calcPr calcId="162913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22" l="1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4" i="22"/>
  <c r="L35" i="22"/>
  <c r="L5" i="22"/>
  <c r="F5" i="22"/>
  <c r="F4" i="22"/>
  <c r="F6" i="22" s="1"/>
  <c r="F7" i="22" s="1"/>
  <c r="U706" i="21" l="1"/>
  <c r="U700" i="21"/>
  <c r="U684" i="21"/>
  <c r="U683" i="21"/>
  <c r="U682" i="21"/>
  <c r="U681" i="21"/>
  <c r="U680" i="21"/>
  <c r="U679" i="21"/>
  <c r="U678" i="21"/>
  <c r="U677" i="21"/>
  <c r="U676" i="21"/>
  <c r="U675" i="21"/>
  <c r="U674" i="21"/>
  <c r="U673" i="21"/>
  <c r="U672" i="21"/>
  <c r="U671" i="21"/>
  <c r="U670" i="21"/>
  <c r="U669" i="21"/>
  <c r="U668" i="21"/>
  <c r="U667" i="21"/>
  <c r="U666" i="21"/>
  <c r="U665" i="21"/>
  <c r="U664" i="21"/>
  <c r="U663" i="21"/>
  <c r="U662" i="21"/>
  <c r="U661" i="21"/>
  <c r="U660" i="21"/>
  <c r="U659" i="21"/>
  <c r="U658" i="21"/>
  <c r="U657" i="21"/>
  <c r="U656" i="21"/>
  <c r="U655" i="21"/>
  <c r="U654" i="21"/>
  <c r="U653" i="21"/>
  <c r="U652" i="21"/>
  <c r="U651" i="21"/>
  <c r="U650" i="21"/>
  <c r="U649" i="21"/>
  <c r="U648" i="21"/>
  <c r="U647" i="21"/>
  <c r="U646" i="21"/>
  <c r="U645" i="21"/>
  <c r="U644" i="21"/>
  <c r="U643" i="21"/>
  <c r="U642" i="21"/>
  <c r="U641" i="21"/>
  <c r="U640" i="21"/>
  <c r="U639" i="21"/>
  <c r="U638" i="21"/>
  <c r="U637" i="21"/>
  <c r="U636" i="21"/>
  <c r="U635" i="21"/>
  <c r="U634" i="21"/>
  <c r="U633" i="21"/>
  <c r="U632" i="21"/>
  <c r="U631" i="21"/>
  <c r="U630" i="21"/>
  <c r="U629" i="21"/>
  <c r="U628" i="21"/>
  <c r="U627" i="21"/>
  <c r="U626" i="21"/>
  <c r="U625" i="21"/>
  <c r="U624" i="21"/>
  <c r="U623" i="21"/>
  <c r="U622" i="21"/>
  <c r="U621" i="21"/>
  <c r="U620" i="21"/>
  <c r="U619" i="21"/>
  <c r="U618" i="21"/>
  <c r="U617" i="21"/>
  <c r="U616" i="21"/>
  <c r="U615" i="21"/>
  <c r="U614" i="21"/>
  <c r="U613" i="21"/>
  <c r="U612" i="21"/>
  <c r="U611" i="21"/>
  <c r="U610" i="21"/>
  <c r="U609" i="21"/>
  <c r="U608" i="21"/>
  <c r="U607" i="21"/>
  <c r="U606" i="21"/>
  <c r="U605" i="21"/>
  <c r="U604" i="21"/>
  <c r="U603" i="21"/>
  <c r="U602" i="21"/>
  <c r="U601" i="21"/>
  <c r="U600" i="21"/>
  <c r="U599" i="21"/>
  <c r="U598" i="21"/>
  <c r="U597" i="21"/>
  <c r="U596" i="21"/>
  <c r="U595" i="21"/>
  <c r="U594" i="21"/>
  <c r="U593" i="21"/>
  <c r="U592" i="21"/>
  <c r="U591" i="21"/>
  <c r="U590" i="21"/>
  <c r="U589" i="21"/>
  <c r="U588" i="21"/>
  <c r="U587" i="21"/>
  <c r="U586" i="21"/>
  <c r="U585" i="21"/>
  <c r="U584" i="21"/>
  <c r="U583" i="21"/>
  <c r="U582" i="21"/>
  <c r="U581" i="21"/>
  <c r="U580" i="21"/>
  <c r="U579" i="21"/>
  <c r="U578" i="21"/>
  <c r="U577" i="21"/>
  <c r="U576" i="21"/>
  <c r="U575" i="21"/>
  <c r="U574" i="21"/>
  <c r="U573" i="21"/>
  <c r="U572" i="21"/>
  <c r="U571" i="21"/>
  <c r="U570" i="21"/>
  <c r="U569" i="21"/>
  <c r="U568" i="21"/>
  <c r="U567" i="21"/>
  <c r="U566" i="21"/>
  <c r="U565" i="21"/>
  <c r="U564" i="21"/>
  <c r="U563" i="21"/>
  <c r="U562" i="21"/>
  <c r="U561" i="21"/>
  <c r="U560" i="21"/>
  <c r="U559" i="21"/>
  <c r="U558" i="21"/>
  <c r="U557" i="21"/>
  <c r="U556" i="21"/>
  <c r="U555" i="21"/>
  <c r="U554" i="21"/>
  <c r="U553" i="21"/>
  <c r="U552" i="21"/>
  <c r="U551" i="21"/>
  <c r="U550" i="21"/>
  <c r="U549" i="21"/>
  <c r="U548" i="21"/>
  <c r="U547" i="21"/>
  <c r="U546" i="21"/>
  <c r="U545" i="21"/>
  <c r="U544" i="21"/>
  <c r="U543" i="21"/>
  <c r="U542" i="21"/>
  <c r="U541" i="21"/>
  <c r="U540" i="21"/>
  <c r="U539" i="21"/>
  <c r="U538" i="21"/>
  <c r="U537" i="21"/>
  <c r="U536" i="21"/>
  <c r="U535" i="21"/>
  <c r="U534" i="21"/>
  <c r="U533" i="21"/>
  <c r="U532" i="21"/>
  <c r="U531" i="21"/>
  <c r="U530" i="21"/>
  <c r="U529" i="21"/>
  <c r="U528" i="21"/>
  <c r="U527" i="21"/>
  <c r="U526" i="21"/>
  <c r="U525" i="21"/>
  <c r="U524" i="21"/>
  <c r="U523" i="21"/>
  <c r="U522" i="21"/>
  <c r="U521" i="21"/>
  <c r="U520" i="21"/>
  <c r="U519" i="21"/>
  <c r="U518" i="21"/>
  <c r="U517" i="21"/>
  <c r="U516" i="21"/>
  <c r="U515" i="21"/>
  <c r="U514" i="21"/>
  <c r="U513" i="21"/>
  <c r="U512" i="21"/>
  <c r="U511" i="21"/>
  <c r="U510" i="21"/>
  <c r="U509" i="21"/>
  <c r="U508" i="21"/>
  <c r="U507" i="21"/>
  <c r="U506" i="21"/>
  <c r="U505" i="21"/>
  <c r="U504" i="21"/>
  <c r="U503" i="21"/>
  <c r="U502" i="21"/>
  <c r="U501" i="21"/>
  <c r="U500" i="21"/>
  <c r="U499" i="21"/>
  <c r="U498" i="21"/>
  <c r="U497" i="21"/>
  <c r="U496" i="21"/>
  <c r="U495" i="21"/>
  <c r="U494" i="21"/>
  <c r="U493" i="21"/>
  <c r="U492" i="21"/>
  <c r="U491" i="21"/>
  <c r="U490" i="21"/>
  <c r="U489" i="21"/>
  <c r="U488" i="21"/>
  <c r="U487" i="21"/>
  <c r="U486" i="21"/>
  <c r="U485" i="21"/>
  <c r="U484" i="21"/>
  <c r="U483" i="21"/>
  <c r="U482" i="21"/>
  <c r="U481" i="21"/>
  <c r="U480" i="21"/>
  <c r="U479" i="21"/>
  <c r="U478" i="21"/>
  <c r="U477" i="21"/>
  <c r="U476" i="21"/>
  <c r="U475" i="21"/>
  <c r="U474" i="21"/>
  <c r="U473" i="21"/>
  <c r="U472" i="21"/>
  <c r="U471" i="21"/>
  <c r="U470" i="21"/>
  <c r="U469" i="21"/>
  <c r="U468" i="21"/>
  <c r="U467" i="21"/>
  <c r="U466" i="21"/>
  <c r="U465" i="21"/>
  <c r="U464" i="21"/>
  <c r="U463" i="21"/>
  <c r="U462" i="21"/>
  <c r="U461" i="21"/>
  <c r="U460" i="21"/>
  <c r="U459" i="21"/>
  <c r="U458" i="21"/>
  <c r="U457" i="21"/>
  <c r="U456" i="21"/>
  <c r="U455" i="21"/>
  <c r="U454" i="21"/>
  <c r="U453" i="21"/>
  <c r="U452" i="21"/>
  <c r="U451" i="21"/>
  <c r="U450" i="21"/>
  <c r="U449" i="21"/>
  <c r="U448" i="21"/>
  <c r="U447" i="21"/>
  <c r="U446" i="21"/>
  <c r="U445" i="21"/>
  <c r="U444" i="21"/>
  <c r="U443" i="21"/>
  <c r="U442" i="21"/>
  <c r="U441" i="21"/>
  <c r="U440" i="21"/>
  <c r="U439" i="21"/>
  <c r="U438" i="21"/>
  <c r="U437" i="21"/>
  <c r="U436" i="21"/>
  <c r="U435" i="21"/>
  <c r="U434" i="21"/>
  <c r="U433" i="21"/>
  <c r="U432" i="21"/>
  <c r="U431" i="21"/>
  <c r="U430" i="21"/>
  <c r="U429" i="21"/>
  <c r="U428" i="21"/>
  <c r="U427" i="21"/>
  <c r="U426" i="21"/>
  <c r="U425" i="21"/>
  <c r="U424" i="21"/>
  <c r="U423" i="21"/>
  <c r="U422" i="21"/>
  <c r="U421" i="21"/>
  <c r="U420" i="21"/>
  <c r="U419" i="21"/>
  <c r="U418" i="21"/>
  <c r="U417" i="21"/>
  <c r="U416" i="21"/>
  <c r="U415" i="21"/>
  <c r="U414" i="21"/>
  <c r="U413" i="21"/>
  <c r="U412" i="21"/>
  <c r="U411" i="21"/>
  <c r="U410" i="21"/>
  <c r="U409" i="21"/>
  <c r="U408" i="21"/>
  <c r="U407" i="21"/>
  <c r="U406" i="21"/>
  <c r="U405" i="21"/>
  <c r="U404" i="21"/>
  <c r="U403" i="21"/>
  <c r="U402" i="21"/>
  <c r="U401" i="21"/>
  <c r="U400" i="21"/>
  <c r="U399" i="21"/>
  <c r="U398" i="21"/>
  <c r="U397" i="21"/>
  <c r="U396" i="21"/>
  <c r="U395" i="21"/>
  <c r="U394" i="21"/>
  <c r="U393" i="21"/>
  <c r="U392" i="21"/>
  <c r="U391" i="21"/>
  <c r="U390" i="21"/>
  <c r="U389" i="21"/>
  <c r="U388" i="21"/>
  <c r="U387" i="21"/>
  <c r="U386" i="21"/>
  <c r="U385" i="21"/>
  <c r="U384" i="21"/>
  <c r="U383" i="21"/>
  <c r="U382" i="21"/>
  <c r="U381" i="21"/>
  <c r="U380" i="21"/>
  <c r="U379" i="21"/>
  <c r="U378" i="21"/>
  <c r="U377" i="21"/>
  <c r="U376" i="21"/>
  <c r="U375" i="21"/>
  <c r="U374" i="21"/>
  <c r="U373" i="21"/>
  <c r="U372" i="21"/>
  <c r="U371" i="21"/>
  <c r="U370" i="21"/>
  <c r="U369" i="21"/>
  <c r="U368" i="21"/>
  <c r="U367" i="21"/>
  <c r="U366" i="21"/>
  <c r="U365" i="21"/>
  <c r="U364" i="21"/>
  <c r="U363" i="21"/>
  <c r="U362" i="21"/>
  <c r="U361" i="21"/>
  <c r="U360" i="21"/>
  <c r="U359" i="21"/>
  <c r="U358" i="21"/>
  <c r="U357" i="21"/>
  <c r="U356" i="21"/>
  <c r="U355" i="21"/>
  <c r="U354" i="21"/>
  <c r="U353" i="21"/>
  <c r="U352" i="21"/>
  <c r="U351" i="21"/>
  <c r="U350" i="21"/>
  <c r="U349" i="21"/>
  <c r="U348" i="21"/>
  <c r="U347" i="21"/>
  <c r="U346" i="21"/>
  <c r="U345" i="21"/>
  <c r="U344" i="21"/>
  <c r="U343" i="21"/>
  <c r="U342" i="21"/>
  <c r="U341" i="21"/>
  <c r="U340" i="21"/>
  <c r="U339" i="21"/>
  <c r="U338" i="21"/>
  <c r="U337" i="21"/>
  <c r="U336" i="21"/>
  <c r="U335" i="21"/>
  <c r="U334" i="21"/>
  <c r="U333" i="21"/>
  <c r="U332" i="21"/>
  <c r="U331" i="21"/>
  <c r="U330" i="21"/>
  <c r="U329" i="21"/>
  <c r="U328" i="21"/>
  <c r="U327" i="21"/>
  <c r="U326" i="21"/>
  <c r="U325" i="21"/>
  <c r="U324" i="21"/>
  <c r="U323" i="21"/>
  <c r="U322" i="21"/>
  <c r="U321" i="21"/>
  <c r="U320" i="21"/>
  <c r="U319" i="21"/>
  <c r="U318" i="21"/>
  <c r="U317" i="21"/>
  <c r="U316" i="21"/>
  <c r="U315" i="21"/>
  <c r="U314" i="21"/>
  <c r="U313" i="21"/>
  <c r="U312" i="21"/>
  <c r="U311" i="21"/>
  <c r="U310" i="21"/>
  <c r="U309" i="21"/>
  <c r="U308" i="21"/>
  <c r="U307" i="21"/>
  <c r="U306" i="21"/>
  <c r="U305" i="21"/>
  <c r="U304" i="21"/>
  <c r="U303" i="21"/>
  <c r="U302" i="21"/>
  <c r="U301" i="21"/>
  <c r="U300" i="21"/>
  <c r="U299" i="21"/>
  <c r="U298" i="21"/>
  <c r="U297" i="21"/>
  <c r="U296" i="21"/>
  <c r="U295" i="21"/>
  <c r="U294" i="21"/>
  <c r="U293" i="21"/>
  <c r="U292" i="21"/>
  <c r="U291" i="21"/>
  <c r="U290" i="21"/>
  <c r="U289" i="21"/>
  <c r="U288" i="21"/>
  <c r="U287" i="21"/>
  <c r="U286" i="21"/>
  <c r="U285" i="21"/>
  <c r="U284" i="21"/>
  <c r="U283" i="21"/>
  <c r="U282" i="21"/>
  <c r="U281" i="21"/>
  <c r="U280" i="21"/>
  <c r="U279" i="21"/>
  <c r="U278" i="21"/>
  <c r="U277" i="21"/>
  <c r="U276" i="21"/>
  <c r="U275" i="21"/>
  <c r="U274" i="21"/>
  <c r="U273" i="21"/>
  <c r="U272" i="21"/>
  <c r="U271" i="21"/>
  <c r="U270" i="21"/>
  <c r="U269" i="21"/>
  <c r="U268" i="21"/>
  <c r="U267" i="21"/>
  <c r="U266" i="21"/>
  <c r="U265" i="21"/>
  <c r="U264" i="21"/>
  <c r="U263" i="21"/>
  <c r="U262" i="21"/>
  <c r="U261" i="21"/>
  <c r="U260" i="21"/>
  <c r="U259" i="21"/>
  <c r="U258" i="21"/>
  <c r="U257" i="21"/>
  <c r="U256" i="21"/>
  <c r="U255" i="21"/>
  <c r="U254" i="21"/>
  <c r="U253" i="21"/>
  <c r="U252" i="21"/>
  <c r="U251" i="21"/>
  <c r="U250" i="21"/>
  <c r="U249" i="21"/>
  <c r="U248" i="21"/>
  <c r="U247" i="21"/>
  <c r="U246" i="21"/>
  <c r="U245" i="21"/>
  <c r="U244" i="21"/>
  <c r="U243" i="21"/>
  <c r="U242" i="21"/>
  <c r="U241" i="21"/>
  <c r="U240" i="21"/>
  <c r="U239" i="21"/>
  <c r="U238" i="21"/>
  <c r="U237" i="21"/>
  <c r="U236" i="21"/>
  <c r="U235" i="21"/>
  <c r="U234" i="21"/>
  <c r="U233" i="21"/>
  <c r="U232" i="21"/>
  <c r="U231" i="21"/>
  <c r="U230" i="21"/>
  <c r="U229" i="21"/>
  <c r="U228" i="21"/>
  <c r="U227" i="21"/>
  <c r="U226" i="21"/>
  <c r="U225" i="21"/>
  <c r="U224" i="21"/>
  <c r="U223" i="21"/>
  <c r="U222" i="21"/>
  <c r="U221" i="21"/>
  <c r="U220" i="21"/>
  <c r="U219" i="21"/>
  <c r="U218" i="21"/>
  <c r="U217" i="21"/>
  <c r="U216" i="21"/>
  <c r="U215" i="21"/>
  <c r="U214" i="21"/>
  <c r="U213" i="21"/>
  <c r="U212" i="21"/>
  <c r="U211" i="21"/>
  <c r="U210" i="21"/>
  <c r="U209" i="21"/>
  <c r="U208" i="21"/>
  <c r="U207" i="21"/>
  <c r="U206" i="21"/>
  <c r="U205" i="21"/>
  <c r="U204" i="21"/>
  <c r="U203" i="21"/>
  <c r="U202" i="21"/>
  <c r="U201" i="21"/>
  <c r="U200" i="21"/>
  <c r="U199" i="21"/>
  <c r="U198" i="21"/>
  <c r="U197" i="21"/>
  <c r="U196" i="21"/>
  <c r="U195" i="21"/>
  <c r="U194" i="21"/>
  <c r="U193" i="21"/>
  <c r="U192" i="21"/>
  <c r="U191" i="21"/>
  <c r="U190" i="21"/>
  <c r="U189" i="21"/>
  <c r="U188" i="21"/>
  <c r="U187" i="21"/>
  <c r="U186" i="21"/>
  <c r="U185" i="21"/>
  <c r="U184" i="21"/>
  <c r="U183" i="21"/>
  <c r="U182" i="21"/>
  <c r="U181" i="21"/>
  <c r="U180" i="21"/>
  <c r="U179" i="21"/>
  <c r="U178" i="21"/>
  <c r="U177" i="21"/>
  <c r="U176" i="21"/>
  <c r="U175" i="21"/>
  <c r="U174" i="21"/>
  <c r="U173" i="21"/>
  <c r="U172" i="21"/>
  <c r="U171" i="21"/>
  <c r="U170" i="21"/>
  <c r="U169" i="21"/>
  <c r="U168" i="21"/>
  <c r="U167" i="21"/>
  <c r="U166" i="21"/>
  <c r="U165" i="21"/>
  <c r="U164" i="21"/>
  <c r="U163" i="21"/>
  <c r="U162" i="21"/>
  <c r="U161" i="21"/>
  <c r="U160" i="21"/>
  <c r="U159" i="21"/>
  <c r="U158" i="21"/>
  <c r="U157" i="21"/>
  <c r="U156" i="21"/>
  <c r="U155" i="21"/>
  <c r="U154" i="21"/>
  <c r="U153" i="21"/>
  <c r="U152" i="21"/>
  <c r="U151" i="21"/>
  <c r="U150" i="21"/>
  <c r="U149" i="21"/>
  <c r="U148" i="21"/>
  <c r="U147" i="21"/>
  <c r="U146" i="21"/>
  <c r="U145" i="21"/>
  <c r="U144" i="21"/>
  <c r="U143" i="21"/>
  <c r="U142" i="21"/>
  <c r="U141" i="21"/>
  <c r="U140" i="21"/>
  <c r="U139" i="21"/>
  <c r="U138" i="21"/>
  <c r="U137" i="21"/>
  <c r="U136" i="21"/>
  <c r="U135" i="21"/>
  <c r="U134" i="21"/>
  <c r="U133" i="21"/>
  <c r="U132" i="21"/>
  <c r="U131" i="21"/>
  <c r="U130" i="21"/>
  <c r="U129" i="21"/>
  <c r="U128" i="21"/>
  <c r="U127" i="21"/>
  <c r="U126" i="21"/>
  <c r="U125" i="21"/>
  <c r="U124" i="21"/>
  <c r="U123" i="21"/>
  <c r="U122" i="21"/>
  <c r="U121" i="21"/>
  <c r="U120" i="21"/>
  <c r="U119" i="21"/>
  <c r="U118" i="21"/>
  <c r="U117" i="21"/>
  <c r="U116" i="21"/>
  <c r="U115" i="21"/>
  <c r="U114" i="21"/>
  <c r="U113" i="21"/>
  <c r="U112" i="21"/>
  <c r="U111" i="21"/>
  <c r="U110" i="21"/>
  <c r="U109" i="21"/>
  <c r="U108" i="21"/>
  <c r="U107" i="21"/>
  <c r="U106" i="21"/>
  <c r="U105" i="21"/>
  <c r="U104" i="21"/>
  <c r="U103" i="21"/>
  <c r="U102" i="21"/>
  <c r="U101" i="21"/>
  <c r="U100" i="21"/>
  <c r="U99" i="21"/>
  <c r="U98" i="21"/>
  <c r="U97" i="21"/>
  <c r="U96" i="21"/>
  <c r="U95" i="21"/>
  <c r="U94" i="21"/>
  <c r="U93" i="21"/>
  <c r="U92" i="21"/>
  <c r="U91" i="21"/>
  <c r="U90" i="21"/>
  <c r="U89" i="21"/>
  <c r="U88" i="21"/>
  <c r="U87" i="21"/>
  <c r="U86" i="21"/>
  <c r="U85" i="21"/>
  <c r="U84" i="21"/>
  <c r="U83" i="21"/>
  <c r="U82" i="21"/>
  <c r="U81" i="21"/>
  <c r="U80" i="21"/>
  <c r="U79" i="21"/>
  <c r="U78" i="21"/>
  <c r="U77" i="21"/>
  <c r="U76" i="21"/>
  <c r="U75" i="21"/>
  <c r="U74" i="21"/>
  <c r="U73" i="21"/>
  <c r="U72" i="21"/>
  <c r="U71" i="21"/>
  <c r="U70" i="21"/>
  <c r="U69" i="21"/>
  <c r="U68" i="21"/>
  <c r="U67" i="21"/>
  <c r="U66" i="21"/>
  <c r="U65" i="21"/>
  <c r="U64" i="21"/>
  <c r="U63" i="21"/>
  <c r="U62" i="21"/>
  <c r="U61" i="21"/>
  <c r="U60" i="21"/>
  <c r="U59" i="21"/>
  <c r="U58" i="21"/>
  <c r="U57" i="21"/>
  <c r="U56" i="21"/>
  <c r="U55" i="21"/>
  <c r="U54" i="21"/>
  <c r="U53" i="21"/>
  <c r="U52" i="21"/>
  <c r="U51" i="21"/>
  <c r="U50" i="21"/>
  <c r="U49" i="21"/>
  <c r="U48" i="21"/>
  <c r="U47" i="21"/>
  <c r="U46" i="21"/>
  <c r="U45" i="21"/>
  <c r="U44" i="21"/>
  <c r="U43" i="21"/>
  <c r="U42" i="21"/>
  <c r="U41" i="21"/>
  <c r="U40" i="21"/>
  <c r="U39" i="21"/>
  <c r="U38" i="21"/>
  <c r="U37" i="21"/>
  <c r="U36" i="21"/>
  <c r="U35" i="21"/>
  <c r="U34" i="21"/>
  <c r="U33" i="21"/>
  <c r="U32" i="21"/>
  <c r="U31" i="21"/>
  <c r="U30" i="21"/>
  <c r="U29" i="21"/>
  <c r="U28" i="21"/>
  <c r="U27" i="21"/>
  <c r="U26" i="21"/>
  <c r="U25" i="21"/>
  <c r="U24" i="21"/>
  <c r="U23" i="21"/>
  <c r="U22" i="21"/>
  <c r="U21" i="21"/>
  <c r="U20" i="21"/>
  <c r="U19" i="21"/>
  <c r="U18" i="21"/>
  <c r="U17" i="21"/>
  <c r="U16" i="21"/>
  <c r="U15" i="21"/>
  <c r="U14" i="21"/>
  <c r="U13" i="21"/>
  <c r="U12" i="21"/>
  <c r="U11" i="21"/>
  <c r="U10" i="21"/>
  <c r="U9" i="21"/>
  <c r="U8" i="21"/>
  <c r="U7" i="21"/>
  <c r="U6" i="21"/>
  <c r="U5" i="21"/>
  <c r="U4" i="21"/>
  <c r="U3" i="21"/>
  <c r="U2" i="21"/>
  <c r="L54" i="22"/>
  <c r="J63" i="22"/>
  <c r="L62" i="22" s="1"/>
  <c r="J64" i="22"/>
  <c r="L64" i="22" s="1"/>
  <c r="J52" i="22"/>
  <c r="J53" i="22"/>
  <c r="J49" i="22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92" i="21"/>
  <c r="L147" i="21"/>
  <c r="L194" i="21"/>
  <c r="L195" i="21"/>
  <c r="L196" i="21"/>
  <c r="L197" i="21"/>
  <c r="L198" i="21"/>
  <c r="L199" i="21"/>
  <c r="L200" i="21"/>
  <c r="L201" i="21"/>
  <c r="L202" i="21"/>
  <c r="L203" i="21"/>
  <c r="L204" i="21"/>
  <c r="L205" i="21"/>
  <c r="L206" i="21"/>
  <c r="L207" i="21"/>
  <c r="L208" i="21"/>
  <c r="L209" i="21"/>
  <c r="L210" i="21"/>
  <c r="L211" i="21"/>
  <c r="L212" i="21"/>
  <c r="L213" i="21"/>
  <c r="L214" i="21"/>
  <c r="L215" i="21"/>
  <c r="L389" i="21"/>
  <c r="L150" i="21"/>
  <c r="L218" i="21"/>
  <c r="L219" i="21"/>
  <c r="L220" i="21"/>
  <c r="L221" i="21"/>
  <c r="L222" i="21"/>
  <c r="L223" i="21"/>
  <c r="L224" i="21"/>
  <c r="L225" i="21"/>
  <c r="L226" i="21"/>
  <c r="L39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154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9" i="21"/>
  <c r="L264" i="21"/>
  <c r="L265" i="21"/>
  <c r="L266" i="21"/>
  <c r="L267" i="21"/>
  <c r="L268" i="21"/>
  <c r="L292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401" i="21"/>
  <c r="L293" i="21"/>
  <c r="L43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294" i="21"/>
  <c r="L309" i="21"/>
  <c r="L310" i="21"/>
  <c r="L311" i="21"/>
  <c r="L312" i="21"/>
  <c r="L313" i="21"/>
  <c r="L314" i="21"/>
  <c r="L315" i="21"/>
  <c r="L316" i="21"/>
  <c r="L317" i="21"/>
  <c r="L318" i="21"/>
  <c r="L375" i="21"/>
  <c r="L320" i="21"/>
  <c r="L321" i="21"/>
  <c r="L322" i="21"/>
  <c r="L323" i="21"/>
  <c r="L324" i="21"/>
  <c r="L325" i="21"/>
  <c r="L326" i="21"/>
  <c r="L327" i="21"/>
  <c r="L436" i="21"/>
  <c r="L329" i="21"/>
  <c r="L330" i="21"/>
  <c r="L331" i="21"/>
  <c r="L332" i="21"/>
  <c r="L333" i="21"/>
  <c r="L334" i="21"/>
  <c r="L472" i="21"/>
  <c r="L481" i="21"/>
  <c r="L337" i="21"/>
  <c r="L338" i="21"/>
  <c r="L339" i="21"/>
  <c r="L340" i="21"/>
  <c r="L341" i="21"/>
  <c r="L342" i="21"/>
  <c r="L343" i="21"/>
  <c r="L344" i="21"/>
  <c r="L345" i="21"/>
  <c r="L193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216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528" i="21"/>
  <c r="L390" i="21"/>
  <c r="L391" i="21"/>
  <c r="L392" i="21"/>
  <c r="L393" i="21"/>
  <c r="L394" i="21"/>
  <c r="L395" i="21"/>
  <c r="L396" i="21"/>
  <c r="L542" i="21"/>
  <c r="L398" i="21"/>
  <c r="L399" i="21"/>
  <c r="L400" i="21"/>
  <c r="L308" i="21"/>
  <c r="L402" i="21"/>
  <c r="L403" i="21"/>
  <c r="L404" i="21"/>
  <c r="L405" i="21"/>
  <c r="L406" i="21"/>
  <c r="L407" i="21"/>
  <c r="L408" i="21"/>
  <c r="L409" i="21"/>
  <c r="L410" i="21"/>
  <c r="L411" i="21"/>
  <c r="L412" i="21"/>
  <c r="L413" i="21"/>
  <c r="L414" i="21"/>
  <c r="L415" i="21"/>
  <c r="L416" i="21"/>
  <c r="L417" i="21"/>
  <c r="L418" i="21"/>
  <c r="L419" i="21"/>
  <c r="L420" i="21"/>
  <c r="L421" i="21"/>
  <c r="L422" i="21"/>
  <c r="L423" i="21"/>
  <c r="L424" i="21"/>
  <c r="L425" i="21"/>
  <c r="L426" i="21"/>
  <c r="L427" i="21"/>
  <c r="L428" i="21"/>
  <c r="L429" i="21"/>
  <c r="L430" i="21"/>
  <c r="L431" i="21"/>
  <c r="L432" i="21"/>
  <c r="L433" i="21"/>
  <c r="L547" i="21"/>
  <c r="L435" i="21"/>
  <c r="L579" i="21"/>
  <c r="L437" i="21"/>
  <c r="L438" i="21"/>
  <c r="L439" i="21"/>
  <c r="L440" i="21"/>
  <c r="L441" i="21"/>
  <c r="L442" i="21"/>
  <c r="L443" i="21"/>
  <c r="L444" i="21"/>
  <c r="L445" i="21"/>
  <c r="L446" i="21"/>
  <c r="L447" i="21"/>
  <c r="L448" i="21"/>
  <c r="L449" i="21"/>
  <c r="L450" i="21"/>
  <c r="L451" i="21"/>
  <c r="L452" i="21"/>
  <c r="L453" i="21"/>
  <c r="L454" i="21"/>
  <c r="L455" i="21"/>
  <c r="L456" i="21"/>
  <c r="L457" i="21"/>
  <c r="L458" i="21"/>
  <c r="L459" i="21"/>
  <c r="L460" i="21"/>
  <c r="L461" i="21"/>
  <c r="L462" i="21"/>
  <c r="L463" i="21"/>
  <c r="L464" i="21"/>
  <c r="L465" i="21"/>
  <c r="L466" i="21"/>
  <c r="L467" i="21"/>
  <c r="L468" i="21"/>
  <c r="L469" i="21"/>
  <c r="L470" i="21"/>
  <c r="L471" i="21"/>
  <c r="L217" i="21"/>
  <c r="L473" i="21"/>
  <c r="L474" i="21"/>
  <c r="L475" i="21"/>
  <c r="L476" i="21"/>
  <c r="L477" i="21"/>
  <c r="L478" i="21"/>
  <c r="L479" i="21"/>
  <c r="L480" i="21"/>
  <c r="L583" i="21"/>
  <c r="L482" i="21"/>
  <c r="L483" i="21"/>
  <c r="L484" i="21"/>
  <c r="L485" i="21"/>
  <c r="L486" i="21"/>
  <c r="L487" i="21"/>
  <c r="L488" i="21"/>
  <c r="L489" i="21"/>
  <c r="L490" i="21"/>
  <c r="L491" i="21"/>
  <c r="L492" i="21"/>
  <c r="L493" i="21"/>
  <c r="L494" i="21"/>
  <c r="L495" i="21"/>
  <c r="L496" i="21"/>
  <c r="L497" i="21"/>
  <c r="L498" i="21"/>
  <c r="L499" i="21"/>
  <c r="L500" i="21"/>
  <c r="L501" i="21"/>
  <c r="L502" i="21"/>
  <c r="L503" i="21"/>
  <c r="L504" i="21"/>
  <c r="L505" i="21"/>
  <c r="L506" i="21"/>
  <c r="L507" i="21"/>
  <c r="L508" i="21"/>
  <c r="L509" i="21"/>
  <c r="L510" i="21"/>
  <c r="L511" i="21"/>
  <c r="L512" i="21"/>
  <c r="L513" i="21"/>
  <c r="L514" i="21"/>
  <c r="L515" i="21"/>
  <c r="L516" i="21"/>
  <c r="L517" i="21"/>
  <c r="L518" i="21"/>
  <c r="L519" i="21"/>
  <c r="L520" i="21"/>
  <c r="L521" i="21"/>
  <c r="L522" i="21"/>
  <c r="L523" i="21"/>
  <c r="L524" i="21"/>
  <c r="L525" i="21"/>
  <c r="L526" i="21"/>
  <c r="L527" i="21"/>
  <c r="L585" i="21"/>
  <c r="L604" i="21"/>
  <c r="L530" i="21"/>
  <c r="L531" i="21"/>
  <c r="L532" i="21"/>
  <c r="L533" i="21"/>
  <c r="L534" i="21"/>
  <c r="L535" i="21"/>
  <c r="L536" i="21"/>
  <c r="L537" i="21"/>
  <c r="L538" i="21"/>
  <c r="L539" i="21"/>
  <c r="L540" i="21"/>
  <c r="L541" i="21"/>
  <c r="L596" i="21"/>
  <c r="L543" i="21"/>
  <c r="L544" i="21"/>
  <c r="L545" i="21"/>
  <c r="L610" i="21"/>
  <c r="L319" i="21"/>
  <c r="L548" i="21"/>
  <c r="L549" i="21"/>
  <c r="L662" i="21"/>
  <c r="L551" i="21"/>
  <c r="L552" i="21"/>
  <c r="L553" i="21"/>
  <c r="L554" i="21"/>
  <c r="L649" i="21"/>
  <c r="L555" i="21"/>
  <c r="L556" i="21"/>
  <c r="L557" i="21"/>
  <c r="L558" i="21"/>
  <c r="L559" i="21"/>
  <c r="L560" i="21"/>
  <c r="L561" i="21"/>
  <c r="L562" i="21"/>
  <c r="L563" i="21"/>
  <c r="L564" i="21"/>
  <c r="L565" i="21"/>
  <c r="L566" i="21"/>
  <c r="L567" i="21"/>
  <c r="L568" i="21"/>
  <c r="L569" i="21"/>
  <c r="L570" i="21"/>
  <c r="L529" i="21"/>
  <c r="L572" i="21"/>
  <c r="L573" i="21"/>
  <c r="L574" i="21"/>
  <c r="L546" i="21"/>
  <c r="L576" i="21"/>
  <c r="L577" i="21"/>
  <c r="L578" i="21"/>
  <c r="L227" i="21"/>
  <c r="L580" i="21"/>
  <c r="L581" i="21"/>
  <c r="L706" i="21"/>
  <c r="L582" i="21"/>
  <c r="L599" i="21"/>
  <c r="L584" i="21"/>
  <c r="L600" i="21"/>
  <c r="L586" i="21"/>
  <c r="L587" i="21"/>
  <c r="L588" i="21"/>
  <c r="L589" i="21"/>
  <c r="L590" i="21"/>
  <c r="L591" i="21"/>
  <c r="L592" i="21"/>
  <c r="L593" i="21"/>
  <c r="L594" i="21"/>
  <c r="L595" i="21"/>
  <c r="L246" i="21"/>
  <c r="L597" i="21"/>
  <c r="L598" i="21"/>
  <c r="L335" i="21"/>
  <c r="L601" i="21"/>
  <c r="L328" i="21"/>
  <c r="L602" i="21"/>
  <c r="L603" i="21"/>
  <c r="L571" i="21"/>
  <c r="L605" i="21"/>
  <c r="L606" i="21"/>
  <c r="L607" i="21"/>
  <c r="L608" i="21"/>
  <c r="L609" i="21"/>
  <c r="L575" i="21"/>
  <c r="L611" i="21"/>
  <c r="L612" i="21"/>
  <c r="L613" i="21"/>
  <c r="L614" i="21"/>
  <c r="L615" i="21"/>
  <c r="L616" i="21"/>
  <c r="L617" i="21"/>
  <c r="L618" i="21"/>
  <c r="L619" i="21"/>
  <c r="L620" i="21"/>
  <c r="L621" i="21"/>
  <c r="L622" i="21"/>
  <c r="L623" i="21"/>
  <c r="L624" i="21"/>
  <c r="L625" i="21"/>
  <c r="L626" i="21"/>
  <c r="L627" i="21"/>
  <c r="L628" i="21"/>
  <c r="L629" i="21"/>
  <c r="L630" i="21"/>
  <c r="L631" i="21"/>
  <c r="L632" i="21"/>
  <c r="L633" i="21"/>
  <c r="L634" i="21"/>
  <c r="L635" i="21"/>
  <c r="L636" i="21"/>
  <c r="L637" i="21"/>
  <c r="L638" i="21"/>
  <c r="L639" i="21"/>
  <c r="L640" i="21"/>
  <c r="L641" i="21"/>
  <c r="L642" i="21"/>
  <c r="L643" i="21"/>
  <c r="L644" i="21"/>
  <c r="L645" i="21"/>
  <c r="L646" i="21"/>
  <c r="L647" i="21"/>
  <c r="L648" i="21"/>
  <c r="L550" i="21"/>
  <c r="L650" i="21"/>
  <c r="L651" i="21"/>
  <c r="L652" i="21"/>
  <c r="L653" i="21"/>
  <c r="L654" i="21"/>
  <c r="L655" i="21"/>
  <c r="L656" i="21"/>
  <c r="L657" i="21"/>
  <c r="L658" i="21"/>
  <c r="L659" i="21"/>
  <c r="L660" i="21"/>
  <c r="L661" i="21"/>
  <c r="L700" i="21"/>
  <c r="L663" i="21"/>
  <c r="L664" i="21"/>
  <c r="L665" i="21"/>
  <c r="L666" i="21"/>
  <c r="L667" i="21"/>
  <c r="L668" i="21"/>
  <c r="L669" i="21"/>
  <c r="L670" i="21"/>
  <c r="L671" i="21"/>
  <c r="L672" i="21"/>
  <c r="L673" i="21"/>
  <c r="L674" i="21"/>
  <c r="L675" i="21"/>
  <c r="L676" i="21"/>
  <c r="L677" i="21"/>
  <c r="L678" i="21"/>
  <c r="L679" i="21"/>
  <c r="L680" i="21"/>
  <c r="L681" i="21"/>
  <c r="L682" i="21"/>
  <c r="L683" i="21"/>
  <c r="L684" i="21"/>
  <c r="L155" i="21"/>
  <c r="L346" i="21"/>
  <c r="L153" i="21"/>
  <c r="L152" i="21"/>
  <c r="L151" i="21"/>
  <c r="L149" i="21"/>
  <c r="L148" i="21"/>
  <c r="L336" i="21"/>
  <c r="L145" i="21"/>
  <c r="L144" i="21"/>
  <c r="L143" i="21"/>
  <c r="L142" i="21"/>
  <c r="L141" i="21"/>
  <c r="L140" i="21"/>
  <c r="L139" i="21"/>
  <c r="L138" i="21"/>
  <c r="L137" i="21"/>
  <c r="L136" i="21"/>
  <c r="L135" i="21"/>
  <c r="L134" i="21"/>
  <c r="L133" i="21"/>
  <c r="L132" i="21"/>
  <c r="L130" i="21"/>
  <c r="L129" i="21"/>
  <c r="L128" i="21"/>
  <c r="L127" i="21"/>
  <c r="L126" i="21"/>
  <c r="L125" i="21"/>
  <c r="L124" i="21"/>
  <c r="L123" i="21"/>
  <c r="L122" i="21"/>
  <c r="L121" i="21"/>
  <c r="L120" i="21"/>
  <c r="L119" i="21"/>
  <c r="L118" i="21"/>
  <c r="L117" i="21"/>
  <c r="L116" i="21"/>
  <c r="L115" i="21"/>
  <c r="L114" i="21"/>
  <c r="L113" i="21"/>
  <c r="L112" i="21"/>
  <c r="L111" i="21"/>
  <c r="L110" i="21"/>
  <c r="L109" i="21"/>
  <c r="L108" i="21"/>
  <c r="L107" i="21"/>
  <c r="L106" i="21"/>
  <c r="L105" i="21"/>
  <c r="L104" i="21"/>
  <c r="L103" i="21"/>
  <c r="L102" i="21"/>
  <c r="L101" i="21"/>
  <c r="L100" i="21"/>
  <c r="L99" i="21"/>
  <c r="L98" i="21"/>
  <c r="L97" i="21"/>
  <c r="L96" i="21"/>
  <c r="L95" i="21"/>
  <c r="L94" i="21"/>
  <c r="L93" i="21"/>
  <c r="L92" i="21"/>
  <c r="L91" i="21"/>
  <c r="L90" i="21"/>
  <c r="L89" i="21"/>
  <c r="L88" i="21"/>
  <c r="L87" i="21"/>
  <c r="L86" i="21"/>
  <c r="L85" i="21"/>
  <c r="L84" i="21"/>
  <c r="L83" i="21"/>
  <c r="L82" i="21"/>
  <c r="L81" i="21"/>
  <c r="L80" i="21"/>
  <c r="L79" i="21"/>
  <c r="L78" i="21"/>
  <c r="L77" i="21"/>
  <c r="L76" i="21"/>
  <c r="L75" i="21"/>
  <c r="L74" i="21"/>
  <c r="L73" i="21"/>
  <c r="L72" i="21"/>
  <c r="L71" i="21"/>
  <c r="L70" i="21"/>
  <c r="L69" i="21"/>
  <c r="L68" i="21"/>
  <c r="L67" i="21"/>
  <c r="L66" i="21"/>
  <c r="L65" i="21"/>
  <c r="L64" i="21"/>
  <c r="L63" i="21"/>
  <c r="L62" i="21"/>
  <c r="L61" i="21"/>
  <c r="L60" i="21"/>
  <c r="L59" i="21"/>
  <c r="L58" i="21"/>
  <c r="L57" i="21"/>
  <c r="L56" i="21"/>
  <c r="L55" i="21"/>
  <c r="L54" i="21"/>
  <c r="L53" i="21"/>
  <c r="L52" i="21"/>
  <c r="L51" i="21"/>
  <c r="L50" i="21"/>
  <c r="L49" i="21"/>
  <c r="L48" i="21"/>
  <c r="L47" i="21"/>
  <c r="L46" i="21"/>
  <c r="L45" i="21"/>
  <c r="L44" i="21"/>
  <c r="L43" i="21"/>
  <c r="L42" i="21"/>
  <c r="L41" i="21"/>
  <c r="L40" i="21"/>
  <c r="L39" i="21"/>
  <c r="L38" i="21"/>
  <c r="L37" i="21"/>
  <c r="L36" i="21"/>
  <c r="L35" i="21"/>
  <c r="L263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L34" i="21"/>
  <c r="L131" i="21"/>
  <c r="L146" i="21"/>
  <c r="K66" i="22"/>
  <c r="K50" i="22"/>
  <c r="K53" i="22"/>
  <c r="K49" i="22"/>
  <c r="K55" i="22"/>
  <c r="K52" i="22"/>
  <c r="L55" i="22" l="1"/>
  <c r="J68" i="22"/>
  <c r="L66" i="22"/>
  <c r="L49" i="22"/>
  <c r="J57" i="22"/>
  <c r="L53" i="22"/>
  <c r="L52" i="22"/>
  <c r="L50" i="22"/>
  <c r="L51" i="22"/>
  <c r="L39" i="22"/>
  <c r="L65" i="22" l="1"/>
  <c r="L68" i="22" s="1"/>
  <c r="L40" i="22"/>
  <c r="J69" i="22"/>
  <c r="L57" i="22"/>
  <c r="L69" i="22" l="1"/>
  <c r="Q2" i="21" l="1"/>
  <c r="Q3" i="21" s="1"/>
  <c r="Q4" i="21" s="1"/>
  <c r="Q5" i="21" s="1"/>
  <c r="Q6" i="21" s="1"/>
  <c r="Q7" i="21" s="1"/>
  <c r="Q8" i="21" s="1"/>
  <c r="Q9" i="21" s="1"/>
  <c r="Q10" i="21" s="1"/>
  <c r="Q11" i="21" s="1"/>
  <c r="Q12" i="21" s="1"/>
  <c r="Q13" i="21" s="1"/>
  <c r="Q14" i="21" s="1"/>
  <c r="Q15" i="21" s="1"/>
  <c r="Q16" i="21" s="1"/>
  <c r="Q17" i="21" s="1"/>
  <c r="Q18" i="21" s="1"/>
  <c r="Q19" i="21" s="1"/>
  <c r="Q20" i="21" s="1"/>
  <c r="Q21" i="21" s="1"/>
  <c r="Q22" i="21" s="1"/>
  <c r="Q23" i="21" s="1"/>
  <c r="Q24" i="21" s="1"/>
  <c r="Q25" i="21" s="1"/>
  <c r="Q26" i="21" s="1"/>
  <c r="Q27" i="21" s="1"/>
  <c r="Q28" i="21" s="1"/>
  <c r="Q29" i="21" s="1"/>
  <c r="Q30" i="21" s="1"/>
  <c r="Q31" i="21" s="1"/>
  <c r="Q32" i="21" s="1"/>
  <c r="Q33" i="21" s="1"/>
  <c r="Q263" i="21" s="1"/>
  <c r="Q336" i="21"/>
  <c r="Q148" i="21"/>
  <c r="Q149" i="21" s="1"/>
  <c r="Q346" i="21"/>
  <c r="Q34" i="21" l="1"/>
  <c r="Q35" i="21" s="1"/>
  <c r="Q36" i="21" s="1"/>
  <c r="Q37" i="21" s="1"/>
  <c r="Q38" i="21" s="1"/>
  <c r="Q39" i="21" s="1"/>
  <c r="Q40" i="21" s="1"/>
  <c r="Q41" i="21" s="1"/>
  <c r="Q42" i="21" s="1"/>
  <c r="Q43" i="21" s="1"/>
  <c r="Q44" i="21" s="1"/>
  <c r="Q45" i="21" s="1"/>
  <c r="Q46" i="21" s="1"/>
  <c r="Q47" i="21" s="1"/>
  <c r="Q48" i="21" s="1"/>
  <c r="Q49" i="21" s="1"/>
  <c r="Q50" i="21" s="1"/>
  <c r="Q51" i="21" s="1"/>
  <c r="Q52" i="21" s="1"/>
  <c r="Q53" i="21" s="1"/>
  <c r="Q54" i="21" s="1"/>
  <c r="Q55" i="21" s="1"/>
  <c r="Q56" i="21" s="1"/>
  <c r="Q57" i="21" s="1"/>
  <c r="Q58" i="21" s="1"/>
  <c r="Q59" i="21" s="1"/>
  <c r="Q60" i="21" s="1"/>
  <c r="Q61" i="21" s="1"/>
  <c r="Q62" i="21" s="1"/>
  <c r="Q63" i="21" s="1"/>
  <c r="Q64" i="21" s="1"/>
  <c r="Q65" i="21" s="1"/>
  <c r="Q66" i="21" s="1"/>
  <c r="Q67" i="21" s="1"/>
  <c r="Q68" i="21" s="1"/>
  <c r="Q69" i="21" s="1"/>
  <c r="Q70" i="21" s="1"/>
  <c r="Q71" i="21" s="1"/>
  <c r="Q72" i="21" s="1"/>
  <c r="Q73" i="21" s="1"/>
  <c r="Q74" i="21" s="1"/>
  <c r="Q75" i="21" s="1"/>
  <c r="Q76" i="21" s="1"/>
  <c r="Q77" i="21" s="1"/>
  <c r="Q78" i="21" s="1"/>
  <c r="Q79" i="21" s="1"/>
  <c r="Q80" i="21" s="1"/>
  <c r="Q81" i="21" s="1"/>
  <c r="Q82" i="21" s="1"/>
  <c r="Q83" i="21" s="1"/>
  <c r="Q84" i="21" s="1"/>
  <c r="Q85" i="21" s="1"/>
  <c r="Q86" i="21" s="1"/>
  <c r="Q87" i="21" s="1"/>
  <c r="Q88" i="21" s="1"/>
  <c r="Q89" i="21" s="1"/>
  <c r="Q90" i="21" s="1"/>
  <c r="Q91" i="21" s="1"/>
  <c r="Q92" i="21" s="1"/>
  <c r="Q93" i="21" s="1"/>
  <c r="Q94" i="21" s="1"/>
  <c r="Q95" i="21" s="1"/>
  <c r="Q96" i="21" s="1"/>
  <c r="Q97" i="21" s="1"/>
  <c r="Q98" i="21" s="1"/>
  <c r="Q99" i="21" s="1"/>
  <c r="Q100" i="21" s="1"/>
  <c r="Q101" i="21" s="1"/>
  <c r="Q102" i="21" s="1"/>
  <c r="Q103" i="21" s="1"/>
  <c r="Q104" i="21" s="1"/>
  <c r="Q105" i="21" s="1"/>
  <c r="Q106" i="21" s="1"/>
  <c r="Q107" i="21" s="1"/>
  <c r="Q108" i="21" s="1"/>
  <c r="Q109" i="21" s="1"/>
  <c r="Q110" i="21" s="1"/>
  <c r="Q111" i="21" s="1"/>
  <c r="Q112" i="21" s="1"/>
  <c r="Q113" i="21" s="1"/>
  <c r="Q114" i="21" s="1"/>
  <c r="Q115" i="21" s="1"/>
  <c r="Q116" i="21" s="1"/>
  <c r="Q117" i="21" s="1"/>
  <c r="Q118" i="21" s="1"/>
  <c r="Q119" i="21" s="1"/>
  <c r="Q120" i="21" s="1"/>
  <c r="Q121" i="21" s="1"/>
  <c r="Q122" i="21" s="1"/>
  <c r="Q123" i="21" s="1"/>
  <c r="Q124" i="21" s="1"/>
  <c r="Q125" i="21" s="1"/>
  <c r="Q126" i="21" s="1"/>
  <c r="Q127" i="21" s="1"/>
  <c r="Q128" i="21" s="1"/>
  <c r="Q129" i="21" s="1"/>
  <c r="Q130" i="21" s="1"/>
  <c r="Q131" i="21" s="1"/>
  <c r="Q132" i="21" s="1"/>
  <c r="Q133" i="21" s="1"/>
  <c r="Q134" i="21" s="1"/>
  <c r="Q135" i="21" s="1"/>
  <c r="Q136" i="21" s="1"/>
  <c r="Q137" i="21" s="1"/>
  <c r="Q138" i="21" s="1"/>
  <c r="Q139" i="21" s="1"/>
  <c r="Q140" i="21" s="1"/>
  <c r="Q141" i="21" s="1"/>
  <c r="Q142" i="21" s="1"/>
  <c r="Q143" i="21" s="1"/>
  <c r="Q144" i="21" s="1"/>
  <c r="Q145" i="21" s="1"/>
  <c r="Q146" i="21" s="1"/>
  <c r="Q151" i="21"/>
  <c r="Q152" i="21" s="1"/>
  <c r="Q153" i="21" s="1"/>
</calcChain>
</file>

<file path=xl/sharedStrings.xml><?xml version="1.0" encoding="utf-8"?>
<sst xmlns="http://schemas.openxmlformats.org/spreadsheetml/2006/main" count="5606" uniqueCount="467">
  <si>
    <t>Date</t>
  </si>
  <si>
    <t>Balance</t>
  </si>
  <si>
    <t>SA</t>
  </si>
  <si>
    <t>Row Labels</t>
  </si>
  <si>
    <t>Grand Total</t>
  </si>
  <si>
    <t>UC category</t>
  </si>
  <si>
    <t>Dividends</t>
  </si>
  <si>
    <t>Income</t>
  </si>
  <si>
    <t>No</t>
  </si>
  <si>
    <t>Travel</t>
  </si>
  <si>
    <t>DLA</t>
  </si>
  <si>
    <t>Stationary</t>
  </si>
  <si>
    <t>Mobile</t>
  </si>
  <si>
    <t>BS</t>
  </si>
  <si>
    <t>PL</t>
  </si>
  <si>
    <t>Equipment</t>
  </si>
  <si>
    <t>Cash</t>
  </si>
  <si>
    <t>Fee</t>
  </si>
  <si>
    <t>TFL TRAVEL CH - VICTORIA STREET, TFL.GOV.UK/CP</t>
  </si>
  <si>
    <t>EE Limited - HATFIELD BUSINESS PK, T-MOBILE CO U</t>
  </si>
  <si>
    <t>Timestamp</t>
  </si>
  <si>
    <t>Transaction description</t>
  </si>
  <si>
    <t>Reference</t>
  </si>
  <si>
    <t>From</t>
  </si>
  <si>
    <t>To</t>
  </si>
  <si>
    <t>Amount</t>
  </si>
  <si>
    <t>Category name</t>
  </si>
  <si>
    <t>Transaction type</t>
  </si>
  <si>
    <t>Status</t>
  </si>
  <si>
    <t>Tag 1</t>
  </si>
  <si>
    <t>income</t>
  </si>
  <si>
    <t>SHAIFA REMTULLA</t>
  </si>
  <si>
    <t>FasterPaymentOut</t>
  </si>
  <si>
    <t>Cleared</t>
  </si>
  <si>
    <t>120PX02927477</t>
  </si>
  <si>
    <t>HMRC CUMBERLAND</t>
  </si>
  <si>
    <t>CardPaymentOut</t>
  </si>
  <si>
    <t>FasterPaymentIn</t>
  </si>
  <si>
    <t>Meals</t>
  </si>
  <si>
    <t>FISHEYE OPTICIANS</t>
  </si>
  <si>
    <t>FISHEYE O LTD SW</t>
  </si>
  <si>
    <t>VISION EXPRESS UK</t>
  </si>
  <si>
    <t>EE LIMITED             HATFIELD</t>
  </si>
  <si>
    <t>Phone and internet</t>
  </si>
  <si>
    <t>Office supplies</t>
  </si>
  <si>
    <t>CardRefund</t>
  </si>
  <si>
    <t>breakfast coffee</t>
  </si>
  <si>
    <t>Other expenses</t>
  </si>
  <si>
    <t>lunch</t>
  </si>
  <si>
    <t>MISP HOLDINGS LIMITED</t>
  </si>
  <si>
    <t>luxotica</t>
  </si>
  <si>
    <t>REMTULLA</t>
  </si>
  <si>
    <t>COSTCO</t>
  </si>
  <si>
    <t>Operational equipment</t>
  </si>
  <si>
    <t>Personal expenses</t>
  </si>
  <si>
    <t>payment</t>
  </si>
  <si>
    <t>SAINSBURYS             LONDON</t>
  </si>
  <si>
    <t>AC</t>
  </si>
  <si>
    <t>SA23.24</t>
  </si>
  <si>
    <t xml:space="preserve">In </t>
  </si>
  <si>
    <t>Out</t>
  </si>
  <si>
    <t>Lunch</t>
  </si>
  <si>
    <t>Unknown</t>
  </si>
  <si>
    <t>Bank charge</t>
  </si>
  <si>
    <t>Subscription</t>
  </si>
  <si>
    <t>Sum of Amount</t>
  </si>
  <si>
    <t>Wages</t>
  </si>
  <si>
    <t>Income: SA?</t>
  </si>
  <si>
    <t>TRAINLINE - TRAINLINE, LONDON</t>
  </si>
  <si>
    <t>UBR* PENDING.UBER.COM - Aldgate Tower First Floor, LONDON</t>
  </si>
  <si>
    <t>JOE THE JUICE UK LTD - 46 Dean Street, London</t>
  </si>
  <si>
    <t>DELIVEROO - 1 Cousin Lane, LONDON</t>
  </si>
  <si>
    <t>SHAIFA REMTULLA ref: income</t>
  </si>
  <si>
    <t>COSTA COFFEE 43010810 - COLLONADES LEISURE PARK, CROYDON</t>
  </si>
  <si>
    <t>UBER* TRIP - 2 LEMAN STREET, LONDON</t>
  </si>
  <si>
    <t>SHAIFA REMTULLA ref: payment</t>
  </si>
  <si>
    <t>RAVEL?S DRY CLEANERS - 118 Dawes Road, London</t>
  </si>
  <si>
    <t>NANDOS.CO.UK - Erico House93- 99 Upper Richmond Road, LONDON</t>
  </si>
  <si>
    <t>BOOTS LONDON - UNIT 7 FULHAM BROADWAY, LONDON</t>
  </si>
  <si>
    <t>COSTA COFFEE 43011146 - UNIT R13, FOOD COURT LEVEL, VICTORIA PL SC, LONDON</t>
  </si>
  <si>
    <t>CAFFE NERO 17 CLAPHAM - UNIT 7B, LONDON</t>
  </si>
  <si>
    <t>HOLLAND &amp; BARRETT - UNIT15 BUCKINGHAM PALACE ROAD, VICTORIA PLAC</t>
  </si>
  <si>
    <t>COSTCO             ref: 1947708</t>
  </si>
  <si>
    <t>PWS VISION EXPRESS ref: RG50570000039324</t>
  </si>
  <si>
    <t>RG50570000039324</t>
  </si>
  <si>
    <t>COSTCO             ref: 1947961</t>
  </si>
  <si>
    <t>BOLT.EU/O/2403070519 - Leather Market, Unit J, Taper Studios, London</t>
  </si>
  <si>
    <t>SAINSBURYS S/MKTS - 116 BUCKINGHAM PALACE ROAD, LONDON  4065</t>
  </si>
  <si>
    <t>COSTCO             ref: 1948378</t>
  </si>
  <si>
    <t>ONLINEFILINGS.CO.UK - Suite G041 Quality Court, Chancery Lane, LONDON</t>
  </si>
  <si>
    <t>Taxes</t>
  </si>
  <si>
    <t>WWW.OPTICAL.ORG - 10 OLD BAILEY, LONDON  W1G</t>
  </si>
  <si>
    <t>Professional fees</t>
  </si>
  <si>
    <t>GOC</t>
  </si>
  <si>
    <t>PWS VISION EXPRESS ref: RG50570000121224</t>
  </si>
  <si>
    <t>RG50570000121224</t>
  </si>
  <si>
    <t>COSTCO             ref: 1948865</t>
  </si>
  <si>
    <t>SAINSBURYS S/MKTS - FULHAM BROADWAY RETAIL CT, LONDON 2055</t>
  </si>
  <si>
    <t>COSTCO             ref: 1949304</t>
  </si>
  <si>
    <t>COSTA COFFEE 43010493 - UNIT 27C, THE QUADRANT, RICHMOND</t>
  </si>
  <si>
    <t>MARKS&amp;SPENCER PLC - 70 FINSBURY PAVEMENT, FINSBURY</t>
  </si>
  <si>
    <t>SHAIFA REMTULLA ref: Reference - loan</t>
  </si>
  <si>
    <t>Reference - loan</t>
  </si>
  <si>
    <t>Charge of 3.00 for Bank Transfers usage from 2024-02-01 to 2024-02-29</t>
  </si>
  <si>
    <t>COSTCO             ref: 1949495</t>
  </si>
  <si>
    <t>FARMER J (CANARY WHARF - 22A CANADA PLACE, LONDON</t>
  </si>
  <si>
    <t>HOLLAND &amp; BARRETT - ONE CANADA SQUARE, CANARY WHARF</t>
  </si>
  <si>
    <t>COSTCO             ref: 1949771</t>
  </si>
  <si>
    <t>REMTULLA ref: loan repaymemt</t>
  </si>
  <si>
    <t>Loans</t>
  </si>
  <si>
    <t>loan repaymemt</t>
  </si>
  <si>
    <t>SHAIFA REMTULLA ref: salary</t>
  </si>
  <si>
    <t>salary</t>
  </si>
  <si>
    <t>COSTCO             ref: 1950194</t>
  </si>
  <si>
    <t>Snax - Unit 1 Lower Concourse Wimbledo, London</t>
  </si>
  <si>
    <t>COSTCO             ref: 1950395</t>
  </si>
  <si>
    <t>COSTCO             ref: 1950653</t>
  </si>
  <si>
    <t>PRET A MANGER - 136 GREAT PORTLAND STREET, 140</t>
  </si>
  <si>
    <t>COSTA COFFEE 43011412 - 104 NEW OXFORD STREET, LONDON</t>
  </si>
  <si>
    <t>MARKS&amp;SPENCER PLC - 173 OXFORD STREET, OXFORD CIRCUS</t>
  </si>
  <si>
    <t>WH Smith Victoria - Victoria Island Station Shop, London</t>
  </si>
  <si>
    <t>MARKS&amp;SPENCER PLC - MARKS AND SPENCER, LONDON</t>
  </si>
  <si>
    <t>PWS VISION EXPRESS ref: RG50570000386824</t>
  </si>
  <si>
    <t>RG50570000386824</t>
  </si>
  <si>
    <t>COSTCO             ref: 1951825</t>
  </si>
  <si>
    <t>NISA LOCAL - 105A-107 DAWES ROAD, LONDON</t>
  </si>
  <si>
    <t>OLE AND STEEN  ECCLEST - 31 ECCLESTON PLACE B, LONDON</t>
  </si>
  <si>
    <t>COSTCO             ref: 1952251</t>
  </si>
  <si>
    <t>TESCO STORES 2017 - 117 STATION ROAD, ADDLESTONE</t>
  </si>
  <si>
    <t>London Theatre - Bernard's Inn, 86 Fetter Lane, London</t>
  </si>
  <si>
    <t>WAITROSE - 8 PARSONS GREEN, PARSONS GREEN</t>
  </si>
  <si>
    <t>COSTCO             ref: 1952473</t>
  </si>
  <si>
    <t>COSTCO             ref: 1952734</t>
  </si>
  <si>
    <t>JOE THE JUICE - Baker Street 105, London</t>
  </si>
  <si>
    <t>M&amp;S SIMPLY FOOD-SSP - SU15 WESTERN CONCOURSE., LONDON BRIDGE</t>
  </si>
  <si>
    <t>Loan interest repayment</t>
  </si>
  <si>
    <t>COSTCO             ref: 1953177</t>
  </si>
  <si>
    <t>BATTERSEA LEON - UNIT B1, G, 04, ELEC, LONDON</t>
  </si>
  <si>
    <t>ZARA LON BATTERSEA - ELECTRIC BOULEVARD U, LONDON</t>
  </si>
  <si>
    <t>COSTA COFFEE 43010414 - UNIT 1, EAST CROYDON STATION, EAST CROYDON</t>
  </si>
  <si>
    <t>COSTCO             ref: 1953377</t>
  </si>
  <si>
    <t>COSTCO             ref: 1953634</t>
  </si>
  <si>
    <t>Charge of 3.20 for Bank Transfers usage from 2024-03-01 to 2024-03-31</t>
  </si>
  <si>
    <t>VISION EXPRESS UK  ref: RG50570000580124</t>
  </si>
  <si>
    <t>RG50570000580124</t>
  </si>
  <si>
    <t>COSTCO             ref: 1954045</t>
  </si>
  <si>
    <t>COSTCO             ref: 1954255</t>
  </si>
  <si>
    <t>COSTCO             ref: 1954528</t>
  </si>
  <si>
    <t>SHAIFA REMTULLA ref: Salary</t>
  </si>
  <si>
    <t>Salary</t>
  </si>
  <si>
    <t>CARDS GALORE - 3 CENTRAL LINE BOOKI, LONDON</t>
  </si>
  <si>
    <t>MARKS&amp;SPENCER PLC SACA - 5 LIVERPOOL ROAD., ISLINGTON</t>
  </si>
  <si>
    <t>ZARA COVENT GARDEN - 52 AND 53/54 LONG AC, LONDON</t>
  </si>
  <si>
    <t>CAFFE NERO 292 WIMBLED - 6 THE BROADWAY, LONDON</t>
  </si>
  <si>
    <t>MISP HOLDINGS LIMITED ref: INV-0019</t>
  </si>
  <si>
    <t>INV-0019</t>
  </si>
  <si>
    <t>MARKS&amp;SPENCER PLC SA - CENTRE COURT SHOPPING CENTRE, WIMBLEDON</t>
  </si>
  <si>
    <t>FY25</t>
  </si>
  <si>
    <t>HMRC</t>
  </si>
  <si>
    <t>Lunch?</t>
  </si>
  <si>
    <t>Mile</t>
  </si>
  <si>
    <t>WFH</t>
  </si>
  <si>
    <t>Accountancy</t>
  </si>
  <si>
    <t>Accruals</t>
  </si>
  <si>
    <t>28th feb 2023 to 28th Feb 2024</t>
  </si>
  <si>
    <t>Accomodation</t>
  </si>
  <si>
    <t>Trivial</t>
  </si>
  <si>
    <t>CT</t>
  </si>
  <si>
    <t>COSTCO             ref: 1955841</t>
  </si>
  <si>
    <t>Staff costs</t>
  </si>
  <si>
    <t>MARKS&amp;SPENCER PLC - 113 KENSINGTON HIGH STREET, KENSINGTON</t>
  </si>
  <si>
    <t>CAFFE NERO EAST CROYDO - 93 GEORGE ST, EAST, SURREY</t>
  </si>
  <si>
    <t>TXW*London Taxi 54403 - 84 Lister Street, Glasgow</t>
  </si>
  <si>
    <t>SAINSBURYS S/MKTS - 20 ST JOHNS HILL, CLAPHAM JUNCT</t>
  </si>
  <si>
    <t>Joe The Juice UK Ltd - 38 Northcote Road, London</t>
  </si>
  <si>
    <t>VISION EXPRESS UK  ref: RG50570000837124</t>
  </si>
  <si>
    <t>RG50570000837124</t>
  </si>
  <si>
    <t>ABBEYFIELD VE LIMI ref: RG05570000328524</t>
  </si>
  <si>
    <t>RG05570000328524</t>
  </si>
  <si>
    <t>ABBEYFIELD VE LIMI</t>
  </si>
  <si>
    <t>SAINSBURYS SMKT - FULHAM ROAD, FULHAM BDWAY</t>
  </si>
  <si>
    <t>Digby's Patisserie - Coffee Shop Wimbledon Station, London</t>
  </si>
  <si>
    <t>MANGO LONDON OXFORD ST - OXFORD ST UNIT 2-3, LONDON</t>
  </si>
  <si>
    <t>COSTCO             ref: 1957461</t>
  </si>
  <si>
    <t>CAFFE NERO 337 VICTORI - VICTORIA CENTRAL, LONDON</t>
  </si>
  <si>
    <t>Charge of 4.00 for Bank Transfers usage from 2024-04-01 to 2024-04-30</t>
  </si>
  <si>
    <t>Bank fees</t>
  </si>
  <si>
    <t>Cancelled</t>
  </si>
  <si>
    <t>SHAIFA REMTULLA ref: PHONE DEPOSIT</t>
  </si>
  <si>
    <t>PHONE DEPOSIT</t>
  </si>
  <si>
    <t>COSTCO             ref: 1958732</t>
  </si>
  <si>
    <t>APPLE.COM/BILL - Hollyhill Estate, APPLE.COM/BIL</t>
  </si>
  <si>
    <t>Marketing</t>
  </si>
  <si>
    <t>COSTCO             ref: 1959566</t>
  </si>
  <si>
    <t>Software and IT costs</t>
  </si>
  <si>
    <t>COSTCO             ref: 1960175</t>
  </si>
  <si>
    <t>COSTCO             ref: 1960373</t>
  </si>
  <si>
    <t>COSTCO             ref: 1960768</t>
  </si>
  <si>
    <t>POST OFFICE COUNTER - 105-107 DAWES ROAD, LONDON</t>
  </si>
  <si>
    <t>Shipping and postage</t>
  </si>
  <si>
    <t>RYMAN 1128 - UNIT 2, 19 THE BROADWAY, LONDON</t>
  </si>
  <si>
    <t>W M MORRISON STORE - THE BROADWAY, LONDON  411</t>
  </si>
  <si>
    <t>MARKS&amp;SPENCER PLC SACA - STORE B, WHITE CITY</t>
  </si>
  <si>
    <t>COSTCO             ref: 1961233</t>
  </si>
  <si>
    <t>SHAIFA REMTULLA ref: Salary Early</t>
  </si>
  <si>
    <t>Salary Early</t>
  </si>
  <si>
    <t>RYMAN 1203 - UNIT 1330 CABOT PLACE, CANARY WHARF</t>
  </si>
  <si>
    <t>CAFFE NERO HOUNSLOW - 231 HIGH ST, HOUNSLOW</t>
  </si>
  <si>
    <t>HOLLAND &amp; BARRETT - HIGH STREET, HOUNSLOW</t>
  </si>
  <si>
    <t>CAFFE NERO 87 PADDINGT - UNIT 38, LONDON</t>
  </si>
  <si>
    <t>Charge of 2.80 for Bank Transfers usage from 2024-05-01 to 2024-05-31</t>
  </si>
  <si>
    <t>HOOKED ON THE ROCKS LI - Hooked on the Rocks Swanpool Ro, Falmouth</t>
  </si>
  <si>
    <t>CO OP GROUP FOOD - Cliff Road, FALMOUTH</t>
  </si>
  <si>
    <t>HOLLAND &amp; BARRETT - 48 MARKET STREET, FALMOUTH</t>
  </si>
  <si>
    <t>TESCO STORES 2522 - KILLIGREW STREET, FALMOUTH</t>
  </si>
  <si>
    <t>SQ *OLFACTORY COFFEE - - 4 The Moor, Falmouth</t>
  </si>
  <si>
    <t>SQ *THE MULBERRY FALMO - 4 The Moor, Falmouth</t>
  </si>
  <si>
    <t>ABBEYFIELD VE LIMI ref: RG05570000491524</t>
  </si>
  <si>
    <t>RG05570000491524</t>
  </si>
  <si>
    <t>CAFFE NERO FALMOUTH - 10 MARKET STREET, FALMOUTH</t>
  </si>
  <si>
    <t>Zettle_*BEACON COFFEE - 28a High Street, Falmouth</t>
  </si>
  <si>
    <t>SPAR MARKET STRAND - 13 MARKET STRAND, FALMOUTH</t>
  </si>
  <si>
    <t>CardRefund: TRAINLINE - TRAINLINE, LONDON</t>
  </si>
  <si>
    <t>COSTCO             ref: 1962493</t>
  </si>
  <si>
    <t>Falmouth Bookseller - 21 Church Street, Falmouth</t>
  </si>
  <si>
    <t>Card payment reversal</t>
  </si>
  <si>
    <t>CardReversal</t>
  </si>
  <si>
    <t>BOLT.EU/O/2406212205 - Leather Market, Unit J, Taper Studios, London</t>
  </si>
  <si>
    <t>ABBEYFIELD VE LIMI ref: RG05570000527524</t>
  </si>
  <si>
    <t>RG05570000527524</t>
  </si>
  <si>
    <t>VISION EXPRESS UK  ref: RG50570001345724</t>
  </si>
  <si>
    <t>RG50570001345724</t>
  </si>
  <si>
    <t>Portobello Store - 8 Pembridge Road, London</t>
  </si>
  <si>
    <t>PAUL UK CANARY WHARF - UNIT RP 310, LONDON</t>
  </si>
  <si>
    <t>COSTCO             ref: 1964089</t>
  </si>
  <si>
    <t>EE LIMITED         ref: T15253570532275252</t>
  </si>
  <si>
    <t>T15253570532275252</t>
  </si>
  <si>
    <t>EE LIMITED</t>
  </si>
  <si>
    <t>DirectDebit</t>
  </si>
  <si>
    <t>APPLE.COM/BILL - HOLLYHILL INDUSTRIAL ESTATE, CORK</t>
  </si>
  <si>
    <t>CHELSEA VILLAGE FOOD - 473 FULHAM ROAD, LONDON SW6</t>
  </si>
  <si>
    <t>TESCO STORES 2377 - DEAN ST METRO, DEAN ST-METRO</t>
  </si>
  <si>
    <t>VISION EXPRESS UK  ref: RG50570001481224</t>
  </si>
  <si>
    <t>RG50570001481224</t>
  </si>
  <si>
    <t>COSTCO             ref: 1965583</t>
  </si>
  <si>
    <t>Charge of 1.60 for Bank Transfers usage from 2024-06-01 to 2024-06-30</t>
  </si>
  <si>
    <t>ANITASKITCHEN.BEGINORD - 1 Carpenters Court151 Croydon Road, CATERHAM</t>
  </si>
  <si>
    <t>WH Smith Croydon East - Croydon East Station Shop, Croydon</t>
  </si>
  <si>
    <t>MISP HOLDINGS LIMITED ref: INV-0020</t>
  </si>
  <si>
    <t>INV-0020</t>
  </si>
  <si>
    <t>HMRC CUMBERLAND ref: 120PX02927477</t>
  </si>
  <si>
    <t>SAINSBURYS S/MKTS - 132A HERNE HILL, HERNE HILL</t>
  </si>
  <si>
    <t>Karen Louis ref: Equipment</t>
  </si>
  <si>
    <t>Karen Louis</t>
  </si>
  <si>
    <t>SQ *BUNHEAD BAKERY - 145 Dulwich Road, London</t>
  </si>
  <si>
    <t>COSTCO             ref: 1968672</t>
  </si>
  <si>
    <t>EE LIMITED         ref: T15253570540500349</t>
  </si>
  <si>
    <t>T15253570540500349</t>
  </si>
  <si>
    <t>COSTCO             ref: 1968839</t>
  </si>
  <si>
    <t>SHAIFA REMTULLA ref: Loan</t>
  </si>
  <si>
    <t>Loan</t>
  </si>
  <si>
    <t>COSTCO             ref: 1969086</t>
  </si>
  <si>
    <t>COSTCO             ref: 1969485</t>
  </si>
  <si>
    <t>H &amp; M - 103 KENSINGTON HIGH STREET, KENSIGNTON</t>
  </si>
  <si>
    <t>work clothing</t>
  </si>
  <si>
    <t>COSTA COFFEE 43011360 - 34 RATHBONE PLACE, LONDON</t>
  </si>
  <si>
    <t>M&amp;S SIMPLY FOOD - SSP - CREDIT CARDS DEPARTMENT, RICHMOND STN</t>
  </si>
  <si>
    <t>CAFFE NERO RICHMOND - 7-8 THE SQUARE, RICH, RICHMOND</t>
  </si>
  <si>
    <t>RICHMOND LEON - 37 GEORGE ST, RICHMOND</t>
  </si>
  <si>
    <t>SHAIFA REMTULLA ref: Payment</t>
  </si>
  <si>
    <t>Payment</t>
  </si>
  <si>
    <t>Charge of 2.20 for Bank Transfers usage from 2024-07-01 to 2024-07-31</t>
  </si>
  <si>
    <t>Arro Coffee - 145 Oxford Street, London</t>
  </si>
  <si>
    <t>CAFFE NERO ISLINGTON - 75 UPPER ST,, LONDON</t>
  </si>
  <si>
    <t>KOD - 330 Upper Street, London</t>
  </si>
  <si>
    <t>HOLLAND &amp; BARRETT - 39 LONG ACRE, LONG ACRE</t>
  </si>
  <si>
    <t>Snax - Unit 1 Lower Concourse Wimbledon Underground St, London</t>
  </si>
  <si>
    <t>JOE THE JUICE - Wimbledon Bridge House Unit 2A, London</t>
  </si>
  <si>
    <t>SAINSBURYS S/MKTS - 582 FULHAM ROAD, FULHAM DARLAN</t>
  </si>
  <si>
    <t>RAVEL'S DRY CLEANERS - 118 Dawes Road, London</t>
  </si>
  <si>
    <t>TIDE PLATFORM LTD ref: Charge for invoice assistance</t>
  </si>
  <si>
    <t>Charge for invoice assistance</t>
  </si>
  <si>
    <t>TIDE PLATFORM LTD</t>
  </si>
  <si>
    <t>PaymentOut</t>
  </si>
  <si>
    <t>WH Smith Wimbledon - Station Approach Wimbledon Station, London</t>
  </si>
  <si>
    <t>VISION EXPRESS UK  ref: RG50570001946124</t>
  </si>
  <si>
    <t>RG50570001946124</t>
  </si>
  <si>
    <t>MISP HOLDINGS LIMITED ref: INV-0021</t>
  </si>
  <si>
    <t>INV-0021</t>
  </si>
  <si>
    <t>MISP HOLDINGS LIMITED ref: INV-0022</t>
  </si>
  <si>
    <t>INV-0022</t>
  </si>
  <si>
    <t>EE LIMITED         ref: T15253570549135677</t>
  </si>
  <si>
    <t>T15253570549135677</t>
  </si>
  <si>
    <t>TESCO METRO 2610 - BROADWAY CENTRE, HAMMERSMITH</t>
  </si>
  <si>
    <t>TIDE PLATFORM LTD ref: Charge of 7.18 for Invoice Advanced usage from 2024-09-01 to 2024-09-30</t>
  </si>
  <si>
    <t>Charge of 7.18 for Invoice Advanced usage from 2024-09-01 to 2024-09-30</t>
  </si>
  <si>
    <t>Zettle_*atis Eccleston - 1-2 Eccleston Yards, London</t>
  </si>
  <si>
    <t>IWONDERWHATSNEXT - UNIT 5 BEECHWOOD BUSINESS PARKBURDOCK CLOSE, CANNOCK</t>
  </si>
  <si>
    <t>ABBEYFIELD VE LIMI ref: RG05570000785124</t>
  </si>
  <si>
    <t>RG05570000785124</t>
  </si>
  <si>
    <t>ITSU 063 NEAL STREET - NEAL STREET, LONDON WC2H</t>
  </si>
  <si>
    <t>COSTCO             ref: 1974088</t>
  </si>
  <si>
    <t>ABBEYFIELD VE LIMI ref: RG05570000812624</t>
  </si>
  <si>
    <t>RG05570000812624</t>
  </si>
  <si>
    <t>Charge of 3.00 for Bank Transfers usage from 2024-08-01 to 2024-08-31</t>
  </si>
  <si>
    <t>Charge of 1.00 for Bank Transfers usage from 2024-06-01 to 2024-06-30</t>
  </si>
  <si>
    <t>Charge of 0.40 for Bank Transfers usage from 2024-05-01 to 2024-05-31</t>
  </si>
  <si>
    <t>OLE AND STEEN  GREENWI - UNIT SU7  6 CRESCENT, LONDON</t>
  </si>
  <si>
    <t>MISP HOLDINGS LIMITED ref: INV-0025</t>
  </si>
  <si>
    <t>INV-0025</t>
  </si>
  <si>
    <t>TESCO STORES 4911 - CUTTY SARK EXPRESS, GREENWICH</t>
  </si>
  <si>
    <t>ABBEYFIELD VE LIMI ref: RG05570000881924</t>
  </si>
  <si>
    <t>RG05570000881924</t>
  </si>
  <si>
    <t>LIFE IN THE COCOON LTD ref: Work Bag</t>
  </si>
  <si>
    <t>Work Bag</t>
  </si>
  <si>
    <t>LIFE IN THE COCOON LTD</t>
  </si>
  <si>
    <t>EE LIMITED         ref: T15253570557431172</t>
  </si>
  <si>
    <t>T15253570557431172</t>
  </si>
  <si>
    <t>TIDE PLATFORM LTD ref: Charge of 7.18 for Invoice Advanced usage from 2024-10-01 to 2024-10-31</t>
  </si>
  <si>
    <t>Charge of 7.18 for Invoice Advanced usage from 2024-10-01 to 2024-10-31</t>
  </si>
  <si>
    <t>BOOTS 1626 - 302 REGENT STREET, LONDON</t>
  </si>
  <si>
    <t>CAFFE NERO REGENT ST - 273 REGENT STREET, LONDON</t>
  </si>
  <si>
    <t>ABBEYFIELD VE LIMI ref: RG05570000908324</t>
  </si>
  <si>
    <t>RG05570000908324</t>
  </si>
  <si>
    <t>FISHEYE O LTD SW ref: FISHEYE OPTICIANS</t>
  </si>
  <si>
    <t>HOLLAND &amp; BARRETT - 52 OXFORD STREET, OXFORD STREET</t>
  </si>
  <si>
    <t>CAFFE NERO  551  BUCKI - UNIT 47, LONDON</t>
  </si>
  <si>
    <t>SQ *MAWI CAFE - 24a Notting Hill Gate, London</t>
  </si>
  <si>
    <t>accounting/book keeping day</t>
  </si>
  <si>
    <t>Charge of 2.80 for Bank Transfers usage from 2024-09-01 to 2024-09-30</t>
  </si>
  <si>
    <t>TOP GIFT OUTLET NO. 21 - FULHAM BROADWAY RETAIL CENTRE, FULHAM</t>
  </si>
  <si>
    <t>MISP HOLDINGS LIMITED ref: INV-0026</t>
  </si>
  <si>
    <t>INV-0026</t>
  </si>
  <si>
    <t>MISP HOLDINGS LIMITED ref: INV-0027</t>
  </si>
  <si>
    <t>INV-0027</t>
  </si>
  <si>
    <t>EE LIMITED         ref: T15253570565666417</t>
  </si>
  <si>
    <t>T15253570565666417</t>
  </si>
  <si>
    <t>TIDE PLATFORM LTD ref: Charge of 7.18 for Invoice Advanced usage from 2024-11-01 to 2024-11-30</t>
  </si>
  <si>
    <t>Charge of 7.18 for Invoice Advanced usage from 2024-11-01 to 2024-11-30</t>
  </si>
  <si>
    <t>M&amp;S SIMPLY FOOD - SSP - UNIT 4 SHOPSTOP SHOPPING CTR, CLAPHAM JNCTN</t>
  </si>
  <si>
    <t>TRAINLINE - 120 HOLBORN, LONDON</t>
  </si>
  <si>
    <t>WAITROSE 873 - 6 CLAIR ROAD, HAYWARDS HEAT</t>
  </si>
  <si>
    <t>REMTULLA ref: luxotica</t>
  </si>
  <si>
    <t>TESCO STORES 3389 - OLD TOWN HALL THE BROADWAY, LONDON</t>
  </si>
  <si>
    <t>WIMBLEDON LEON - UNIT 1 2, LONDON</t>
  </si>
  <si>
    <t>BOLT.EU/O/2411171127 - Leather Market, Unit J, Taper Studios, London</t>
  </si>
  <si>
    <t>Charge of 2.20 for Bank Transfers usage from 2024-10-01 to 2024-10-31</t>
  </si>
  <si>
    <t>HMRC SHIPLEY ref: 2078222399A00101A</t>
  </si>
  <si>
    <t>2078222399A00101A</t>
  </si>
  <si>
    <t>HMRC SHIPLEY</t>
  </si>
  <si>
    <t>COSTCO             ref: 1984115</t>
  </si>
  <si>
    <t>THIRD SPACE WIMBLEDON - WIMBLEDON QUARTER SHOPPING CENTRE, LONDON</t>
  </si>
  <si>
    <t>SUBWAY 66717 Haywards - South Road 80, Haywards Heat</t>
  </si>
  <si>
    <t>ABBEYFIELD VE LIMI ref: RG05570001140924</t>
  </si>
  <si>
    <t>RG05570001140924</t>
  </si>
  <si>
    <t>COSTCO             ref: 1985312</t>
  </si>
  <si>
    <t>Tide fees: Plus plan payment</t>
  </si>
  <si>
    <t>MISP HOLDINGS LIMITED ref: INV-0028</t>
  </si>
  <si>
    <t>INV-0028</t>
  </si>
  <si>
    <t>HOLLAND &amp; BARRETT - CENTRE COURT SHOPPING CTR, WIMBLEDON</t>
  </si>
  <si>
    <t>SAINSBURYS S/MKTS - 14-20 ELIZABETH STREET, VICTORIA COAC</t>
  </si>
  <si>
    <t>Zettle_*Black Sheep Co - 81 Southwark Street  Black Sheep Coffee HQ, LONDON</t>
  </si>
  <si>
    <t>NYX*JOOS - Western Avenue, London</t>
  </si>
  <si>
    <t>LONDON ST BRASSERIE - 2-4 LONDON STREET, READING</t>
  </si>
  <si>
    <t>TIDE PLATFORM LTD ref: Charge of 7.19 for Invoice Advanced usage from 2024-12-01 to 2024-12-31</t>
  </si>
  <si>
    <t>Charge of 7.19 for Invoice Advanced usage from 2024-12-01 to 2024-12-31</t>
  </si>
  <si>
    <t>Tide Payout</t>
  </si>
  <si>
    <t>TX46267992100XT Ti</t>
  </si>
  <si>
    <t>AcquirerSettlement</t>
  </si>
  <si>
    <t>TESCO STORES 2934 - 300 BEVERLEY WAY, NEW MALDEN</t>
  </si>
  <si>
    <t>43050335 COSTA COFFEE - TESCO EXTRA, 300 BEVERLEY WAY, LONDON</t>
  </si>
  <si>
    <t>SCRIVENS LTD       ref: No Reference</t>
  </si>
  <si>
    <t>No Reference</t>
  </si>
  <si>
    <t>SCRIVENS LTD</t>
  </si>
  <si>
    <t>SUBWAY 40540 WIMBLEDON - Hartfield Road 6, WIMBLEDON - L</t>
  </si>
  <si>
    <t>Tide fees: Smart plan payment</t>
  </si>
  <si>
    <t>CAFFE NERO EALING BROA - 34 THE BROADWAY,, LONDON</t>
  </si>
  <si>
    <t>PRET EALING - 45 HIGH ST EALING, LONDON</t>
  </si>
  <si>
    <t>SumUp  *The Questors G - The Questors Theatre 12 Ma, Ealing</t>
  </si>
  <si>
    <t>EE LIMITED         ref: T15253570574444630</t>
  </si>
  <si>
    <t>T15253570574444630</t>
  </si>
  <si>
    <t>ABBEYFIELD VE LIMI ref: RG05570001229424</t>
  </si>
  <si>
    <t>RG05570001229424</t>
  </si>
  <si>
    <t>UBER   *TRIP - 706 MISSION ST, 8005928996</t>
  </si>
  <si>
    <t>HMRC PAYE          ref: 120PX02927477</t>
  </si>
  <si>
    <t>HMRC PAYE</t>
  </si>
  <si>
    <t>Charge of 2.40 for Bank Transfers usage from 2024-11-01 to 2024-11-29</t>
  </si>
  <si>
    <t>Microsoft*Microsoft 36 - Microsoft Campus, Thames Valley Park, msbill.info</t>
  </si>
  <si>
    <t>Microsoft*Microsoft 36 msbill.info</t>
  </si>
  <si>
    <t>ABBEYFIELD VE LIMI ref: RG05570001278924</t>
  </si>
  <si>
    <t>RG05570001278924</t>
  </si>
  <si>
    <t>ABBEYFIELD VE LIMI ref: RG05570001294224</t>
  </si>
  <si>
    <t>RG05570001294224</t>
  </si>
  <si>
    <t>VISION EXPRESS UK  ref: RG50570003136324</t>
  </si>
  <si>
    <t>RG50570003136324</t>
  </si>
  <si>
    <t>EE LIMITED         ref: T15253570582817153</t>
  </si>
  <si>
    <t>T15253570582817153</t>
  </si>
  <si>
    <t>PHONE X VAPE - 14 Fulham Broadway, London</t>
  </si>
  <si>
    <t>HMRC CUMBERLAND ref: 1689273383K</t>
  </si>
  <si>
    <t>1689273383K</t>
  </si>
  <si>
    <t>TIDE PLATFORM LTD ref: Charge of 7.19 for Invoice Advanced usage from 2025-01-01 to 2025-01-31</t>
  </si>
  <si>
    <t>Charge of 7.19 for Invoice Advanced usage from 2025-01-01 to 2025-01-31</t>
  </si>
  <si>
    <t>Flint Owl Bakery - 5 Middle Row, East Grinste</t>
  </si>
  <si>
    <t>BOOTS THE CHEMISTS - UNIT 14, CANARY WHARF</t>
  </si>
  <si>
    <t>MAILBOX ETC - 9 JERDAN PLACE, LONDON SW6</t>
  </si>
  <si>
    <t>SP SMARTPACKAGING.DI - 10 Ryknild Street, LICHFIELD</t>
  </si>
  <si>
    <t>LUXOTTICA RETAIL U ref: 2000108293202511-2</t>
  </si>
  <si>
    <t>2000108293202511-2</t>
  </si>
  <si>
    <t>LUXOTTICA RETAIL U</t>
  </si>
  <si>
    <t>Mo chaudhry ref: Accounting</t>
  </si>
  <si>
    <t>Accounting</t>
  </si>
  <si>
    <t>Mo chaudhry</t>
  </si>
  <si>
    <t>Payment to subcontractors</t>
  </si>
  <si>
    <t>WM MORRISONS STORE - 264 WALWORTH ROAD, LONDON</t>
  </si>
  <si>
    <t>LUXOTTICA RETAIL U ref: 2000108744202512-2</t>
  </si>
  <si>
    <t>2000108744202512-2</t>
  </si>
  <si>
    <t>HOLLAND &amp; BARRETT - 25 LONDON ROAD, EAST GRINSTEA</t>
  </si>
  <si>
    <t>CAFFE NERO 510 WIMBLED - HIGH STREET,, LONDON</t>
  </si>
  <si>
    <t>CANARY WHARF LEON - PROMENADE LEVEL, LONDON</t>
  </si>
  <si>
    <t>CENTRAL NEWS - CENTRAL NEWS, WALWORTH ROAD</t>
  </si>
  <si>
    <t>HOLLAND &amp; BARRETT - 303 WALWORTH ROAD, WALWORTH ROAD</t>
  </si>
  <si>
    <t>Subway 37992-0 Walwort - WALWORTH ROAD 242, London</t>
  </si>
  <si>
    <t>HOLLAND AND BARRETT - 21-22 UPPER STREET, ANGEL ISLINGT</t>
  </si>
  <si>
    <t>SAINSBURYS S/MKTS - 171 LONG LANE, BOROUGH LONG</t>
  </si>
  <si>
    <t>TESCO STORES 5518 - 34 LONGLANE, LONDON</t>
  </si>
  <si>
    <t>TESCO STORES 5784 - 224 WALWORTH ROAD, WALWORTH</t>
  </si>
  <si>
    <t>BOOTS 0985 - 40-46 LONDON ROAD, EAST GRINSTEA</t>
  </si>
  <si>
    <t>TIDE PLATFORM LTD ref: Charge of 7.19 for Invoice Advanced usage from 2025-02-01 to 2025-02-28</t>
  </si>
  <si>
    <t>Charge of 7.19 for Invoice Advanced usage from 2025-02-01 to 2025-02-28</t>
  </si>
  <si>
    <t>SUPER SAVE EXPRESS - 223-227 BOROUGH HIGH, LONDON</t>
  </si>
  <si>
    <t>COSTA COFFEE 43011758 - 269-271 WALWORTH ROAD, LONDON</t>
  </si>
  <si>
    <t>TESCO STORES -6172 - 67-69 TOWER BRIDGE, LONDON</t>
  </si>
  <si>
    <t>MCDONALDS - 198 WALWORTH ROAD, LONDON  SE17</t>
  </si>
  <si>
    <t>JON OPTICAL LTD ref: EAST STREET</t>
  </si>
  <si>
    <t>EAST STREET</t>
  </si>
  <si>
    <t>JON OPTICAL LTD</t>
  </si>
  <si>
    <t>MAISON ST CASSIEN - 71 HIGH STREET, WIMBLEDON</t>
  </si>
  <si>
    <t>EE LIMITED         ref: T15253570591098743</t>
  </si>
  <si>
    <t>T15253570591098743</t>
  </si>
  <si>
    <t>LUXOTTICA RETAIL U ref: 2000110099202501-2</t>
  </si>
  <si>
    <t>2000110099202501-2</t>
  </si>
  <si>
    <t>VISION EXPRESS UK  ref: RG50570000394425</t>
  </si>
  <si>
    <t>RG50570000394425</t>
  </si>
  <si>
    <t>Charge of 2.00 for Bank Transfers usage from 2025-01-01 to 2025-01-31</t>
  </si>
  <si>
    <t>Tide</t>
  </si>
  <si>
    <t>BOOTS,0811 - UNIT 6 VICTORIA PLACE, LONDON</t>
  </si>
  <si>
    <t>CAFFE NERO 10 STRAND - UNIT 1 65-72 THE STR, LONDON</t>
  </si>
  <si>
    <t>SQ *BATTERSEA POWER ST - Circus Road West, London</t>
  </si>
  <si>
    <t>CAFFE NERO LONDON BRID - UNIT SU39, 39 ST THO, LONDON</t>
  </si>
  <si>
    <t>WH Smith Bexleyheath - 89 The Broadway Bexleyheath, Bexleyheath</t>
  </si>
  <si>
    <t>BOOTS 0846 - 31 THE MALL BROADWAY S/C, BEXLEYHEATH</t>
  </si>
  <si>
    <t>Postage</t>
  </si>
  <si>
    <t>HMRC SA</t>
  </si>
  <si>
    <t>Bank Charge</t>
  </si>
  <si>
    <t>Postage?</t>
  </si>
  <si>
    <t>Column Labels</t>
  </si>
  <si>
    <t>SC</t>
  </si>
  <si>
    <t>PL PY</t>
  </si>
  <si>
    <t>Div PY</t>
  </si>
  <si>
    <t>PL CY</t>
  </si>
  <si>
    <t>Diiv CY</t>
  </si>
  <si>
    <t>DLA - fraud</t>
  </si>
  <si>
    <t>Purchases</t>
  </si>
  <si>
    <t>Office</t>
  </si>
  <si>
    <t>Insurance</t>
  </si>
  <si>
    <t>Entertainment (NA)</t>
  </si>
  <si>
    <t>Clothing (NA)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</si>
</sst>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0_ ;[Red]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applyNumberFormat="1"/>
    <xf numFmtId="14" fontId="0" fillId="0" borderId="0" xfId="0" applyNumberFormat="1"/>
    <xf numFmtId="2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NumberFormat="1" applyFont="1" applyAlignment="1">
      <alignment horizontal="center"/>
    </xf>
    <xf numFmtId="164" fontId="0" fillId="0" borderId="0" xfId="1" applyNumberFormat="1" applyFont="1"/>
    <xf numFmtId="43" fontId="0" fillId="2" borderId="0" xfId="1" applyFont="1" applyFill="1"/>
    <xf numFmtId="43" fontId="2" fillId="0" borderId="0" xfId="1" applyFont="1"/>
    <xf numFmtId="22" fontId="0" fillId="3" borderId="0" xfId="0" applyNumberFormat="1" applyFill="1"/>
    <xf numFmtId="43" fontId="2" fillId="0" borderId="0" xfId="0" applyNumberFormat="1" applyFont="1"/>
    <xf numFmtId="164" fontId="0" fillId="3" borderId="0" xfId="0" applyNumberFormat="1" applyFill="1"/>
    <xf numFmtId="43" fontId="0" fillId="4" borderId="0" xfId="0" applyNumberFormat="1" applyFill="1"/>
    <xf numFmtId="43" fontId="0" fillId="4" borderId="0" xfId="1" applyFont="1" applyFill="1"/>
    <xf numFmtId="0" fontId="0" fillId="5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22"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chaudhry\Downloads\Shai%20Locum%20Ltd%20Trial%20Bal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17">
          <cell r="E17">
            <v>10</v>
          </cell>
        </row>
        <row r="18">
          <cell r="E18">
            <v>-5134</v>
          </cell>
        </row>
        <row r="19">
          <cell r="E19">
            <v>-634</v>
          </cell>
        </row>
        <row r="20">
          <cell r="E20">
            <v>-1</v>
          </cell>
        </row>
        <row r="21">
          <cell r="E21">
            <v>27644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hmed Alam" refreshedDate="46204.950772685188" createdVersion="8" refreshedVersion="6" minRefreshableVersion="3" recordCount="754">
  <cacheSource type="worksheet">
    <worksheetSource ref="A1:R755" sheet="RAW 2025"/>
  </cacheSource>
  <cacheFields count="18">
    <cacheField name="No" numFmtId="0">
      <sharedItems containsString="0" containsBlank="1" containsNumber="1" containsInteger="1" minValue="668" maxValue="1352"/>
    </cacheField>
    <cacheField name="SA" numFmtId="0">
      <sharedItems containsBlank="1"/>
    </cacheField>
    <cacheField name="AC" numFmtId="0">
      <sharedItems containsBlank="1" count="4">
        <s v="FY25"/>
        <m/>
        <s v="FY26" u="1"/>
        <s v="FY24" u="1"/>
      </sharedItems>
    </cacheField>
    <cacheField name="Date" numFmtId="14">
      <sharedItems containsNonDate="0" containsDate="1" containsString="0" containsBlank="1" minDate="2024-03-02T00:00:00" maxDate="2025-03-01T00:00:00"/>
    </cacheField>
    <cacheField name="Timestamp" numFmtId="22">
      <sharedItems containsNonDate="0" containsDate="1" containsString="0" containsBlank="1" minDate="2024-03-02T14:17:00" maxDate="2025-02-28T15:10:15"/>
    </cacheField>
    <cacheField name="Transaction description" numFmtId="0">
      <sharedItems containsBlank="1"/>
    </cacheField>
    <cacheField name="Reference" numFmtId="0">
      <sharedItems containsBlank="1" containsMixedTypes="1" containsNumber="1" containsInteger="1" minValue="1955841" maxValue="1985312"/>
    </cacheField>
    <cacheField name="From" numFmtId="0">
      <sharedItems containsBlank="1"/>
    </cacheField>
    <cacheField name="To" numFmtId="0">
      <sharedItems containsBlank="1"/>
    </cacheField>
    <cacheField name="In " numFmtId="164">
      <sharedItems containsString="0" containsBlank="1" containsNumber="1" minValue="0.98" maxValue="3500"/>
    </cacheField>
    <cacheField name="Out" numFmtId="164">
      <sharedItems containsString="0" containsBlank="1" containsNumber="1" minValue="-5105.87" maxValue="-0.4"/>
    </cacheField>
    <cacheField name="Amount" numFmtId="164">
      <sharedItems containsString="0" containsBlank="1" containsNumber="1" minValue="-5105.87" maxValue="3500"/>
    </cacheField>
    <cacheField name="Category name" numFmtId="0">
      <sharedItems containsBlank="1"/>
    </cacheField>
    <cacheField name="Transaction type" numFmtId="0">
      <sharedItems containsBlank="1"/>
    </cacheField>
    <cacheField name="Status" numFmtId="0">
      <sharedItems containsBlank="1"/>
    </cacheField>
    <cacheField name="Tag 1" numFmtId="0">
      <sharedItems containsBlank="1"/>
    </cacheField>
    <cacheField name="Balance" numFmtId="0">
      <sharedItems containsBlank="1" containsMixedTypes="1" containsNumber="1" minValue="-18.3" maxValue="920.45"/>
    </cacheField>
    <cacheField name="UC category" numFmtId="0">
      <sharedItems containsBlank="1" count="34">
        <s v="Travel"/>
        <s v="Income"/>
        <s v="Mobile"/>
        <s v="Lunch"/>
        <s v="Dividends"/>
        <s v="Professional fees"/>
        <s v="Entertainment (NA)"/>
        <s v="Bank charge"/>
        <s v="Clothing (NA)"/>
        <s v="Subscription"/>
        <s v="Postage"/>
        <s v="Stationary"/>
        <s v="Purchases"/>
        <s v="DLA"/>
        <s v="Lunch?"/>
        <s v="HMRC PAYE"/>
        <s v="Office"/>
        <s v="DLA - fraud"/>
        <s v="Equipment"/>
        <s v="HMRC"/>
        <s v="HMRC SA"/>
        <s v="Accountancy"/>
        <m/>
        <s v="Accomodation" u="1"/>
        <s v="Equipment?" u="1"/>
        <s v="Stationary?" u="1"/>
        <s v="In/Out" u="1"/>
        <s v="Postage?" u="1"/>
        <s v="Income: SA?" u="1"/>
        <e v="#N/A" u="1"/>
        <s v="Trivial" u="1"/>
        <s v="Unknown" u="1"/>
        <s v="Donation" u="1"/>
        <s v="Entertainmen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4">
  <r>
    <n v="668"/>
    <s v="SA23.24"/>
    <x v="0"/>
    <d v="2024-03-02T00:00:00"/>
    <d v="2024-03-02T14:17:00"/>
    <s v="TFL TRAVEL CH - VICTORIA STREET, TFL.GOV.UK/CP"/>
    <m/>
    <m/>
    <m/>
    <m/>
    <n v="-3.7"/>
    <n v="-3.7"/>
    <s v="Travel"/>
    <s v="CardPaymentOut"/>
    <s v="Cleared"/>
    <m/>
    <e v="#REF!"/>
    <x v="0"/>
  </r>
  <r>
    <n v="669"/>
    <s v="SA23.24"/>
    <x v="0"/>
    <d v="2024-03-05T00:00:00"/>
    <d v="2024-03-05T01:05:00"/>
    <s v="COSTCO             ref: 1947708"/>
    <m/>
    <m/>
    <m/>
    <n v="375"/>
    <m/>
    <n v="375"/>
    <s v="Income"/>
    <s v="FasterPaymentIn"/>
    <s v="Cleared"/>
    <m/>
    <e v="#REF!"/>
    <x v="1"/>
  </r>
  <r>
    <n v="670"/>
    <s v="SA23.24"/>
    <x v="0"/>
    <d v="2024-03-05T00:00:00"/>
    <d v="2024-03-05T06:15:00"/>
    <s v="EE Limited - HATFIELD BUSINESS PK, T-MOBILE CO U"/>
    <m/>
    <m/>
    <m/>
    <m/>
    <n v="-45.15"/>
    <n v="-45.15"/>
    <m/>
    <s v="CardPaymentOut"/>
    <s v="Cleared"/>
    <m/>
    <e v="#REF!"/>
    <x v="2"/>
  </r>
  <r>
    <n v="671"/>
    <s v="SA23.24"/>
    <x v="0"/>
    <d v="2024-03-05T00:00:00"/>
    <d v="2024-03-05T09:18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672"/>
    <s v="SA23.24"/>
    <x v="0"/>
    <d v="2024-03-05T00:00:00"/>
    <d v="2024-03-05T18:17:00"/>
    <s v="UBR* PENDING.UBER.COM - Aldgate Tower First Floor, LONDON"/>
    <m/>
    <m/>
    <m/>
    <m/>
    <n v="-10.92"/>
    <n v="-10.92"/>
    <s v="Travel"/>
    <s v="CardPaymentOut"/>
    <s v="Cleared"/>
    <m/>
    <e v="#REF!"/>
    <x v="0"/>
  </r>
  <r>
    <n v="673"/>
    <s v="SA23.24"/>
    <x v="0"/>
    <d v="2024-03-06T00:00:00"/>
    <d v="2024-03-06T01:03:00"/>
    <s v="PWS VISION EXPRESS ref: RG50570000039324"/>
    <m/>
    <m/>
    <m/>
    <n v="1705"/>
    <m/>
    <n v="1705"/>
    <s v="Income"/>
    <s v="FasterPaymentIn"/>
    <s v="Cleared"/>
    <m/>
    <e v="#REF!"/>
    <x v="1"/>
  </r>
  <r>
    <n v="674"/>
    <s v="SA23.24"/>
    <x v="0"/>
    <d v="2024-03-06T00:00:00"/>
    <d v="2024-03-06T01:06:00"/>
    <s v="COSTCO             ref: 1947961"/>
    <m/>
    <m/>
    <m/>
    <n v="750"/>
    <m/>
    <n v="750"/>
    <s v="Income"/>
    <s v="FasterPaymentIn"/>
    <s v="Cleared"/>
    <m/>
    <e v="#REF!"/>
    <x v="1"/>
  </r>
  <r>
    <n v="675"/>
    <s v="SA23.24"/>
    <x v="0"/>
    <d v="2024-03-06T00:00:00"/>
    <d v="2024-03-06T04:18:00"/>
    <s v="TFL TRAVEL CH - VICTORIA STREET, TFL.GOV.UK/CP"/>
    <m/>
    <m/>
    <m/>
    <m/>
    <n v="-8"/>
    <n v="-8"/>
    <s v="Travel"/>
    <s v="CardPaymentOut"/>
    <s v="Cleared"/>
    <m/>
    <e v="#REF!"/>
    <x v="0"/>
  </r>
  <r>
    <n v="676"/>
    <s v="SA23.24"/>
    <x v="0"/>
    <d v="2024-03-06T00:00:00"/>
    <d v="2024-03-06T08:18:00"/>
    <s v="COSTA COFFEE 43011146 - UNIT R13, FOOD COURT LEVEL, VICTORIA PL SC, LONDON"/>
    <m/>
    <m/>
    <m/>
    <m/>
    <n v="-4.5999999999999996"/>
    <n v="-4.5999999999999996"/>
    <s v="Meals"/>
    <s v="CardPaymentOut"/>
    <s v="Cleared"/>
    <m/>
    <e v="#REF!"/>
    <x v="3"/>
  </r>
  <r>
    <n v="677"/>
    <s v="SA23.24"/>
    <x v="0"/>
    <d v="2024-03-06T00:00:00"/>
    <d v="2024-03-06T08:19:00"/>
    <s v="SHAIFA REMTULLA ref: income"/>
    <m/>
    <m/>
    <m/>
    <m/>
    <n v="-2000"/>
    <n v="-2000"/>
    <m/>
    <s v="FasterPaymentOut"/>
    <s v="Cleared"/>
    <m/>
    <e v="#REF!"/>
    <x v="4"/>
  </r>
  <r>
    <n v="678"/>
    <s v="SA23.24"/>
    <x v="0"/>
    <d v="2024-03-06T00:00:00"/>
    <d v="2024-03-06T09:22:00"/>
    <s v="UBR* PENDING.UBER.COM - Aldgate Tower First Floor, LONDON"/>
    <m/>
    <m/>
    <m/>
    <m/>
    <n v="-11.06"/>
    <n v="-11.06"/>
    <s v="Travel"/>
    <s v="CardPaymentOut"/>
    <s v="Cleared"/>
    <m/>
    <e v="#REF!"/>
    <x v="0"/>
  </r>
  <r>
    <n v="679"/>
    <s v="SA23.24"/>
    <x v="0"/>
    <d v="2024-03-06T00:00:00"/>
    <d v="2024-03-06T15:05:00"/>
    <s v="TFL TRAVEL CH - VICTORIA STREET, TFL.GOV.UK/CP"/>
    <m/>
    <m/>
    <m/>
    <m/>
    <n v="-7.5"/>
    <n v="-7.5"/>
    <s v="Travel"/>
    <s v="CardPaymentOut"/>
    <s v="Cleared"/>
    <m/>
    <e v="#REF!"/>
    <x v="0"/>
  </r>
  <r>
    <n v="680"/>
    <s v="SA23.24"/>
    <x v="0"/>
    <d v="2024-03-06T00:00:00"/>
    <d v="2024-03-06T18:12:00"/>
    <s v="UBR* PENDING.UBER.COM - Aldgate Tower First Floor, LONDON"/>
    <m/>
    <m/>
    <m/>
    <m/>
    <n v="-7.95"/>
    <n v="-7.95"/>
    <s v="Travel"/>
    <s v="CardPaymentOut"/>
    <s v="Cleared"/>
    <m/>
    <e v="#REF!"/>
    <x v="0"/>
  </r>
  <r>
    <n v="681"/>
    <s v="SA23.24"/>
    <x v="0"/>
    <d v="2024-03-07T00:00:00"/>
    <d v="2024-03-07T05:19:00"/>
    <s v="BOLT.EU/O/2403070519 - Leather Market, Unit J, Taper Studios, London"/>
    <m/>
    <m/>
    <m/>
    <m/>
    <n v="-10.9"/>
    <n v="-10.9"/>
    <s v="Travel"/>
    <s v="CardPaymentOut"/>
    <s v="Cleared"/>
    <m/>
    <e v="#REF!"/>
    <x v="0"/>
  </r>
  <r>
    <n v="682"/>
    <s v="SA23.24"/>
    <x v="0"/>
    <d v="2024-03-07T00:00:00"/>
    <d v="2024-03-07T07:54:00"/>
    <s v="SAINSBURYS S/MKTS - 116 BUCKINGHAM PALACE ROAD, LONDON  4065"/>
    <m/>
    <m/>
    <m/>
    <m/>
    <n v="-4.45"/>
    <n v="-4.45"/>
    <s v="Meals"/>
    <s v="CardPaymentOut"/>
    <s v="Cleared"/>
    <m/>
    <e v="#REF!"/>
    <x v="3"/>
  </r>
  <r>
    <n v="683"/>
    <s v="SA23.24"/>
    <x v="0"/>
    <d v="2024-03-07T00:00:00"/>
    <d v="2024-03-07T17:32:00"/>
    <s v="TFL TRAVEL CH - VICTORIA STREET, TFL.GOV.UK/CP"/>
    <m/>
    <m/>
    <m/>
    <m/>
    <n v="-12.25"/>
    <n v="-12.25"/>
    <s v="Travel"/>
    <s v="CardPaymentOut"/>
    <s v="Cleared"/>
    <m/>
    <e v="#REF!"/>
    <x v="0"/>
  </r>
  <r>
    <n v="684"/>
    <s v="SA23.24"/>
    <x v="0"/>
    <d v="2024-03-07T00:00:00"/>
    <d v="2024-03-07T18:16:00"/>
    <s v="UBR* PENDING.UBER.COM - Aldgate Tower First Floor, LONDON"/>
    <m/>
    <m/>
    <m/>
    <m/>
    <n v="-10.98"/>
    <n v="-10.98"/>
    <s v="Travel"/>
    <s v="CardPaymentOut"/>
    <s v="Cleared"/>
    <m/>
    <e v="#REF!"/>
    <x v="0"/>
  </r>
  <r>
    <n v="685"/>
    <s v="SA23.24"/>
    <x v="0"/>
    <d v="2024-03-07T00:00:00"/>
    <d v="2024-03-07T22:47:00"/>
    <s v="UBR* PENDING.UBER.COM - Aldgate Tower First Floor, LONDON"/>
    <m/>
    <m/>
    <m/>
    <m/>
    <n v="-12.9"/>
    <n v="-12.9"/>
    <s v="Travel"/>
    <s v="CardPaymentOut"/>
    <s v="Cleared"/>
    <m/>
    <e v="#REF!"/>
    <x v="0"/>
  </r>
  <r>
    <n v="686"/>
    <s v="SA23.24"/>
    <x v="0"/>
    <d v="2024-03-08T00:00:00"/>
    <d v="2024-03-08T01:03:00"/>
    <s v="COSTCO             ref: 1948378"/>
    <m/>
    <m/>
    <m/>
    <n v="750"/>
    <m/>
    <n v="750"/>
    <s v="Income"/>
    <s v="FasterPaymentIn"/>
    <s v="Cleared"/>
    <m/>
    <e v="#REF!"/>
    <x v="1"/>
  </r>
  <r>
    <n v="687"/>
    <s v="SA23.24"/>
    <x v="0"/>
    <d v="2024-03-08T00:00:00"/>
    <d v="2024-03-08T01:34:00"/>
    <s v="TFL TRAVEL CH - VICTORIA STREET, TFL.GOV.UK/CP"/>
    <m/>
    <m/>
    <m/>
    <m/>
    <n v="-15.6"/>
    <n v="-15.6"/>
    <s v="Travel"/>
    <s v="CardPaymentOut"/>
    <s v="Cleared"/>
    <m/>
    <e v="#REF!"/>
    <x v="0"/>
  </r>
  <r>
    <n v="688"/>
    <s v="SA23.24"/>
    <x v="0"/>
    <d v="2024-03-08T00:00:00"/>
    <d v="2024-03-08T09:25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689"/>
    <s v="SA23.24"/>
    <x v="0"/>
    <d v="2024-03-08T00:00:00"/>
    <d v="2024-03-08T18:37:00"/>
    <s v="UBR* PENDING.UBER.COM - Aldgate Tower First Floor, LONDON"/>
    <m/>
    <m/>
    <m/>
    <m/>
    <n v="-10.9"/>
    <n v="-10.9"/>
    <s v="Travel"/>
    <s v="CardPaymentOut"/>
    <s v="Cleared"/>
    <m/>
    <e v="#REF!"/>
    <x v="0"/>
  </r>
  <r>
    <n v="690"/>
    <s v="SA23.24"/>
    <x v="0"/>
    <d v="2024-03-09T00:00:00"/>
    <d v="2024-03-09T09:07:00"/>
    <s v="UBR* PENDING.UBER.COM - Aldgate Tower First Floor, LONDON"/>
    <m/>
    <m/>
    <m/>
    <m/>
    <n v="-7.93"/>
    <n v="-7.93"/>
    <s v="Travel"/>
    <s v="CardPaymentOut"/>
    <s v="Cleared"/>
    <m/>
    <e v="#REF!"/>
    <x v="0"/>
  </r>
  <r>
    <n v="691"/>
    <s v="SA23.24"/>
    <x v="0"/>
    <d v="2024-03-09T00:00:00"/>
    <d v="2024-03-09T09:21:00"/>
    <s v="COSTA COFFEE 43010810 - COLLONADES LEISURE PARK, CROYDON"/>
    <m/>
    <m/>
    <m/>
    <m/>
    <n v="-4.8"/>
    <n v="-4.8"/>
    <s v="Meals"/>
    <s v="CardPaymentOut"/>
    <s v="Cleared"/>
    <m/>
    <e v="#REF!"/>
    <x v="3"/>
  </r>
  <r>
    <n v="692"/>
    <s v="SA23.24"/>
    <x v="0"/>
    <d v="2024-03-09T00:00:00"/>
    <d v="2024-03-09T17:11:00"/>
    <s v="TFL TRAVEL CH - VICTORIA STREET, TFL.GOV.UK/CP"/>
    <m/>
    <m/>
    <m/>
    <m/>
    <n v="-7.3"/>
    <n v="-7.3"/>
    <s v="Travel"/>
    <s v="CardPaymentOut"/>
    <s v="Cleared"/>
    <m/>
    <e v="#REF!"/>
    <x v="0"/>
  </r>
  <r>
    <n v="693"/>
    <s v="SA23.24"/>
    <x v="0"/>
    <d v="2024-03-09T00:00:00"/>
    <d v="2024-03-09T19:19:00"/>
    <s v="ONLINEFILINGS.CO.UK - Suite G041 Quality Court, Chancery Lane, LONDON"/>
    <m/>
    <m/>
    <m/>
    <m/>
    <n v="-47.99"/>
    <n v="-47.99"/>
    <s v="Taxes"/>
    <s v="CardPaymentOut"/>
    <s v="Cleared"/>
    <m/>
    <e v="#REF!"/>
    <x v="5"/>
  </r>
  <r>
    <n v="694"/>
    <s v="SA23.24"/>
    <x v="0"/>
    <d v="2024-03-10T00:00:00"/>
    <d v="2024-03-10T01:24:00"/>
    <s v="TFL TRAVEL CH - VICTORIA STREET, TFL.GOV.UK/CP"/>
    <m/>
    <m/>
    <m/>
    <m/>
    <n v="-12.1"/>
    <n v="-12.1"/>
    <s v="Travel"/>
    <s v="CardPaymentOut"/>
    <s v="Cleared"/>
    <m/>
    <e v="#REF!"/>
    <x v="0"/>
  </r>
  <r>
    <n v="695"/>
    <s v="SA23.24"/>
    <x v="0"/>
    <d v="2024-03-10T00:00:00"/>
    <d v="2024-03-10T19:16:00"/>
    <s v="WWW.OPTICAL.ORG - 10 OLD BAILEY, LONDON  W1G"/>
    <m/>
    <m/>
    <m/>
    <m/>
    <n v="-405"/>
    <n v="-405"/>
    <s v="Professional fees"/>
    <s v="CardPaymentOut"/>
    <s v="Cleared"/>
    <s v="GOC"/>
    <e v="#REF!"/>
    <x v="5"/>
  </r>
  <r>
    <n v="696"/>
    <s v="SA23.24"/>
    <x v="0"/>
    <d v="2024-03-11T00:00:00"/>
    <d v="2024-03-11T09:21:00"/>
    <s v="UBR* PENDING.UBER.COM - Aldgate Tower First Floor, LONDON"/>
    <m/>
    <m/>
    <m/>
    <m/>
    <n v="-8.9700000000000006"/>
    <n v="-8.9700000000000006"/>
    <s v="Travel"/>
    <s v="CardPaymentOut"/>
    <s v="Cleared"/>
    <m/>
    <e v="#REF!"/>
    <x v="0"/>
  </r>
  <r>
    <n v="697"/>
    <s v="SA23.24"/>
    <x v="0"/>
    <d v="2024-03-11T00:00:00"/>
    <d v="2024-03-11T09:41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698"/>
    <s v="SA23.24"/>
    <x v="0"/>
    <d v="2024-03-11T00:00:00"/>
    <d v="2024-03-11T17:55:00"/>
    <s v="UBER* TRIP - 2 LEMAN STREET, LONDON"/>
    <m/>
    <m/>
    <m/>
    <m/>
    <n v="-11.95"/>
    <n v="-11.95"/>
    <s v="Travel"/>
    <s v="CardPaymentOut"/>
    <s v="Cleared"/>
    <m/>
    <e v="#REF!"/>
    <x v="0"/>
  </r>
  <r>
    <n v="699"/>
    <s v="SA23.24"/>
    <x v="0"/>
    <d v="2024-03-12T00:00:00"/>
    <d v="2024-03-12T01:03:00"/>
    <s v="PWS VISION EXPRESS ref: RG50570000121224"/>
    <m/>
    <m/>
    <m/>
    <n v="1705"/>
    <m/>
    <n v="1705"/>
    <s v="Income"/>
    <s v="FasterPaymentIn"/>
    <s v="Cleared"/>
    <m/>
    <e v="#REF!"/>
    <x v="1"/>
  </r>
  <r>
    <n v="773"/>
    <s v="SA23.24"/>
    <x v="0"/>
    <d v="2024-04-06T00:00:00"/>
    <d v="2024-04-06T19:15:00"/>
    <s v="London Theatre - Bernard's Inn, 86 Fetter Lane, London"/>
    <m/>
    <m/>
    <m/>
    <m/>
    <n v="-81.900000000000006"/>
    <n v="-81.900000000000006"/>
    <s v="Other expenses"/>
    <s v="CardPaymentOut"/>
    <s v="Cleared"/>
    <m/>
    <e v="#REF!"/>
    <x v="6"/>
  </r>
  <r>
    <n v="701"/>
    <s v="SA23.24"/>
    <x v="0"/>
    <d v="2024-03-12T00:00:00"/>
    <d v="2024-03-12T09:24:00"/>
    <s v="COSTA COFFEE 43010810 - COLLONADES LEISURE PARK, CROYDON"/>
    <m/>
    <m/>
    <m/>
    <m/>
    <n v="-6.05"/>
    <n v="-6.05"/>
    <s v="Meals"/>
    <s v="CardPaymentOut"/>
    <s v="Cleared"/>
    <m/>
    <e v="#REF!"/>
    <x v="3"/>
  </r>
  <r>
    <n v="702"/>
    <s v="SA23.24"/>
    <x v="0"/>
    <d v="2024-03-12T00:00:00"/>
    <d v="2024-03-12T14:41:00"/>
    <s v="TFL TRAVEL CH - VICTORIA STREET, TFL.GOV.UK/CP"/>
    <m/>
    <m/>
    <m/>
    <m/>
    <n v="-11.6"/>
    <n v="-11.6"/>
    <s v="Travel"/>
    <s v="CardPaymentOut"/>
    <s v="Cleared"/>
    <m/>
    <e v="#REF!"/>
    <x v="0"/>
  </r>
  <r>
    <n v="703"/>
    <s v="SA23.24"/>
    <x v="0"/>
    <d v="2024-03-12T00:00:00"/>
    <d v="2024-03-12T19:50:00"/>
    <s v="UBR* PENDING.UBER.COM - Aldgate Tower First Floor, LONDON"/>
    <m/>
    <m/>
    <m/>
    <m/>
    <n v="-6.99"/>
    <n v="-6.99"/>
    <s v="Travel"/>
    <s v="CardPaymentOut"/>
    <s v="Cleared"/>
    <m/>
    <e v="#REF!"/>
    <x v="0"/>
  </r>
  <r>
    <n v="704"/>
    <s v="SA23.24"/>
    <x v="0"/>
    <d v="2024-03-13T00:00:00"/>
    <d v="2024-03-13T01:04:00"/>
    <s v="COSTCO             ref: 1948865"/>
    <m/>
    <m/>
    <m/>
    <n v="375"/>
    <m/>
    <n v="375"/>
    <s v="Income"/>
    <s v="FasterPaymentIn"/>
    <s v="Cleared"/>
    <m/>
    <e v="#REF!"/>
    <x v="1"/>
  </r>
  <r>
    <n v="705"/>
    <s v="SA23.24"/>
    <x v="0"/>
    <d v="2024-03-13T00:00:00"/>
    <d v="2024-03-13T01:31:00"/>
    <s v="TFL TRAVEL CH - VICTORIA STREET, TFL.GOV.UK/CP"/>
    <m/>
    <m/>
    <m/>
    <m/>
    <n v="-7.5"/>
    <n v="-7.5"/>
    <s v="Travel"/>
    <s v="CardPaymentOut"/>
    <s v="Cleared"/>
    <m/>
    <e v="#REF!"/>
    <x v="0"/>
  </r>
  <r>
    <n v="706"/>
    <s v="SA23.24"/>
    <x v="0"/>
    <d v="2024-03-13T00:00:00"/>
    <d v="2024-03-13T08:03:00"/>
    <s v="SAINSBURYS S/MKTS - FULHAM BROADWAY RETAIL CT, LONDON 2055"/>
    <m/>
    <m/>
    <m/>
    <m/>
    <n v="-2.8"/>
    <n v="-2.8"/>
    <m/>
    <s v="CardPaymentOut"/>
    <s v="Cleared"/>
    <m/>
    <e v="#REF!"/>
    <x v="3"/>
  </r>
  <r>
    <n v="707"/>
    <s v="SA23.24"/>
    <x v="0"/>
    <d v="2024-03-13T00:00:00"/>
    <d v="2024-03-13T09:17:00"/>
    <s v="COSTA COFFEE 43010810 - COLLONADES LEISURE PARK, CROYDON"/>
    <m/>
    <m/>
    <m/>
    <m/>
    <n v="-4.8"/>
    <n v="-4.8"/>
    <s v="Meals"/>
    <s v="CardPaymentOut"/>
    <s v="Cleared"/>
    <m/>
    <e v="#REF!"/>
    <x v="3"/>
  </r>
  <r>
    <n v="708"/>
    <s v="SA23.24"/>
    <x v="0"/>
    <d v="2024-03-13T00:00:00"/>
    <d v="2024-03-13T18:14:00"/>
    <s v="UBR* PENDING.UBER.COM - Aldgate Tower First Floor, LONDON"/>
    <m/>
    <m/>
    <m/>
    <m/>
    <n v="-9.9499999999999993"/>
    <n v="-9.9499999999999993"/>
    <s v="Travel"/>
    <s v="CardPaymentOut"/>
    <s v="Cleared"/>
    <m/>
    <e v="#REF!"/>
    <x v="0"/>
  </r>
  <r>
    <n v="709"/>
    <s v="SA23.24"/>
    <x v="0"/>
    <d v="2024-03-14T00:00:00"/>
    <d v="2024-03-14T08:17:00"/>
    <s v="SAINSBURYS S/MKTS - 116 BUCKINGHAM PALACE ROAD, LONDON  4065"/>
    <m/>
    <m/>
    <m/>
    <m/>
    <n v="-8.15"/>
    <n v="-8.15"/>
    <m/>
    <s v="CardPaymentOut"/>
    <s v="Cleared"/>
    <m/>
    <e v="#REF!"/>
    <x v="3"/>
  </r>
  <r>
    <n v="710"/>
    <s v="SA23.24"/>
    <x v="0"/>
    <d v="2024-03-14T00:00:00"/>
    <d v="2024-03-14T13:53:00"/>
    <s v="TFL TRAVEL CH - VICTORIA STREET, TFL.GOV.UK/CP"/>
    <m/>
    <m/>
    <m/>
    <m/>
    <n v="-5.95"/>
    <n v="-5.95"/>
    <s v="Travel"/>
    <s v="CardPaymentOut"/>
    <s v="Cleared"/>
    <m/>
    <e v="#REF!"/>
    <x v="0"/>
  </r>
  <r>
    <n v="711"/>
    <s v="SA23.24"/>
    <x v="0"/>
    <d v="2024-03-15T00:00:00"/>
    <d v="2024-03-15T01:03:00"/>
    <s v="COSTCO             ref: 1949304"/>
    <m/>
    <m/>
    <m/>
    <n v="750"/>
    <m/>
    <n v="750"/>
    <s v="Income"/>
    <s v="FasterPaymentIn"/>
    <s v="Cleared"/>
    <m/>
    <e v="#REF!"/>
    <x v="1"/>
  </r>
  <r>
    <n v="712"/>
    <s v="SA23.24"/>
    <x v="0"/>
    <d v="2024-03-15T00:00:00"/>
    <d v="2024-03-15T01:33:00"/>
    <s v="TFL TRAVEL CH - VICTORIA STREET, TFL.GOV.UK/CP"/>
    <m/>
    <m/>
    <m/>
    <m/>
    <n v="-11.55"/>
    <n v="-11.55"/>
    <s v="Travel"/>
    <s v="CardPaymentOut"/>
    <s v="Cleared"/>
    <m/>
    <e v="#REF!"/>
    <x v="0"/>
  </r>
  <r>
    <n v="713"/>
    <s v="SA23.24"/>
    <x v="0"/>
    <d v="2024-03-16T00:00:00"/>
    <d v="2024-03-16T08:49:00"/>
    <s v="COSTA COFFEE 43010493 - UNIT 27C, THE QUADRANT, RICHMOND"/>
    <m/>
    <m/>
    <m/>
    <m/>
    <n v="-4.8"/>
    <n v="-4.8"/>
    <s v="Meals"/>
    <s v="CardPaymentOut"/>
    <s v="Cleared"/>
    <m/>
    <e v="#REF!"/>
    <x v="3"/>
  </r>
  <r>
    <n v="714"/>
    <s v="SA23.24"/>
    <x v="0"/>
    <d v="2024-03-16T00:00:00"/>
    <d v="2024-03-16T14:00:00"/>
    <s v="TFL TRAVEL CH - VICTORIA STREET, TFL.GOV.UK/CP"/>
    <m/>
    <m/>
    <m/>
    <m/>
    <n v="-8.5"/>
    <n v="-8.5"/>
    <s v="Travel"/>
    <s v="CardPaymentOut"/>
    <s v="Cleared"/>
    <m/>
    <e v="#REF!"/>
    <x v="0"/>
  </r>
  <r>
    <n v="715"/>
    <s v="SA23.24"/>
    <x v="0"/>
    <d v="2024-03-17T00:00:00"/>
    <d v="2024-03-17T12:33:00"/>
    <s v="TFL TRAVEL CH - VICTORIA STREET, TFL.GOV.UK/CP"/>
    <m/>
    <m/>
    <m/>
    <m/>
    <n v="-5.55"/>
    <n v="-5.55"/>
    <s v="Travel"/>
    <s v="CardPaymentOut"/>
    <s v="Cleared"/>
    <m/>
    <e v="#REF!"/>
    <x v="0"/>
  </r>
  <r>
    <n v="716"/>
    <s v="SA23.24"/>
    <x v="0"/>
    <d v="2024-03-18T00:00:00"/>
    <d v="2024-03-18T09:14:00"/>
    <s v="MARKS&amp;SPENCER PLC - 70 FINSBURY PAVEMENT, FINSBURY"/>
    <m/>
    <m/>
    <m/>
    <m/>
    <n v="-4.9000000000000004"/>
    <n v="-4.9000000000000004"/>
    <m/>
    <s v="CardPaymentOut"/>
    <s v="Cleared"/>
    <m/>
    <e v="#REF!"/>
    <x v="3"/>
  </r>
  <r>
    <n v="717"/>
    <s v="SA23.24"/>
    <x v="0"/>
    <d v="2024-03-18T00:00:00"/>
    <d v="2024-03-18T14:00:00"/>
    <s v="SHAIFA REMTULLA ref: Reference - loan"/>
    <m/>
    <m/>
    <m/>
    <m/>
    <n v="-600"/>
    <n v="-600"/>
    <m/>
    <s v="FasterPaymentOut"/>
    <s v="Cleared"/>
    <m/>
    <e v="#REF!"/>
    <x v="4"/>
  </r>
  <r>
    <n v="718"/>
    <s v="SA23.24"/>
    <x v="0"/>
    <d v="2024-03-18T00:00:00"/>
    <d v="2024-03-18T22:06:00"/>
    <s v="Charge of 3.00 for Bank Transfers usage from 2024-02-01 to 2024-02-29"/>
    <m/>
    <m/>
    <m/>
    <m/>
    <n v="-3"/>
    <n v="-3"/>
    <m/>
    <s v="Fee"/>
    <s v="Cleared"/>
    <m/>
    <e v="#REF!"/>
    <x v="7"/>
  </r>
  <r>
    <n v="719"/>
    <s v="SA23.24"/>
    <x v="0"/>
    <d v="2024-03-19T00:00:00"/>
    <d v="2024-03-19T01:02:00"/>
    <s v="COSTCO             ref: 1949495"/>
    <m/>
    <m/>
    <m/>
    <n v="375"/>
    <m/>
    <n v="375"/>
    <s v="Income"/>
    <s v="FasterPaymentIn"/>
    <s v="Cleared"/>
    <m/>
    <e v="#REF!"/>
    <x v="1"/>
  </r>
  <r>
    <n v="720"/>
    <s v="SA23.24"/>
    <x v="0"/>
    <d v="2024-03-19T00:00:00"/>
    <d v="2024-03-19T09:33:00"/>
    <s v="FARMER J (CANARY WHARF - 22A CANADA PLACE, LONDON"/>
    <m/>
    <m/>
    <m/>
    <m/>
    <n v="-3.7"/>
    <n v="-3.7"/>
    <s v="Meals"/>
    <s v="CardPaymentOut"/>
    <s v="Cleared"/>
    <m/>
    <e v="#REF!"/>
    <x v="3"/>
  </r>
  <r>
    <n v="721"/>
    <s v="SA23.24"/>
    <x v="0"/>
    <d v="2024-03-19T00:00:00"/>
    <d v="2024-03-19T13:31:00"/>
    <s v="HOLLAND &amp; BARRETT - ONE CANADA SQUARE, CANARY WHARF"/>
    <m/>
    <m/>
    <m/>
    <m/>
    <n v="-4.7"/>
    <n v="-4.7"/>
    <m/>
    <s v="CardPaymentOut"/>
    <s v="Cleared"/>
    <m/>
    <e v="#REF!"/>
    <x v="3"/>
  </r>
  <r>
    <n v="722"/>
    <s v="SA23.24"/>
    <x v="0"/>
    <d v="2024-03-20T00:00:00"/>
    <d v="2024-03-20T01:01:00"/>
    <s v="COSTCO             ref: 1949771"/>
    <m/>
    <m/>
    <m/>
    <n v="750"/>
    <m/>
    <n v="750"/>
    <s v="Income"/>
    <s v="FasterPaymentIn"/>
    <s v="Cleared"/>
    <m/>
    <e v="#REF!"/>
    <x v="1"/>
  </r>
  <r>
    <n v="723"/>
    <s v="SA23.24"/>
    <x v="0"/>
    <d v="2024-03-20T00:00:00"/>
    <d v="2024-03-20T01:32:00"/>
    <s v="TFL TRAVEL CH - VICTORIA STREET, TFL.GOV.UK/CP"/>
    <m/>
    <m/>
    <m/>
    <m/>
    <n v="-7.95"/>
    <n v="-7.95"/>
    <s v="Travel"/>
    <s v="CardPaymentOut"/>
    <s v="Cleared"/>
    <m/>
    <e v="#REF!"/>
    <x v="0"/>
  </r>
  <r>
    <n v="724"/>
    <s v="SA23.24"/>
    <x v="0"/>
    <d v="2024-03-20T00:00:00"/>
    <d v="2024-03-20T04:56:00"/>
    <s v="REMTULLA ref: loan repaymemt"/>
    <m/>
    <m/>
    <m/>
    <n v="600"/>
    <m/>
    <n v="600"/>
    <s v="Loans"/>
    <s v="FasterPaymentIn"/>
    <s v="Cleared"/>
    <m/>
    <e v="#REF!"/>
    <x v="4"/>
  </r>
  <r>
    <n v="725"/>
    <s v="SA23.24"/>
    <x v="0"/>
    <d v="2024-03-20T00:00:00"/>
    <d v="2024-03-20T09:15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726"/>
    <s v="SA23.24"/>
    <x v="0"/>
    <d v="2024-03-20T00:00:00"/>
    <d v="2024-03-20T13:15:00"/>
    <s v="SHAIFA REMTULLA ref: salary"/>
    <m/>
    <m/>
    <m/>
    <m/>
    <n v="-2600"/>
    <n v="-2600"/>
    <m/>
    <s v="FasterPaymentOut"/>
    <s v="Cleared"/>
    <m/>
    <e v="#REF!"/>
    <x v="4"/>
  </r>
  <r>
    <n v="727"/>
    <s v="SA23.24"/>
    <x v="0"/>
    <d v="2024-03-22T00:00:00"/>
    <d v="2024-03-22T01:06:00"/>
    <s v="COSTCO             ref: 1950194"/>
    <m/>
    <m/>
    <m/>
    <n v="1150"/>
    <m/>
    <n v="1150"/>
    <s v="Income"/>
    <s v="FasterPaymentIn"/>
    <s v="Cleared"/>
    <m/>
    <e v="#REF!"/>
    <x v="1"/>
  </r>
  <r>
    <n v="728"/>
    <s v="SA23.24"/>
    <x v="0"/>
    <d v="2024-03-22T00:00:00"/>
    <d v="2024-03-22T08:27:00"/>
    <s v="Snax - Unit 1 Lower Concourse Wimbledo, London"/>
    <m/>
    <m/>
    <m/>
    <m/>
    <n v="-2.99"/>
    <n v="-2.99"/>
    <s v="Meals"/>
    <s v="CardPaymentOut"/>
    <s v="Cleared"/>
    <s v="lunch"/>
    <e v="#REF!"/>
    <x v="3"/>
  </r>
  <r>
    <n v="729"/>
    <s v="SA23.24"/>
    <x v="0"/>
    <d v="2024-03-22T00:00:00"/>
    <d v="2024-03-22T09:13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730"/>
    <s v="SA23.24"/>
    <x v="0"/>
    <d v="2024-03-22T00:00:00"/>
    <d v="2024-03-22T12:50:00"/>
    <s v="TFL TRAVEL CH - VICTORIA STREET, TFL.GOV.UK/CP"/>
    <m/>
    <m/>
    <m/>
    <m/>
    <n v="-12.3"/>
    <n v="-12.3"/>
    <s v="Travel"/>
    <s v="CardPaymentOut"/>
    <s v="Cleared"/>
    <m/>
    <e v="#REF!"/>
    <x v="0"/>
  </r>
  <r>
    <n v="731"/>
    <s v="SA23.24"/>
    <x v="0"/>
    <d v="2024-03-23T00:00:00"/>
    <d v="2024-03-23T01:31:00"/>
    <s v="TFL TRAVEL CH - VICTORIA STREET, TFL.GOV.UK/CP"/>
    <m/>
    <m/>
    <m/>
    <m/>
    <n v="-7.3"/>
    <n v="-7.3"/>
    <s v="Travel"/>
    <s v="CardPaymentOut"/>
    <s v="Cleared"/>
    <m/>
    <e v="#REF!"/>
    <x v="0"/>
  </r>
  <r>
    <n v="732"/>
    <s v="SA23.24"/>
    <x v="0"/>
    <d v="2024-03-25T00:00:00"/>
    <d v="2024-03-25T09:34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733"/>
    <s v="SA23.24"/>
    <x v="0"/>
    <d v="2024-03-26T00:00:00"/>
    <d v="2024-03-26T01:03:00"/>
    <s v="COSTCO             ref: 1950395"/>
    <m/>
    <m/>
    <m/>
    <n v="375"/>
    <m/>
    <n v="375"/>
    <s v="Income"/>
    <s v="FasterPaymentIn"/>
    <s v="Cleared"/>
    <m/>
    <e v="#REF!"/>
    <x v="1"/>
  </r>
  <r>
    <n v="734"/>
    <s v="SA23.24"/>
    <x v="0"/>
    <d v="2024-03-26T00:00:00"/>
    <d v="2024-03-26T12:35:00"/>
    <s v="TFL TRAVEL CH - VICTORIA STREET, TFL.GOV.UK/CP"/>
    <m/>
    <m/>
    <m/>
    <m/>
    <n v="-7.5"/>
    <n v="-7.5"/>
    <s v="Travel"/>
    <s v="CardPaymentOut"/>
    <s v="Cleared"/>
    <m/>
    <e v="#REF!"/>
    <x v="0"/>
  </r>
  <r>
    <n v="735"/>
    <s v="SA23.24"/>
    <x v="0"/>
    <d v="2024-03-26T00:00:00"/>
    <d v="2024-03-26T14:03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736"/>
    <s v="SA23.24"/>
    <x v="0"/>
    <d v="2024-03-27T00:00:00"/>
    <d v="2024-03-27T01:05:00"/>
    <s v="COSTCO             ref: 1950653"/>
    <m/>
    <m/>
    <m/>
    <n v="750"/>
    <m/>
    <n v="750"/>
    <s v="Income"/>
    <s v="FasterPaymentIn"/>
    <s v="Cleared"/>
    <m/>
    <e v="#REF!"/>
    <x v="1"/>
  </r>
  <r>
    <n v="737"/>
    <s v="SA23.24"/>
    <x v="0"/>
    <d v="2024-03-27T00:00:00"/>
    <d v="2024-03-27T01:33:00"/>
    <s v="TFL TRAVEL CH - VICTORIA STREET, TFL.GOV.UK/CP"/>
    <m/>
    <m/>
    <m/>
    <m/>
    <n v="-5.95"/>
    <n v="-5.95"/>
    <s v="Travel"/>
    <s v="CardPaymentOut"/>
    <s v="Cleared"/>
    <m/>
    <e v="#REF!"/>
    <x v="0"/>
  </r>
  <r>
    <n v="738"/>
    <s v="SA23.24"/>
    <x v="0"/>
    <d v="2024-03-27T00:00:00"/>
    <d v="2024-03-27T09:06:00"/>
    <s v="COSTA COFFEE 43010810 - COLLONADES LEISURE PARK, CROYDON"/>
    <m/>
    <m/>
    <m/>
    <m/>
    <n v="-6.25"/>
    <n v="-6.25"/>
    <s v="Meals"/>
    <s v="CardPaymentOut"/>
    <s v="Cleared"/>
    <m/>
    <e v="#REF!"/>
    <x v="3"/>
  </r>
  <r>
    <n v="739"/>
    <s v="SA23.24"/>
    <x v="0"/>
    <d v="2024-03-27T00:00:00"/>
    <d v="2024-03-27T17:52:00"/>
    <s v="UBR* PENDING.UBER.COM - Aldgate Tower First Floor, LONDON"/>
    <m/>
    <m/>
    <m/>
    <m/>
    <n v="-8.98"/>
    <n v="-8.98"/>
    <s v="Travel"/>
    <s v="CardPaymentOut"/>
    <s v="Cleared"/>
    <m/>
    <e v="#REF!"/>
    <x v="0"/>
  </r>
  <r>
    <n v="740"/>
    <s v="SA23.24"/>
    <x v="0"/>
    <d v="2024-03-28T00:00:00"/>
    <d v="2024-03-28T09:52:00"/>
    <s v="PRET A MANGER - 136 GREAT PORTLAND STREET, 140"/>
    <m/>
    <m/>
    <m/>
    <m/>
    <n v="-3.8"/>
    <n v="-3.8"/>
    <s v="Meals"/>
    <s v="CardPaymentOut"/>
    <s v="Cleared"/>
    <m/>
    <e v="#REF!"/>
    <x v="3"/>
  </r>
  <r>
    <n v="741"/>
    <s v="SA23.24"/>
    <x v="0"/>
    <d v="2024-03-28T00:00:00"/>
    <d v="2024-03-28T12:54:00"/>
    <s v="TFL TRAVEL CH - VICTORIA STREET, TFL.GOV.UK/CP"/>
    <m/>
    <m/>
    <m/>
    <m/>
    <n v="-12.3"/>
    <n v="-12.3"/>
    <s v="Travel"/>
    <s v="CardPaymentOut"/>
    <s v="Cleared"/>
    <m/>
    <e v="#REF!"/>
    <x v="0"/>
  </r>
  <r>
    <n v="742"/>
    <s v="SA23.24"/>
    <x v="0"/>
    <d v="2024-03-29T00:00:00"/>
    <d v="2024-03-29T09:20:00"/>
    <s v="COSTA COFFEE 43011412 - 104 NEW OXFORD STREET, LONDON"/>
    <m/>
    <m/>
    <m/>
    <m/>
    <n v="-4.7"/>
    <n v="-4.7"/>
    <s v="Meals"/>
    <s v="CardPaymentOut"/>
    <s v="Cleared"/>
    <m/>
    <e v="#REF!"/>
    <x v="3"/>
  </r>
  <r>
    <n v="743"/>
    <s v="SA23.24"/>
    <x v="0"/>
    <d v="2024-03-29T00:00:00"/>
    <d v="2024-03-29T12:40:00"/>
    <s v="TFL TRAVEL CH - VICTORIA STREET, TFL.GOV.UK/CP"/>
    <m/>
    <m/>
    <m/>
    <m/>
    <n v="-6.9"/>
    <n v="-6.9"/>
    <s v="Travel"/>
    <s v="CardPaymentOut"/>
    <s v="Cleared"/>
    <m/>
    <e v="#REF!"/>
    <x v="0"/>
  </r>
  <r>
    <n v="744"/>
    <s v="SA23.24"/>
    <x v="0"/>
    <d v="2024-03-29T00:00:00"/>
    <d v="2024-03-29T14:02:00"/>
    <s v="MARKS&amp;SPENCER PLC - 173 OXFORD STREET, OXFORD CIRCUS"/>
    <m/>
    <m/>
    <m/>
    <m/>
    <n v="-9"/>
    <n v="-9"/>
    <m/>
    <s v="CardPaymentOut"/>
    <s v="Cleared"/>
    <s v="lunch"/>
    <e v="#REF!"/>
    <x v="3"/>
  </r>
  <r>
    <n v="745"/>
    <s v="SA23.24"/>
    <x v="0"/>
    <d v="2024-03-30T00:00:00"/>
    <d v="2024-03-30T01:15:00"/>
    <s v="TFL TRAVEL CH - VICTORIA STREET, TFL.GOV.UK/CP"/>
    <m/>
    <m/>
    <m/>
    <m/>
    <n v="-5.6"/>
    <n v="-5.6"/>
    <s v="Travel"/>
    <s v="CardPaymentOut"/>
    <s v="Cleared"/>
    <m/>
    <e v="#REF!"/>
    <x v="0"/>
  </r>
  <r>
    <n v="746"/>
    <s v="SA23.24"/>
    <x v="0"/>
    <d v="2024-03-30T00:00:00"/>
    <d v="2024-03-30T08:27:00"/>
    <s v="WH Smith Victoria - Victoria Island Station Shop, London"/>
    <m/>
    <m/>
    <m/>
    <m/>
    <n v="-6.07"/>
    <n v="-6.07"/>
    <m/>
    <s v="CardPaymentOut"/>
    <s v="Cleared"/>
    <m/>
    <e v="#REF!"/>
    <x v="3"/>
  </r>
  <r>
    <n v="747"/>
    <s v="SA23.24"/>
    <x v="0"/>
    <d v="2024-03-31T00:00:00"/>
    <d v="2024-03-31T10:38:00"/>
    <s v="TFL TRAVEL CH - VICTORIA STREET, TFL.GOV.UK/CP"/>
    <m/>
    <m/>
    <m/>
    <m/>
    <n v="-11.4"/>
    <n v="-11.4"/>
    <s v="Travel"/>
    <s v="CardPaymentOut"/>
    <s v="Cleared"/>
    <m/>
    <e v="#REF!"/>
    <x v="0"/>
  </r>
  <r>
    <n v="748"/>
    <s v="SA23.24"/>
    <x v="0"/>
    <d v="2024-04-01T00:00:00"/>
    <d v="2024-04-01T09:45:00"/>
    <s v="JOE THE JUICE UK LTD - 46 Dean Street, London"/>
    <m/>
    <m/>
    <m/>
    <m/>
    <n v="-3.7"/>
    <n v="-3.7"/>
    <s v="Meals"/>
    <s v="CardPaymentOut"/>
    <s v="Cleared"/>
    <m/>
    <e v="#REF!"/>
    <x v="3"/>
  </r>
  <r>
    <n v="749"/>
    <s v="SA23.24"/>
    <x v="0"/>
    <d v="2024-04-01T00:00:00"/>
    <d v="2024-04-01T14:02:00"/>
    <s v="MARKS&amp;SPENCER PLC - MARKS AND SPENCER, LONDON"/>
    <m/>
    <m/>
    <m/>
    <m/>
    <n v="-8.65"/>
    <n v="-8.65"/>
    <m/>
    <s v="CardPaymentOut"/>
    <s v="Cleared"/>
    <m/>
    <e v="#REF!"/>
    <x v="3"/>
  </r>
  <r>
    <n v="750"/>
    <s v="SA23.24"/>
    <x v="0"/>
    <d v="2024-04-02T00:00:00"/>
    <d v="2024-04-02T01:10:00"/>
    <s v="TFL TRAVEL CH - VICTORIA STREET, TFL.GOV.UK/CP"/>
    <m/>
    <m/>
    <m/>
    <m/>
    <n v="-7.25"/>
    <n v="-7.25"/>
    <s v="Travel"/>
    <s v="CardPaymentOut"/>
    <s v="Cleared"/>
    <m/>
    <e v="#REF!"/>
    <x v="0"/>
  </r>
  <r>
    <n v="751"/>
    <s v="SA23.24"/>
    <x v="0"/>
    <d v="2024-04-02T00:00:00"/>
    <d v="2024-04-02T02:00:00"/>
    <s v="PWS VISION EXPRESS ref: RG50570000386824"/>
    <m/>
    <m/>
    <m/>
    <n v="745"/>
    <m/>
    <n v="745"/>
    <s v="Income"/>
    <s v="FasterPaymentIn"/>
    <s v="Cleared"/>
    <m/>
    <e v="#REF!"/>
    <x v="1"/>
  </r>
  <r>
    <n v="752"/>
    <s v="SA23.24"/>
    <x v="0"/>
    <d v="2024-04-02T00:00:00"/>
    <d v="2024-04-02T02:04:00"/>
    <s v="COSTCO             ref: 1951825"/>
    <m/>
    <m/>
    <m/>
    <n v="375"/>
    <m/>
    <n v="375"/>
    <s v="Income"/>
    <s v="FasterPaymentIn"/>
    <s v="Cleared"/>
    <m/>
    <e v="#REF!"/>
    <x v="1"/>
  </r>
  <r>
    <n v="753"/>
    <s v="SA23.24"/>
    <x v="0"/>
    <d v="2024-04-02T00:00:00"/>
    <d v="2024-04-02T05:51:00"/>
    <s v="SHAIFA REMTULLA ref: payment"/>
    <m/>
    <m/>
    <m/>
    <m/>
    <n v="-500"/>
    <n v="-500"/>
    <m/>
    <s v="FasterPaymentOut"/>
    <s v="Cleared"/>
    <m/>
    <e v="#REF!"/>
    <x v="4"/>
  </r>
  <r>
    <n v="754"/>
    <s v="SA23.24"/>
    <x v="0"/>
    <d v="2024-04-02T00:00:00"/>
    <d v="2024-04-02T08:47:00"/>
    <s v="SAINSBURYS S/MKTS - FULHAM BROADWAY RETAIL CT, LONDON 2055"/>
    <m/>
    <m/>
    <m/>
    <m/>
    <n v="-4.6500000000000004"/>
    <n v="-4.6500000000000004"/>
    <m/>
    <s v="CardPaymentOut"/>
    <s v="Cleared"/>
    <m/>
    <e v="#REF!"/>
    <x v="3"/>
  </r>
  <r>
    <n v="755"/>
    <s v="SA23.24"/>
    <x v="0"/>
    <d v="2024-04-02T00:00:00"/>
    <d v="2024-04-02T09:53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756"/>
    <s v="SA23.24"/>
    <x v="0"/>
    <d v="2024-04-02T00:00:00"/>
    <d v="2024-04-02T19:31:00"/>
    <s v="NISA LOCAL - 105A-107 DAWES ROAD, LONDON"/>
    <m/>
    <m/>
    <m/>
    <m/>
    <n v="-2.54"/>
    <n v="-2.54"/>
    <m/>
    <s v="CardPaymentOut"/>
    <s v="Cleared"/>
    <m/>
    <e v="#REF!"/>
    <x v="3"/>
  </r>
  <r>
    <n v="757"/>
    <s v="SA23.24"/>
    <x v="0"/>
    <d v="2024-04-03T00:00:00"/>
    <d v="2024-04-03T08:37:00"/>
    <s v="Snax - Unit 1 Lower Concourse Wimbledo, London"/>
    <m/>
    <m/>
    <m/>
    <m/>
    <n v="-4.9800000000000004"/>
    <n v="-4.9800000000000004"/>
    <m/>
    <s v="CardPaymentOut"/>
    <s v="Cleared"/>
    <m/>
    <e v="#REF!"/>
    <x v="3"/>
  </r>
  <r>
    <n v="758"/>
    <s v="SA23.24"/>
    <x v="0"/>
    <d v="2024-04-03T00:00:00"/>
    <d v="2024-04-03T09:07:00"/>
    <s v="UBR* PENDING.UBER.COM - Aldgate Tower First Floor, LONDON"/>
    <m/>
    <m/>
    <m/>
    <m/>
    <n v="-7.96"/>
    <n v="-7.96"/>
    <s v="Travel"/>
    <s v="CardPaymentOut"/>
    <s v="Cleared"/>
    <m/>
    <e v="#REF!"/>
    <x v="0"/>
  </r>
  <r>
    <n v="759"/>
    <s v="SA23.24"/>
    <x v="0"/>
    <d v="2024-04-03T00:00:00"/>
    <d v="2024-04-03T09:18:00"/>
    <s v="COSTA COFFEE 43010810 - COLLONADES LEISURE PARK, CROYDON"/>
    <m/>
    <m/>
    <m/>
    <m/>
    <n v="-4.8"/>
    <n v="-4.8"/>
    <s v="Meals"/>
    <s v="CardPaymentOut"/>
    <s v="Cleared"/>
    <m/>
    <e v="#REF!"/>
    <x v="3"/>
  </r>
  <r>
    <n v="760"/>
    <s v="SA23.24"/>
    <x v="0"/>
    <d v="2024-04-03T00:00:00"/>
    <d v="2024-04-03T13:15:00"/>
    <s v="TFL TRAVEL CH - VICTORIA STREET, TFL.GOV.UK/CP"/>
    <m/>
    <m/>
    <m/>
    <m/>
    <n v="-7.5"/>
    <n v="-7.5"/>
    <s v="Travel"/>
    <s v="CardPaymentOut"/>
    <s v="Cleared"/>
    <m/>
    <e v="#REF!"/>
    <x v="0"/>
  </r>
  <r>
    <n v="761"/>
    <s v="SA23.24"/>
    <x v="0"/>
    <d v="2024-04-04T00:00:00"/>
    <d v="2024-04-04T01:27:00"/>
    <s v="TFL TRAVEL CH - VICTORIA STREET, TFL.GOV.UK/CP"/>
    <m/>
    <m/>
    <m/>
    <m/>
    <n v="-7.7"/>
    <n v="-7.7"/>
    <s v="Travel"/>
    <s v="CardPaymentOut"/>
    <s v="Cleared"/>
    <m/>
    <e v="#REF!"/>
    <x v="0"/>
  </r>
  <r>
    <n v="762"/>
    <s v="SA23.24"/>
    <x v="0"/>
    <d v="2024-04-04T00:00:00"/>
    <d v="2024-04-04T07:45:00"/>
    <s v="OLE AND STEEN  ECCLEST - 31 ECCLESTON PLACE B, LONDON"/>
    <m/>
    <m/>
    <m/>
    <m/>
    <n v="-3.85"/>
    <n v="-3.85"/>
    <s v="Meals"/>
    <s v="CardPaymentOut"/>
    <s v="Cleared"/>
    <m/>
    <e v="#REF!"/>
    <x v="3"/>
  </r>
  <r>
    <n v="763"/>
    <s v="SA23.24"/>
    <x v="0"/>
    <d v="2024-04-04T00:00:00"/>
    <d v="2024-04-04T09:02:00"/>
    <s v="SAINSBURYS S/MKTS - 116 BUCKINGHAM PALACE ROAD, LONDON  4065"/>
    <m/>
    <m/>
    <m/>
    <m/>
    <n v="-5.45"/>
    <n v="-5.45"/>
    <m/>
    <s v="CardPaymentOut"/>
    <s v="Cleared"/>
    <m/>
    <e v="#REF!"/>
    <x v="3"/>
  </r>
  <r>
    <n v="764"/>
    <s v="SA23.24"/>
    <x v="0"/>
    <d v="2024-04-04T00:00:00"/>
    <d v="2024-04-04T18:28:00"/>
    <s v="EE Limited - HATFIELD BUSINESS PK, T-MOBILE CO U"/>
    <m/>
    <m/>
    <m/>
    <m/>
    <n v="-44.09"/>
    <n v="-44.09"/>
    <s v="Phone and internet"/>
    <s v="CardPaymentOut"/>
    <s v="Cleared"/>
    <m/>
    <e v="#REF!"/>
    <x v="2"/>
  </r>
  <r>
    <n v="765"/>
    <s v="SA23.24"/>
    <x v="0"/>
    <d v="2024-04-05T00:00:00"/>
    <d v="2024-04-05T02:07:00"/>
    <s v="COSTCO             ref: 1952251"/>
    <m/>
    <m/>
    <m/>
    <n v="750"/>
    <m/>
    <n v="750"/>
    <s v="Income"/>
    <s v="FasterPaymentIn"/>
    <s v="Cleared"/>
    <m/>
    <e v="#REF!"/>
    <x v="1"/>
  </r>
  <r>
    <n v="766"/>
    <s v="SA23.24"/>
    <x v="0"/>
    <d v="2024-04-05T00:00:00"/>
    <d v="2024-04-05T14:02:00"/>
    <s v="TFL TRAVEL CH - VICTORIA STREET, TFL.GOV.UK/CP"/>
    <m/>
    <m/>
    <m/>
    <m/>
    <n v="-13.4"/>
    <n v="-13.4"/>
    <s v="Travel"/>
    <s v="CardPaymentOut"/>
    <s v="Cleared"/>
    <m/>
    <e v="#REF!"/>
    <x v="0"/>
  </r>
  <r>
    <n v="767"/>
    <s v="SA23.24"/>
    <x v="0"/>
    <d v="2024-04-06T00:00:00"/>
    <d v="2024-04-06T01:25:00"/>
    <s v="TFL TRAVEL CH - VICTORIA STREET, TFL.GOV.UK/CP"/>
    <m/>
    <m/>
    <m/>
    <m/>
    <n v="-5.25"/>
    <n v="-5.25"/>
    <s v="Travel"/>
    <s v="CardPaymentOut"/>
    <s v="Cleared"/>
    <m/>
    <e v="#REF!"/>
    <x v="0"/>
  </r>
  <r>
    <n v="768"/>
    <s v="SA23.24"/>
    <x v="0"/>
    <d v="2024-04-06T00:00:00"/>
    <d v="2024-04-06T08:55:00"/>
    <s v="UBR* PENDING.UBER.COM - Aldgate Tower First Floor, LONDON"/>
    <m/>
    <m/>
    <m/>
    <m/>
    <n v="-8.94"/>
    <n v="-8.94"/>
    <s v="Travel"/>
    <s v="CardPaymentOut"/>
    <s v="Cleared"/>
    <m/>
    <e v="#REF!"/>
    <x v="0"/>
  </r>
  <r>
    <n v="769"/>
    <s v="SA23.24"/>
    <x v="0"/>
    <d v="2024-04-06T00:00:00"/>
    <d v="2024-04-06T12:48:00"/>
    <s v="TESCO STORES 2017 - 117 STATION ROAD, ADDLESTONE"/>
    <m/>
    <m/>
    <m/>
    <m/>
    <n v="-4.5"/>
    <n v="-4.5"/>
    <m/>
    <s v="CardPaymentOut"/>
    <s v="Cleared"/>
    <m/>
    <e v="#REF!"/>
    <x v="3"/>
  </r>
  <r>
    <n v="770"/>
    <s v="SA23.24"/>
    <x v="0"/>
    <d v="2024-04-06T00:00:00"/>
    <d v="2024-04-06T13:24:00"/>
    <s v="TESCO STORES 2017 - 117 STATION ROAD, ADDLESTONE"/>
    <m/>
    <m/>
    <m/>
    <m/>
    <n v="-2.6"/>
    <n v="-2.6"/>
    <m/>
    <s v="CardPaymentOut"/>
    <s v="Cleared"/>
    <m/>
    <e v="#REF!"/>
    <x v="3"/>
  </r>
  <r>
    <n v="771"/>
    <s v="SA23.24"/>
    <x v="0"/>
    <d v="2024-04-06T00:00:00"/>
    <d v="2024-04-06T17:07:00"/>
    <s v="UBR* PENDING.UBER.COM - Aldgate Tower First Floor, LONDON"/>
    <m/>
    <m/>
    <m/>
    <m/>
    <n v="-10.9"/>
    <n v="-10.9"/>
    <s v="Travel"/>
    <s v="CardPaymentOut"/>
    <s v="Cleared"/>
    <m/>
    <e v="#REF!"/>
    <x v="0"/>
  </r>
  <r>
    <n v="772"/>
    <s v="SA23.24"/>
    <x v="0"/>
    <d v="2024-04-06T00:00:00"/>
    <d v="2024-04-06T17:14:00"/>
    <s v="TRAINLINE - TRAINLINE, LONDON"/>
    <m/>
    <m/>
    <m/>
    <m/>
    <n v="-6.3"/>
    <n v="-6.3"/>
    <s v="Travel"/>
    <s v="CardPaymentOut"/>
    <s v="Cleared"/>
    <m/>
    <e v="#REF!"/>
    <x v="0"/>
  </r>
  <r>
    <n v="797"/>
    <s v="SA23.24"/>
    <x v="0"/>
    <d v="2024-04-12T00:00:00"/>
    <d v="2024-04-12T14:26:00"/>
    <s v="ZARA LON BATTERSEA - ELECTRIC BOULEVARD U, LONDON"/>
    <m/>
    <m/>
    <m/>
    <m/>
    <n v="-92.07"/>
    <n v="-92.07"/>
    <s v="Other expenses"/>
    <s v="CardPaymentOut"/>
    <s v="Cleared"/>
    <m/>
    <e v="#REF!"/>
    <x v="6"/>
  </r>
  <r>
    <n v="774"/>
    <s v="SA23.24"/>
    <x v="0"/>
    <d v="2024-04-07T00:00:00"/>
    <d v="2024-04-07T13:10:00"/>
    <s v="TFL TRAVEL CH - VICTORIA STREET, TFL.GOV.UK/CP"/>
    <m/>
    <m/>
    <m/>
    <m/>
    <n v="-2.6"/>
    <n v="-2.6"/>
    <s v="Travel"/>
    <s v="CardPaymentOut"/>
    <s v="Cleared"/>
    <m/>
    <e v="#REF!"/>
    <x v="0"/>
  </r>
  <r>
    <n v="775"/>
    <s v="SA23.24"/>
    <x v="0"/>
    <d v="2024-04-08T00:00:00"/>
    <d v="2024-04-08T08:37:00"/>
    <s v="WAITROSE - 8 PARSONS GREEN, PARSONS GREEN"/>
    <m/>
    <m/>
    <m/>
    <m/>
    <n v="-2.2000000000000002"/>
    <n v="-2.2000000000000002"/>
    <s v="Meals"/>
    <s v="CardPaymentOut"/>
    <s v="Cleared"/>
    <m/>
    <e v="#REF!"/>
    <x v="3"/>
  </r>
  <r>
    <n v="776"/>
    <s v="SA23.24"/>
    <x v="0"/>
    <d v="2024-04-08T00:00:00"/>
    <d v="2024-04-08T09:21:00"/>
    <s v="UBR* PENDING.UBER.COM - Aldgate Tower First Floor, LONDON"/>
    <m/>
    <m/>
    <m/>
    <m/>
    <n v="-7.91"/>
    <n v="-7.91"/>
    <s v="Travel"/>
    <s v="CardPaymentOut"/>
    <s v="Cleared"/>
    <m/>
    <e v="#REF!"/>
    <x v="0"/>
  </r>
  <r>
    <n v="777"/>
    <s v="SA23.24"/>
    <x v="0"/>
    <d v="2024-04-08T00:00:00"/>
    <d v="2024-04-08T09:38:00"/>
    <s v="COSTA COFFEE 43010810 - COLLONADES LEISURE PARK, CROYDON"/>
    <m/>
    <m/>
    <m/>
    <m/>
    <n v="-4.5999999999999996"/>
    <n v="-4.5999999999999996"/>
    <s v="Meals"/>
    <s v="CardPaymentOut"/>
    <s v="Cleared"/>
    <m/>
    <e v="#REF!"/>
    <x v="3"/>
  </r>
  <r>
    <n v="778"/>
    <s v="SA23.24"/>
    <x v="0"/>
    <d v="2024-04-09T00:00:00"/>
    <d v="2024-04-09T02:04:00"/>
    <s v="COSTCO             ref: 1952473"/>
    <m/>
    <m/>
    <m/>
    <n v="375"/>
    <m/>
    <n v="375"/>
    <s v="Income"/>
    <s v="FasterPaymentIn"/>
    <s v="Cleared"/>
    <m/>
    <e v="#REF!"/>
    <x v="1"/>
  </r>
  <r>
    <n v="779"/>
    <s v="SA23.24"/>
    <x v="0"/>
    <d v="2024-04-09T00:00:00"/>
    <d v="2024-04-09T09:19:00"/>
    <s v="UBR* PENDING.UBER.COM - Aldgate Tower First Floor, LONDON"/>
    <m/>
    <m/>
    <m/>
    <m/>
    <n v="-7.9"/>
    <n v="-7.9"/>
    <s v="Travel"/>
    <s v="CardPaymentOut"/>
    <s v="Cleared"/>
    <m/>
    <e v="#REF!"/>
    <x v="0"/>
  </r>
  <r>
    <n v="780"/>
    <s v="SA23.24"/>
    <x v="0"/>
    <d v="2024-04-09T00:00:00"/>
    <d v="2024-04-09T09:35:00"/>
    <s v="COSTA COFFEE 43010810 - COLLONADES LEISURE PARK, CROYDON"/>
    <m/>
    <m/>
    <m/>
    <m/>
    <n v="-6.05"/>
    <n v="-6.05"/>
    <s v="Meals"/>
    <s v="CardPaymentOut"/>
    <s v="Cleared"/>
    <m/>
    <e v="#REF!"/>
    <x v="3"/>
  </r>
  <r>
    <n v="781"/>
    <s v="SA23.24"/>
    <x v="0"/>
    <d v="2024-04-09T00:00:00"/>
    <d v="2024-04-09T11:48:00"/>
    <s v="TFL TRAVEL CH - VICTORIA STREET, TFL.GOV.UK/CP"/>
    <m/>
    <m/>
    <m/>
    <m/>
    <n v="-7.7"/>
    <n v="-7.7"/>
    <s v="Travel"/>
    <s v="CardPaymentOut"/>
    <s v="Cleared"/>
    <m/>
    <e v="#REF!"/>
    <x v="0"/>
  </r>
  <r>
    <n v="782"/>
    <s v="SA23.24"/>
    <x v="0"/>
    <d v="2024-04-10T00:00:00"/>
    <d v="2024-04-10T01:53:00"/>
    <s v="TFL TRAVEL CH - VICTORIA STREET, TFL.GOV.UK/CP"/>
    <m/>
    <m/>
    <m/>
    <m/>
    <n v="-7.5"/>
    <n v="-7.5"/>
    <s v="Travel"/>
    <s v="CardPaymentOut"/>
    <s v="Cleared"/>
    <m/>
    <e v="#REF!"/>
    <x v="0"/>
  </r>
  <r>
    <n v="783"/>
    <s v="SA23.24"/>
    <x v="0"/>
    <d v="2024-04-10T00:00:00"/>
    <d v="2024-04-10T02:05:00"/>
    <s v="COSTCO             ref: 1952734"/>
    <m/>
    <m/>
    <m/>
    <n v="375"/>
    <m/>
    <n v="375"/>
    <s v="Income"/>
    <s v="FasterPaymentIn"/>
    <s v="Cleared"/>
    <m/>
    <e v="#REF!"/>
    <x v="1"/>
  </r>
  <r>
    <n v="784"/>
    <s v="SA23.24"/>
    <x v="0"/>
    <d v="2024-04-10T00:00:00"/>
    <d v="2024-04-10T08:30:00"/>
    <s v="JOE THE JUICE - Baker Street 105, London"/>
    <m/>
    <m/>
    <m/>
    <m/>
    <n v="-4.3"/>
    <n v="-4.3"/>
    <s v="Meals"/>
    <s v="CardPaymentOut"/>
    <s v="Cleared"/>
    <m/>
    <e v="#REF!"/>
    <x v="3"/>
  </r>
  <r>
    <n v="785"/>
    <s v="SA23.24"/>
    <x v="0"/>
    <d v="2024-04-10T00:00:00"/>
    <d v="2024-04-10T09:01:00"/>
    <s v="M&amp;S SIMPLY FOOD-SSP - SU15 WESTERN CONCOURSE., LONDON BRIDGE"/>
    <m/>
    <m/>
    <m/>
    <m/>
    <n v="-6.25"/>
    <n v="-6.25"/>
    <m/>
    <s v="CardPaymentOut"/>
    <s v="Cleared"/>
    <m/>
    <e v="#REF!"/>
    <x v="3"/>
  </r>
  <r>
    <n v="786"/>
    <s v="SA23.24"/>
    <x v="0"/>
    <d v="2024-04-11T00:00:00"/>
    <d v="2024-04-11T08:21:00"/>
    <s v="BOOTS LONDON - UNIT 7 FULHAM BROADWAY, LONDON"/>
    <m/>
    <m/>
    <m/>
    <m/>
    <n v="-3.05"/>
    <n v="-3.05"/>
    <m/>
    <s v="CardPaymentOut"/>
    <s v="Cleared"/>
    <s v="lunch"/>
    <e v="#REF!"/>
    <x v="3"/>
  </r>
  <r>
    <n v="787"/>
    <s v="SA23.24"/>
    <x v="0"/>
    <d v="2024-04-11T00:00:00"/>
    <d v="2024-04-11T09:34:00"/>
    <s v="COSTA COFFEE 43010810 - COLLONADES LEISURE PARK, CROYDON"/>
    <m/>
    <m/>
    <m/>
    <m/>
    <n v="-4.5999999999999996"/>
    <n v="-4.5999999999999996"/>
    <s v="Meals"/>
    <s v="CardPaymentOut"/>
    <s v="Cleared"/>
    <s v="breakfast coffee"/>
    <e v="#REF!"/>
    <x v="3"/>
  </r>
  <r>
    <n v="788"/>
    <s v="SA23.24"/>
    <x v="0"/>
    <d v="2024-04-11T00:00:00"/>
    <d v="2024-04-11T09:38:00"/>
    <s v="SHAIFA REMTULLA ref: Reference - loan"/>
    <m/>
    <m/>
    <m/>
    <m/>
    <n v="-1500"/>
    <n v="-1500"/>
    <s v="Loan interest repayment"/>
    <s v="FasterPaymentOut"/>
    <s v="Cleared"/>
    <m/>
    <e v="#REF!"/>
    <x v="4"/>
  </r>
  <r>
    <n v="789"/>
    <s v="SA23.24"/>
    <x v="0"/>
    <d v="2024-04-11T00:00:00"/>
    <d v="2024-04-11T15:22:00"/>
    <s v="TFL TRAVEL CH - VICTORIA STREET, TFL.GOV.UK/CP"/>
    <m/>
    <m/>
    <m/>
    <m/>
    <n v="-13.4"/>
    <n v="-13.4"/>
    <s v="Travel"/>
    <s v="CardPaymentOut"/>
    <s v="Cleared"/>
    <m/>
    <e v="#REF!"/>
    <x v="0"/>
  </r>
  <r>
    <n v="790"/>
    <s v="SA23.24"/>
    <x v="0"/>
    <d v="2024-04-12T00:00:00"/>
    <d v="2024-04-12T01:30:00"/>
    <s v="TFL TRAVEL CH - VICTORIA STREET, TFL.GOV.UK/CP"/>
    <m/>
    <m/>
    <m/>
    <m/>
    <n v="-7.7"/>
    <n v="-7.7"/>
    <s v="Travel"/>
    <s v="CardPaymentOut"/>
    <s v="Cleared"/>
    <m/>
    <e v="#REF!"/>
    <x v="0"/>
  </r>
  <r>
    <n v="791"/>
    <s v="SA23.24"/>
    <x v="0"/>
    <d v="2024-04-12T00:00:00"/>
    <d v="2024-04-12T04:14:00"/>
    <s v="COSTCO             ref: 1953177"/>
    <m/>
    <m/>
    <m/>
    <n v="400"/>
    <m/>
    <n v="400"/>
    <s v="Income"/>
    <s v="FasterPaymentIn"/>
    <s v="Cleared"/>
    <m/>
    <e v="#REF!"/>
    <x v="1"/>
  </r>
  <r>
    <n v="792"/>
    <s v="SA23.24"/>
    <x v="0"/>
    <d v="2024-04-12T00:00:00"/>
    <d v="2024-04-12T04:51:00"/>
    <s v="REMTULLA ref: loan repaymemt"/>
    <m/>
    <m/>
    <m/>
    <n v="1050"/>
    <m/>
    <n v="1050"/>
    <s v="Loan interest repayment"/>
    <s v="FasterPaymentIn"/>
    <s v="Cleared"/>
    <m/>
    <e v="#REF!"/>
    <x v="4"/>
  </r>
  <r>
    <n v="793"/>
    <s v="SA23.24"/>
    <x v="0"/>
    <d v="2024-04-12T00:00:00"/>
    <d v="2024-04-12T05:05:00"/>
    <s v="REMTULLA ref: loan repaymemt"/>
    <m/>
    <m/>
    <m/>
    <n v="20"/>
    <m/>
    <n v="20"/>
    <s v="Income"/>
    <s v="FasterPaymentIn"/>
    <s v="Cleared"/>
    <m/>
    <e v="#REF!"/>
    <x v="4"/>
  </r>
  <r>
    <n v="794"/>
    <s v="SA23.24"/>
    <x v="0"/>
    <d v="2024-04-12T00:00:00"/>
    <d v="2024-04-12T09:19:00"/>
    <s v="SAINSBURYS S/MKTS - 116 BUCKINGHAM PALACE ROAD, LONDON  4065"/>
    <m/>
    <m/>
    <m/>
    <m/>
    <n v="-1.1499999999999999"/>
    <n v="-1.1499999999999999"/>
    <m/>
    <s v="CardPaymentOut"/>
    <s v="Cleared"/>
    <m/>
    <e v="#REF!"/>
    <x v="3"/>
  </r>
  <r>
    <n v="795"/>
    <s v="SA23.24"/>
    <x v="0"/>
    <d v="2024-04-12T00:00:00"/>
    <d v="2024-04-12T09:21:00"/>
    <s v="HOLLAND &amp; BARRETT - UNIT15 BUCKINGHAM PALACE ROAD, VICTORIA PLAC"/>
    <m/>
    <m/>
    <m/>
    <m/>
    <n v="-2.85"/>
    <n v="-2.85"/>
    <m/>
    <s v="CardPaymentOut"/>
    <s v="Cleared"/>
    <m/>
    <e v="#REF!"/>
    <x v="3"/>
  </r>
  <r>
    <n v="796"/>
    <s v="SA23.24"/>
    <x v="0"/>
    <d v="2024-04-12T00:00:00"/>
    <d v="2024-04-12T13:30:00"/>
    <s v="BATTERSEA LEON - UNIT B1, G, 04, ELEC, LONDON"/>
    <m/>
    <m/>
    <m/>
    <m/>
    <n v="-9.4700000000000006"/>
    <n v="-9.4700000000000006"/>
    <s v="Meals"/>
    <s v="CardPaymentOut"/>
    <s v="Cleared"/>
    <m/>
    <e v="#REF!"/>
    <x v="3"/>
  </r>
  <r>
    <n v="812"/>
    <s v="SA23.24"/>
    <x v="0"/>
    <d v="2024-04-26T00:00:00"/>
    <d v="2024-04-26T14:51:00"/>
    <s v="RAVEL?S DRY CLEANERS - 118 Dawes Road, London"/>
    <m/>
    <m/>
    <m/>
    <m/>
    <n v="-17.5"/>
    <n v="-17.5"/>
    <s v="Other expenses"/>
    <s v="CardPaymentOut"/>
    <s v="Cleared"/>
    <m/>
    <e v="#REF!"/>
    <x v="8"/>
  </r>
  <r>
    <n v="798"/>
    <s v="SA23.24"/>
    <x v="0"/>
    <d v="2024-04-13T00:00:00"/>
    <d v="2024-04-13T09:06:00"/>
    <s v="COSTA COFFEE 43010414 - UNIT 1, EAST CROYDON STATION, EAST CROYDON"/>
    <m/>
    <m/>
    <m/>
    <m/>
    <n v="-6"/>
    <n v="-6"/>
    <s v="Meals"/>
    <s v="CardPaymentOut"/>
    <s v="Cleared"/>
    <m/>
    <e v="#REF!"/>
    <x v="3"/>
  </r>
  <r>
    <n v="799"/>
    <s v="SA23.24"/>
    <x v="0"/>
    <d v="2024-04-13T00:00:00"/>
    <d v="2024-04-13T16:47:00"/>
    <s v="TFL TRAVEL CH - VICTORIA STREET, TFL.GOV.UK/CP"/>
    <m/>
    <m/>
    <m/>
    <m/>
    <n v="-7.25"/>
    <n v="-7.25"/>
    <s v="Travel"/>
    <s v="CardPaymentOut"/>
    <s v="Cleared"/>
    <m/>
    <e v="#REF!"/>
    <x v="0"/>
  </r>
  <r>
    <n v="800"/>
    <s v="SA23.24"/>
    <x v="0"/>
    <d v="2024-04-13T00:00:00"/>
    <d v="2024-04-13T23:56:00"/>
    <s v="UBR* PENDING.UBER.COM - Aldgate Tower First Floor, LONDON"/>
    <m/>
    <m/>
    <m/>
    <m/>
    <n v="-8.9600000000000009"/>
    <n v="-8.9600000000000009"/>
    <s v="Travel"/>
    <s v="CardPaymentOut"/>
    <s v="Cleared"/>
    <m/>
    <e v="#REF!"/>
    <x v="0"/>
  </r>
  <r>
    <n v="801"/>
    <s v="SA23.24"/>
    <x v="0"/>
    <d v="2024-04-14T00:00:00"/>
    <d v="2024-04-14T01:39:00"/>
    <s v="TFL TRAVEL CH - VICTORIA STREET, TFL.GOV.UK/CP"/>
    <m/>
    <m/>
    <m/>
    <m/>
    <n v="-11.25"/>
    <n v="-11.25"/>
    <s v="Travel"/>
    <s v="CardPaymentOut"/>
    <s v="Cleared"/>
    <m/>
    <e v="#REF!"/>
    <x v="0"/>
  </r>
  <r>
    <n v="802"/>
    <s v="SA23.24"/>
    <x v="0"/>
    <d v="2024-04-15T00:00:00"/>
    <d v="2024-04-15T08:53:00"/>
    <s v="TFL TRAVEL CH - VICTORIA STREET, TFL.GOV.UK/CP"/>
    <m/>
    <m/>
    <m/>
    <m/>
    <n v="-2.7"/>
    <n v="-2.7"/>
    <s v="Travel"/>
    <s v="CardPaymentOut"/>
    <s v="Cleared"/>
    <m/>
    <e v="#REF!"/>
    <x v="0"/>
  </r>
  <r>
    <n v="803"/>
    <s v="SA23.24"/>
    <x v="0"/>
    <d v="2024-04-16T00:00:00"/>
    <d v="2024-04-16T02:02:00"/>
    <s v="COSTCO             ref: 1953377"/>
    <m/>
    <m/>
    <m/>
    <n v="375"/>
    <m/>
    <n v="375"/>
    <s v="Income"/>
    <s v="FasterPaymentIn"/>
    <s v="Cleared"/>
    <m/>
    <e v="#REF!"/>
    <x v="1"/>
  </r>
  <r>
    <n v="804"/>
    <s v="SA23.24"/>
    <x v="0"/>
    <d v="2024-04-17T00:00:00"/>
    <d v="2024-04-17T02:02:00"/>
    <s v="COSTCO             ref: 1953634"/>
    <m/>
    <m/>
    <m/>
    <n v="750"/>
    <m/>
    <n v="750"/>
    <s v="Income"/>
    <s v="FasterPaymentIn"/>
    <s v="Cleared"/>
    <m/>
    <e v="#REF!"/>
    <x v="1"/>
  </r>
  <r>
    <n v="805"/>
    <s v="SA23.24"/>
    <x v="0"/>
    <d v="2024-04-17T00:00:00"/>
    <d v="2024-04-17T15:04:00"/>
    <s v="Charge of 3.20 for Bank Transfers usage from 2024-03-01 to 2024-03-31"/>
    <m/>
    <m/>
    <m/>
    <m/>
    <n v="-3.2"/>
    <n v="-3.2"/>
    <m/>
    <s v="Fee"/>
    <s v="Cleared"/>
    <m/>
    <e v="#REF!"/>
    <x v="7"/>
  </r>
  <r>
    <n v="806"/>
    <s v="SA23.24"/>
    <x v="0"/>
    <d v="2024-04-19T00:00:00"/>
    <d v="2024-04-19T02:03:00"/>
    <s v="VISION EXPRESS UK  ref: RG50570000580124"/>
    <m/>
    <m/>
    <m/>
    <n v="450"/>
    <m/>
    <n v="450"/>
    <s v="Income"/>
    <s v="FasterPaymentIn"/>
    <s v="Cleared"/>
    <m/>
    <e v="#REF!"/>
    <x v="1"/>
  </r>
  <r>
    <n v="807"/>
    <s v="SA23.24"/>
    <x v="0"/>
    <d v="2024-04-19T00:00:00"/>
    <d v="2024-04-19T02:10:00"/>
    <s v="COSTCO             ref: 1954045"/>
    <m/>
    <m/>
    <m/>
    <n v="375"/>
    <m/>
    <n v="375"/>
    <s v="Income"/>
    <s v="FasterPaymentIn"/>
    <s v="Cleared"/>
    <m/>
    <e v="#REF!"/>
    <x v="1"/>
  </r>
  <r>
    <n v="808"/>
    <s v="SA23.24"/>
    <x v="0"/>
    <d v="2024-04-23T00:00:00"/>
    <d v="2024-04-23T02:03:00"/>
    <s v="COSTCO             ref: 1954255"/>
    <m/>
    <m/>
    <m/>
    <n v="375"/>
    <m/>
    <n v="375"/>
    <s v="Income"/>
    <s v="FasterPaymentIn"/>
    <s v="Cleared"/>
    <m/>
    <e v="#REF!"/>
    <x v="1"/>
  </r>
  <r>
    <n v="809"/>
    <s v="SA23.24"/>
    <x v="0"/>
    <d v="2024-04-24T00:00:00"/>
    <d v="2024-04-24T02:05:00"/>
    <s v="COSTCO             ref: 1954528"/>
    <m/>
    <m/>
    <m/>
    <n v="750"/>
    <m/>
    <n v="750"/>
    <s v="Income"/>
    <s v="FasterPaymentIn"/>
    <s v="Cleared"/>
    <m/>
    <e v="#REF!"/>
    <x v="1"/>
  </r>
  <r>
    <n v="810"/>
    <s v="SA23.24"/>
    <x v="0"/>
    <d v="2024-04-25T00:00:00"/>
    <d v="2024-04-25T15:03:00"/>
    <s v="SHAIFA REMTULLA ref: Salary"/>
    <m/>
    <m/>
    <m/>
    <m/>
    <n v="-2700"/>
    <n v="-2700"/>
    <m/>
    <s v="FasterPaymentOut"/>
    <s v="Cleared"/>
    <m/>
    <e v="#REF!"/>
    <x v="4"/>
  </r>
  <r>
    <n v="811"/>
    <s v="SA23.24"/>
    <x v="0"/>
    <d v="2024-04-25T00:00:00"/>
    <d v="2024-04-25T15:12:00"/>
    <s v="REMTULLA ref: loan repaymemt"/>
    <m/>
    <m/>
    <m/>
    <n v="500"/>
    <m/>
    <n v="500"/>
    <s v="Loan interest repayment"/>
    <s v="FasterPaymentIn"/>
    <s v="Cleared"/>
    <m/>
    <e v="#REF!"/>
    <x v="4"/>
  </r>
  <r>
    <n v="816"/>
    <s v="SA23.24"/>
    <x v="0"/>
    <d v="2024-04-28T00:00:00"/>
    <d v="2024-04-28T14:44:00"/>
    <s v="ZARA COVENT GARDEN - 52 AND 53/54 LONG AC, LONDON"/>
    <m/>
    <m/>
    <m/>
    <m/>
    <n v="-8.99"/>
    <n v="-8.99"/>
    <s v="Other expenses"/>
    <s v="CardPaymentOut"/>
    <s v="Cleared"/>
    <m/>
    <e v="#REF!"/>
    <x v="8"/>
  </r>
  <r>
    <n v="859"/>
    <s v="SA23.24"/>
    <x v="0"/>
    <d v="2024-05-13T00:00:00"/>
    <d v="2024-05-13T16:31:16"/>
    <s v="MANGO LONDON OXFORD ST - OXFORD ST UNIT 2-3, LONDON"/>
    <m/>
    <m/>
    <s v="MANGO LONDON OXFORD ST - OXFORD ST UNIT 2-3, LONDON"/>
    <m/>
    <n v="-19.989999999999998"/>
    <n v="-19.989999999999998"/>
    <s v="Other expenses"/>
    <s v="CardPaymentOut"/>
    <s v="Cleared"/>
    <m/>
    <m/>
    <x v="8"/>
  </r>
  <r>
    <n v="814"/>
    <s v="SA23.24"/>
    <x v="0"/>
    <d v="2024-04-27T00:00:00"/>
    <d v="2024-04-27T08:01:00"/>
    <s v="TFL TRAVEL CH - VICTORIA STREET, TFL.GOV.UK/CP"/>
    <m/>
    <m/>
    <m/>
    <m/>
    <n v="-8.4"/>
    <n v="-8.4"/>
    <s v="Travel"/>
    <s v="CardPaymentOut"/>
    <s v="Cleared"/>
    <m/>
    <n v="-8.4"/>
    <x v="0"/>
  </r>
  <r>
    <n v="815"/>
    <s v="SA23.24"/>
    <x v="0"/>
    <d v="2024-04-27T00:00:00"/>
    <d v="2024-04-27T13:07:00"/>
    <s v="MARKS&amp;SPENCER PLC SACA - 5 LIVERPOOL ROAD., ISLINGTON"/>
    <m/>
    <m/>
    <m/>
    <m/>
    <n v="-6.55"/>
    <n v="-6.55"/>
    <m/>
    <s v="CardPaymentOut"/>
    <s v="Cleared"/>
    <m/>
    <n v="-14.95"/>
    <x v="3"/>
  </r>
  <r>
    <n v="883"/>
    <s v="SA23.24"/>
    <x v="0"/>
    <d v="2024-05-25T00:00:00"/>
    <d v="2024-05-25T18:44:02"/>
    <s v="RAVEL?S DRY CLEANERS - 118 Dawes Road, London"/>
    <m/>
    <m/>
    <s v="RAVEL?S DRY CLEANERS - 118 Dawes Road, London"/>
    <m/>
    <n v="-45.5"/>
    <n v="-45.5"/>
    <s v="Other expenses"/>
    <s v="CardPaymentOut"/>
    <s v="Cleared"/>
    <m/>
    <m/>
    <x v="8"/>
  </r>
  <r>
    <n v="817"/>
    <s v="SA23.24"/>
    <x v="0"/>
    <d v="2024-04-29T00:00:00"/>
    <d v="2024-04-29T05:27:00"/>
    <s v="REMTULLA ref: loan repaymemt"/>
    <m/>
    <m/>
    <m/>
    <n v="600"/>
    <m/>
    <n v="600"/>
    <s v="Loan interest repayment"/>
    <s v="FasterPaymentIn"/>
    <s v="Cleared"/>
    <m/>
    <n v="600"/>
    <x v="4"/>
  </r>
  <r>
    <n v="818"/>
    <s v="SA23.24"/>
    <x v="0"/>
    <d v="2024-04-30T00:00:00"/>
    <d v="2024-04-30T08:25:00"/>
    <s v="CAFFE NERO 292 WIMBLED - 6 THE BROADWAY, LONDON"/>
    <m/>
    <m/>
    <m/>
    <m/>
    <n v="-4.55"/>
    <n v="-4.55"/>
    <s v="Meals"/>
    <s v="CardPaymentOut"/>
    <s v="Cleared"/>
    <s v="breakfast coffee"/>
    <n v="595.45000000000005"/>
    <x v="3"/>
  </r>
  <r>
    <n v="819"/>
    <s v="SA23.24"/>
    <x v="0"/>
    <d v="2024-04-30T00:00:00"/>
    <d v="2024-04-30T09:22:00"/>
    <s v="MISP HOLDINGS LIMITED ref: INV-0019"/>
    <m/>
    <m/>
    <m/>
    <n v="325"/>
    <m/>
    <n v="325"/>
    <s v="Income"/>
    <s v="FasterPaymentIn"/>
    <s v="Cleared"/>
    <m/>
    <n v="920.45"/>
    <x v="1"/>
  </r>
  <r>
    <n v="912"/>
    <s v="SA23.24"/>
    <x v="0"/>
    <d v="2024-06-10T00:00:00"/>
    <d v="2024-06-10T18:44:32"/>
    <s v="RAVEL?S DRY CLEANERS - 118 Dawes Road, London"/>
    <m/>
    <m/>
    <s v="RAVEL?S DRY CLEANERS - 118 Dawes Road, London"/>
    <m/>
    <n v="-18.5"/>
    <n v="-18.5"/>
    <s v="Other expenses"/>
    <s v="CardPaymentOut"/>
    <s v="Cleared"/>
    <m/>
    <m/>
    <x v="8"/>
  </r>
  <r>
    <n v="821"/>
    <s v="SA23.24"/>
    <x v="0"/>
    <d v="2024-05-01T00:00:00"/>
    <d v="2024-05-01T02:02:29"/>
    <s v="COSTCO             ref: 1955841"/>
    <n v="1955841"/>
    <s v="COSTCO"/>
    <m/>
    <n v="400"/>
    <m/>
    <n v="400"/>
    <s v="Income"/>
    <s v="FasterPaymentIn"/>
    <s v="Cleared"/>
    <m/>
    <m/>
    <x v="1"/>
  </r>
  <r>
    <n v="822"/>
    <s v="SA23.24"/>
    <x v="0"/>
    <d v="2024-05-01T00:00:00"/>
    <d v="2024-05-01T04:44:59"/>
    <s v="SHAIFA REMTULLA ref: salary"/>
    <s v="salary"/>
    <m/>
    <s v="SHAIFA REMTULLA"/>
    <m/>
    <n v="-250"/>
    <n v="-250"/>
    <s v="Staff costs"/>
    <s v="FasterPaymentOut"/>
    <s v="Cleared"/>
    <m/>
    <m/>
    <x v="4"/>
  </r>
  <r>
    <n v="823"/>
    <s v="SA23.24"/>
    <x v="0"/>
    <d v="2024-05-01T00:00:00"/>
    <d v="2024-05-01T08:23:49"/>
    <s v="MARKS&amp;SPENCER PLC - 113 KENSINGTON HIGH STREET, KENSINGTON"/>
    <m/>
    <m/>
    <s v="MARKS&amp;SPENCER PLC - 113 KENSINGTON HIGH STREET, KENSINGTON"/>
    <m/>
    <n v="-6.65"/>
    <n v="-6.65"/>
    <s v="Meals"/>
    <s v="CardPaymentOut"/>
    <s v="Cleared"/>
    <m/>
    <m/>
    <x v="3"/>
  </r>
  <r>
    <n v="824"/>
    <s v="SA23.24"/>
    <x v="0"/>
    <d v="2024-05-01T00:00:00"/>
    <d v="2024-05-01T09:15:15"/>
    <s v="CAFFE NERO EAST CROYDO - 93 GEORGE ST, EAST, SURREY"/>
    <m/>
    <m/>
    <s v="CAFFE NERO EAST CROYDO - 93 GEORGE ST, EAST, SURREY"/>
    <m/>
    <n v="-4.7"/>
    <n v="-4.7"/>
    <s v="Meals"/>
    <s v="CardPaymentOut"/>
    <s v="Cleared"/>
    <m/>
    <m/>
    <x v="3"/>
  </r>
  <r>
    <n v="825"/>
    <s v="SA23.24"/>
    <x v="0"/>
    <d v="2024-05-01T00:00:00"/>
    <d v="2024-05-01T13:31:23"/>
    <s v="TFL TRAVEL CH - VICTORIA STREET, TFL.GOV.UK/CP"/>
    <m/>
    <m/>
    <s v="TFL TRAVEL CH - VICTORIA STREET, TFL.GOV.UK/CP"/>
    <m/>
    <n v="-4.2"/>
    <n v="-4.2"/>
    <s v="Travel"/>
    <s v="CardPaymentOut"/>
    <s v="Cleared"/>
    <m/>
    <m/>
    <x v="0"/>
  </r>
  <r>
    <n v="826"/>
    <s v="SA23.24"/>
    <x v="0"/>
    <d v="2024-05-02T00:00:00"/>
    <d v="2024-05-02T01:30:06"/>
    <s v="TFL TRAVEL CH - VICTORIA STREET, TFL.GOV.UK/CP"/>
    <m/>
    <m/>
    <s v="TFL TRAVEL CH - VICTORIA STREET, TFL.GOV.UK/CP"/>
    <m/>
    <n v="-13.4"/>
    <n v="-13.4"/>
    <s v="Travel"/>
    <s v="CardPaymentOut"/>
    <s v="Cleared"/>
    <m/>
    <m/>
    <x v="0"/>
  </r>
  <r>
    <n v="827"/>
    <s v="SA23.24"/>
    <x v="0"/>
    <d v="2024-05-02T00:00:00"/>
    <d v="2024-05-02T08:48:21"/>
    <s v="SAINSBURYS S/MKTS - 116 BUCKINGHAM PALACE ROAD, LONDON  4065"/>
    <m/>
    <m/>
    <s v="SAINSBURYS S/MKTS - 116 BUCKINGHAM PALACE ROAD, LONDON  4065"/>
    <m/>
    <n v="-5.9"/>
    <n v="-5.9"/>
    <m/>
    <s v="CardPaymentOut"/>
    <s v="Cleared"/>
    <m/>
    <m/>
    <x v="3"/>
  </r>
  <r>
    <n v="828"/>
    <s v="SA23.24"/>
    <x v="0"/>
    <d v="2024-05-02T00:00:00"/>
    <d v="2024-05-02T22:45:46"/>
    <s v="TXW*London Taxi 54403 - 84 Lister Street, Glasgow"/>
    <m/>
    <m/>
    <s v="TXW*London Taxi 54403 - 84 Lister Street, Glasgow"/>
    <m/>
    <n v="-20.9"/>
    <n v="-20.9"/>
    <s v="Travel"/>
    <s v="CardPaymentOut"/>
    <s v="Cleared"/>
    <m/>
    <m/>
    <x v="0"/>
  </r>
  <r>
    <n v="829"/>
    <s v="SA23.24"/>
    <x v="0"/>
    <d v="2024-05-03T00:00:00"/>
    <d v="2024-05-03T01:30:47"/>
    <s v="TFL TRAVEL CH - VICTORIA STREET, TFL.GOV.UK/CP"/>
    <m/>
    <m/>
    <s v="TFL TRAVEL CH - VICTORIA STREET, TFL.GOV.UK/CP"/>
    <m/>
    <n v="-15.6"/>
    <n v="-15.6"/>
    <s v="Travel"/>
    <s v="CardPaymentOut"/>
    <s v="Cleared"/>
    <m/>
    <m/>
    <x v="0"/>
  </r>
  <r>
    <n v="830"/>
    <s v="SA23.24"/>
    <x v="0"/>
    <d v="2024-05-03T00:00:00"/>
    <d v="2024-05-03T08:15:29"/>
    <s v="SAINSBURYS S/MKTS - FULHAM BROADWAY RETAIL CT, LONDON 2055"/>
    <m/>
    <m/>
    <s v="SAINSBURYS S/MKTS - FULHAM BROADWAY RETAIL CT, LONDON 2055"/>
    <m/>
    <n v="-8.14"/>
    <n v="-8.14"/>
    <m/>
    <s v="CardPaymentOut"/>
    <s v="Cleared"/>
    <m/>
    <m/>
    <x v="3"/>
  </r>
  <r>
    <n v="831"/>
    <s v="SA23.24"/>
    <x v="0"/>
    <d v="2024-05-03T00:00:00"/>
    <d v="2024-05-03T18:27:59"/>
    <s v="UBR* PENDING.UBER.COM - Aldgate Tower First Floor, LONDON"/>
    <m/>
    <m/>
    <s v="UBR* PENDING.UBER.COM - Aldgate Tower First Floor, LONDON"/>
    <m/>
    <n v="-8.98"/>
    <n v="-8.98"/>
    <s v="Travel"/>
    <s v="CardPaymentOut"/>
    <s v="Cleared"/>
    <m/>
    <m/>
    <x v="0"/>
  </r>
  <r>
    <n v="832"/>
    <s v="SA23.24"/>
    <x v="0"/>
    <d v="2024-05-04T00:00:00"/>
    <d v="2024-05-04T08:20:11"/>
    <s v="SAINSBURYS S/MKTS - 20 ST JOHNS HILL, CLAPHAM JUNCT"/>
    <m/>
    <m/>
    <s v="SAINSBURYS S/MKTS - 20 ST JOHNS HILL, CLAPHAM JUNCT"/>
    <m/>
    <n v="-3.15"/>
    <n v="-3.15"/>
    <m/>
    <s v="CardPaymentOut"/>
    <s v="Cleared"/>
    <m/>
    <m/>
    <x v="3"/>
  </r>
  <r>
    <n v="833"/>
    <s v="SA23.24"/>
    <x v="0"/>
    <d v="2024-05-04T00:00:00"/>
    <d v="2024-05-04T09:04:46"/>
    <s v="COSTA COFFEE 43010810 - COLLONADES LEISURE PARK, CROYDON"/>
    <m/>
    <m/>
    <s v="COSTA COFFEE 43010810 - COLLONADES LEISURE PARK, CROYDON"/>
    <m/>
    <n v="-2.9"/>
    <n v="-2.9"/>
    <s v="Meals"/>
    <s v="CardPaymentOut"/>
    <s v="Cleared"/>
    <m/>
    <m/>
    <x v="3"/>
  </r>
  <r>
    <n v="834"/>
    <s v="SA23.24"/>
    <x v="0"/>
    <d v="2024-05-04T00:00:00"/>
    <d v="2024-05-04T13:43:25"/>
    <s v="TFL TRAVEL CH - VICTORIA STREET, TFL.GOV.UK/CP"/>
    <m/>
    <m/>
    <s v="TFL TRAVEL CH - VICTORIA STREET, TFL.GOV.UK/CP"/>
    <m/>
    <n v="-5.55"/>
    <n v="-5.55"/>
    <s v="Travel"/>
    <s v="CardPaymentOut"/>
    <s v="Cleared"/>
    <m/>
    <m/>
    <x v="0"/>
  </r>
  <r>
    <n v="835"/>
    <s v="SA23.24"/>
    <x v="0"/>
    <d v="2024-05-05T00:00:00"/>
    <d v="2024-05-05T01:24:16"/>
    <s v="TFL TRAVEL CH - VICTORIA STREET, TFL.GOV.UK/CP"/>
    <m/>
    <m/>
    <s v="TFL TRAVEL CH - VICTORIA STREET, TFL.GOV.UK/CP"/>
    <m/>
    <n v="-12.25"/>
    <n v="-12.25"/>
    <s v="Travel"/>
    <s v="CardPaymentOut"/>
    <s v="Cleared"/>
    <m/>
    <m/>
    <x v="0"/>
  </r>
  <r>
    <n v="836"/>
    <s v="SA23.24"/>
    <x v="0"/>
    <d v="2024-05-05T00:00:00"/>
    <d v="2024-05-05T05:09:02"/>
    <s v="EE Limited - HATFIELD BUSINESS PK, T-MOBILE CO U"/>
    <m/>
    <m/>
    <s v="EE Limited - HATFIELD BUSINESS PK, T-MOBILE CO U"/>
    <m/>
    <n v="-37.950000000000003"/>
    <n v="-37.950000000000003"/>
    <s v="Phone and internet"/>
    <s v="CardPaymentOut"/>
    <s v="Cleared"/>
    <m/>
    <m/>
    <x v="2"/>
  </r>
  <r>
    <n v="837"/>
    <s v="SA23.24"/>
    <x v="0"/>
    <d v="2024-05-05T00:00:00"/>
    <d v="2024-05-05T09:17:06"/>
    <s v="Joe The Juice UK Ltd - 38 Northcote Road, London"/>
    <m/>
    <m/>
    <s v="Joe The Juice UK Ltd - 38 Northcote Road, London"/>
    <m/>
    <n v="-7.8"/>
    <n v="-7.8"/>
    <s v="Meals"/>
    <s v="CardPaymentOut"/>
    <s v="Cleared"/>
    <s v="lunch"/>
    <m/>
    <x v="3"/>
  </r>
  <r>
    <n v="838"/>
    <s v="SA23.24"/>
    <x v="0"/>
    <d v="2024-05-06T00:00:00"/>
    <d v="2024-05-06T08:51:38"/>
    <s v="SAINSBURYS S/MKTS - 20 ST JOHNS HILL, CLAPHAM JUNCT"/>
    <m/>
    <m/>
    <s v="SAINSBURYS S/MKTS - 20 ST JOHNS HILL, CLAPHAM JUNCT"/>
    <m/>
    <n v="-4.05"/>
    <n v="-4.05"/>
    <m/>
    <s v="CardPaymentOut"/>
    <s v="Cleared"/>
    <m/>
    <m/>
    <x v="3"/>
  </r>
  <r>
    <n v="839"/>
    <s v="SA23.24"/>
    <x v="0"/>
    <d v="2024-05-06T00:00:00"/>
    <d v="2024-05-06T09:04:18"/>
    <s v="TFL TRAVEL CH - VICTORIA STREET, TFL.GOV.UK/CP"/>
    <m/>
    <m/>
    <s v="TFL TRAVEL CH - VICTORIA STREET, TFL.GOV.UK/CP"/>
    <m/>
    <n v="-5.4"/>
    <n v="-5.4"/>
    <s v="Travel"/>
    <s v="CardPaymentOut"/>
    <s v="Cleared"/>
    <m/>
    <m/>
    <x v="0"/>
  </r>
  <r>
    <n v="840"/>
    <s v="SA23.24"/>
    <x v="0"/>
    <d v="2024-05-06T00:00:00"/>
    <d v="2024-05-06T20:02:50"/>
    <s v="SHAIFA REMTULLA ref: Reference - loan"/>
    <s v="Reference - loan"/>
    <m/>
    <s v="SHAIFA REMTULLA"/>
    <m/>
    <n v="-1000"/>
    <n v="-1000"/>
    <m/>
    <s v="FasterPaymentOut"/>
    <s v="Cleared"/>
    <m/>
    <m/>
    <x v="4"/>
  </r>
  <r>
    <n v="841"/>
    <s v="SA23.24"/>
    <x v="0"/>
    <d v="2024-05-06T00:00:00"/>
    <d v="2024-05-06T21:20:20"/>
    <s v="SHAIFA REMTULLA ref: Reference - loan"/>
    <s v="Reference - loan"/>
    <m/>
    <s v="SHAIFA REMTULLA"/>
    <m/>
    <n v="-4000"/>
    <n v="-4000"/>
    <s v="Loan interest repayment"/>
    <s v="FasterPaymentOut"/>
    <s v="Cleared"/>
    <m/>
    <m/>
    <x v="4"/>
  </r>
  <r>
    <n v="842"/>
    <s v="SA23.24"/>
    <x v="0"/>
    <d v="2024-05-07T00:00:00"/>
    <d v="2024-05-07T01:18:44"/>
    <s v="TFL TRAVEL CH - VICTORIA STREET, TFL.GOV.UK/CP"/>
    <m/>
    <m/>
    <s v="TFL TRAVEL CH - VICTORIA STREET, TFL.GOV.UK/CP"/>
    <m/>
    <n v="-10.5"/>
    <n v="-10.5"/>
    <s v="Travel"/>
    <s v="CardPaymentOut"/>
    <s v="Cleared"/>
    <m/>
    <m/>
    <x v="0"/>
  </r>
  <r>
    <n v="843"/>
    <s v="SA23.24"/>
    <x v="0"/>
    <d v="2024-05-07T00:00:00"/>
    <d v="2024-05-07T08:06:16"/>
    <s v="SAINSBURYS S/MKTS - 116 BUCKINGHAM PALACE ROAD, LONDON  4065"/>
    <m/>
    <m/>
    <s v="SAINSBURYS S/MKTS - 116 BUCKINGHAM PALACE ROAD, LONDON  4065"/>
    <m/>
    <n v="-4.9000000000000004"/>
    <n v="-4.9000000000000004"/>
    <m/>
    <s v="CardPaymentOut"/>
    <s v="Cleared"/>
    <m/>
    <m/>
    <x v="3"/>
  </r>
  <r>
    <n v="844"/>
    <s v="SA23.24"/>
    <x v="0"/>
    <d v="2024-05-07T00:00:00"/>
    <d v="2024-05-07T17:09:44"/>
    <s v="UBR* PENDING.UBER.COM - Aldgate Tower First Floor, LONDON"/>
    <m/>
    <m/>
    <s v="UBR* PENDING.UBER.COM - Aldgate Tower First Floor, LONDON"/>
    <m/>
    <n v="-11.95"/>
    <n v="-11.95"/>
    <s v="Travel"/>
    <s v="CardPaymentOut"/>
    <s v="Cleared"/>
    <m/>
    <m/>
    <x v="0"/>
  </r>
  <r>
    <n v="845"/>
    <s v="SA23.24"/>
    <x v="0"/>
    <d v="2024-05-08T00:00:00"/>
    <d v="2024-05-08T05:32:12"/>
    <s v="REMTULLA ref: loan repaymemt"/>
    <s v="loan repaymemt"/>
    <s v="REMTULLA"/>
    <m/>
    <n v="3500"/>
    <m/>
    <n v="3500"/>
    <s v="Loan interest repayment"/>
    <s v="FasterPaymentIn"/>
    <s v="Cleared"/>
    <m/>
    <m/>
    <x v="4"/>
  </r>
  <r>
    <n v="846"/>
    <s v="SA23.24"/>
    <x v="0"/>
    <d v="2024-05-08T00:00:00"/>
    <d v="2024-05-08T08:49:23"/>
    <s v="SAINSBURYS S/MKTS - 20 ST JOHNS HILL, CLAPHAM JUNCT"/>
    <m/>
    <m/>
    <s v="SAINSBURYS S/MKTS - 20 ST JOHNS HILL, CLAPHAM JUNCT"/>
    <m/>
    <n v="-3.95"/>
    <n v="-3.95"/>
    <m/>
    <s v="CardPaymentOut"/>
    <s v="Cleared"/>
    <m/>
    <m/>
    <x v="3"/>
  </r>
  <r>
    <n v="847"/>
    <s v="SA23.24"/>
    <x v="0"/>
    <d v="2024-05-08T00:00:00"/>
    <d v="2024-05-08T08:55:08"/>
    <s v="CAFFE NERO 17 CLAPHAM - UNIT 7B, LONDON"/>
    <m/>
    <m/>
    <s v="CAFFE NERO 17 CLAPHAM - UNIT 7B, LONDON"/>
    <m/>
    <n v="-4.05"/>
    <n v="-4.05"/>
    <s v="Meals"/>
    <s v="CardPaymentOut"/>
    <s v="Cleared"/>
    <s v="lunch"/>
    <m/>
    <x v="3"/>
  </r>
  <r>
    <n v="848"/>
    <s v="SA23.24"/>
    <x v="0"/>
    <d v="2024-05-08T00:00:00"/>
    <d v="2024-05-08T13:29:59"/>
    <s v="TFL TRAVEL CH - VICTORIA STREET, TFL.GOV.UK/CP"/>
    <m/>
    <m/>
    <s v="TFL TRAVEL CH - VICTORIA STREET, TFL.GOV.UK/CP"/>
    <m/>
    <n v="-10"/>
    <n v="-10"/>
    <s v="Travel"/>
    <s v="CardPaymentOut"/>
    <s v="Cleared"/>
    <m/>
    <m/>
    <x v="0"/>
  </r>
  <r>
    <n v="849"/>
    <s v="SA23.24"/>
    <x v="0"/>
    <d v="2024-05-08T00:00:00"/>
    <d v="2024-05-08T19:26:14"/>
    <s v="UBR* PENDING.UBER.COM - Aldgate Tower First Floor, LONDON"/>
    <m/>
    <m/>
    <s v="UBR* PENDING.UBER.COM - Aldgate Tower First Floor, LONDON"/>
    <m/>
    <n v="-16.920000000000002"/>
    <n v="-16.920000000000002"/>
    <s v="Travel"/>
    <s v="CardPaymentOut"/>
    <s v="Cleared"/>
    <m/>
    <m/>
    <x v="0"/>
  </r>
  <r>
    <n v="850"/>
    <s v="SA23.24"/>
    <x v="0"/>
    <d v="2024-05-09T00:00:00"/>
    <d v="2024-05-09T01:28:50"/>
    <s v="TFL TRAVEL CH - VICTORIA STREET, TFL.GOV.UK/CP"/>
    <m/>
    <m/>
    <s v="TFL TRAVEL CH - VICTORIA STREET, TFL.GOV.UK/CP"/>
    <m/>
    <n v="-9.85"/>
    <n v="-9.85"/>
    <s v="Travel"/>
    <s v="CardPaymentOut"/>
    <s v="Cleared"/>
    <m/>
    <m/>
    <x v="0"/>
  </r>
  <r>
    <n v="851"/>
    <s v="SA23.24"/>
    <x v="0"/>
    <d v="2024-05-09T00:00:00"/>
    <d v="2024-05-09T12:50:16"/>
    <s v="REMTULLA ref: loan repaymemt"/>
    <s v="loan repaymemt"/>
    <s v="REMTULLA"/>
    <m/>
    <n v="1300"/>
    <m/>
    <n v="1300"/>
    <s v="Income"/>
    <s v="FasterPaymentIn"/>
    <s v="Cleared"/>
    <m/>
    <m/>
    <x v="4"/>
  </r>
  <r>
    <n v="852"/>
    <s v="SA23.24"/>
    <x v="0"/>
    <d v="2024-05-10T00:00:00"/>
    <d v="2024-05-10T02:05:11"/>
    <s v="VISION EXPRESS UK  ref: RG50570000837124"/>
    <s v="RG50570000837124"/>
    <s v="VISION EXPRESS UK"/>
    <m/>
    <n v="375"/>
    <m/>
    <n v="375"/>
    <s v="Income"/>
    <s v="FasterPaymentIn"/>
    <s v="Cleared"/>
    <m/>
    <m/>
    <x v="1"/>
  </r>
  <r>
    <n v="853"/>
    <s v="SA23.24"/>
    <x v="0"/>
    <d v="2024-05-10T00:00:00"/>
    <d v="2024-05-10T02:05:11"/>
    <s v="ABBEYFIELD VE LIMI ref: RG05570000328524"/>
    <s v="RG05570000328524"/>
    <s v="ABBEYFIELD VE LIMI"/>
    <m/>
    <n v="325"/>
    <m/>
    <n v="325"/>
    <s v="Income"/>
    <s v="FasterPaymentIn"/>
    <s v="Cleared"/>
    <m/>
    <m/>
    <x v="1"/>
  </r>
  <r>
    <n v="854"/>
    <s v="SA23.24"/>
    <x v="0"/>
    <d v="2024-05-10T00:00:00"/>
    <d v="2024-05-10T08:23:44"/>
    <s v="SAINSBURYS SMKT - FULHAM ROAD, FULHAM BDWAY"/>
    <m/>
    <m/>
    <s v="SAINSBURYS SMKT - FULHAM ROAD, FULHAM BDWAY"/>
    <m/>
    <n v="-1.99"/>
    <n v="-1.99"/>
    <m/>
    <s v="CardPaymentOut"/>
    <s v="Cleared"/>
    <m/>
    <m/>
    <x v="3"/>
  </r>
  <r>
    <n v="855"/>
    <s v="SA23.24"/>
    <x v="0"/>
    <d v="2024-05-10T00:00:00"/>
    <d v="2024-05-10T08:46:39"/>
    <s v="Digby's Patisserie - Coffee Shop Wimbledon Station, London"/>
    <m/>
    <m/>
    <s v="Digby's Patisserie - Coffee Shop Wimbledon Station, London"/>
    <m/>
    <n v="-4"/>
    <n v="-4"/>
    <s v="Meals"/>
    <s v="CardPaymentOut"/>
    <s v="Cleared"/>
    <m/>
    <m/>
    <x v="3"/>
  </r>
  <r>
    <n v="856"/>
    <s v="SA23.24"/>
    <x v="0"/>
    <d v="2024-05-10T00:00:00"/>
    <d v="2024-05-10T13:23:44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857"/>
    <s v="SA23.24"/>
    <x v="0"/>
    <d v="2024-05-10T00:00:00"/>
    <d v="2024-05-10T18:41:45"/>
    <s v="UBR* PENDING.UBER.COM - Aldgate Tower First Floor, LONDON"/>
    <m/>
    <m/>
    <s v="UBR* PENDING.UBER.COM - Aldgate Tower First Floor, LONDON"/>
    <m/>
    <n v="-21.95"/>
    <n v="-21.95"/>
    <s v="Travel"/>
    <s v="CardPaymentOut"/>
    <s v="Cleared"/>
    <m/>
    <m/>
    <x v="0"/>
  </r>
  <r>
    <n v="858"/>
    <s v="SA23.24"/>
    <x v="0"/>
    <d v="2024-05-11T00:00:00"/>
    <d v="2024-05-11T13:32:14"/>
    <s v="TFL TRAVEL CH - VICTORIA STREET, TFL.GOV.UK/CP"/>
    <m/>
    <m/>
    <s v="TFL TRAVEL CH - VICTORIA STREET, TFL.GOV.UK/CP"/>
    <m/>
    <n v="-5.4"/>
    <n v="-5.4"/>
    <s v="Travel"/>
    <s v="CardPaymentOut"/>
    <s v="Cleared"/>
    <m/>
    <m/>
    <x v="0"/>
  </r>
  <r>
    <n v="1012"/>
    <s v="SA23.24"/>
    <x v="0"/>
    <d v="2024-08-10T00:00:00"/>
    <d v="2024-08-10T13:22:20"/>
    <s v="H &amp; M - 103 KENSINGTON HIGH STREET, KENSIGNTON"/>
    <m/>
    <m/>
    <s v="H &amp; M - 103 KENSINGTON HIGH STREET, KENSIGNTON"/>
    <m/>
    <n v="-77.56"/>
    <n v="-77.56"/>
    <s v="Other expenses"/>
    <s v="CardPaymentOut"/>
    <s v="Cleared"/>
    <s v="work clothing"/>
    <m/>
    <x v="8"/>
  </r>
  <r>
    <n v="860"/>
    <s v="SA23.24"/>
    <x v="0"/>
    <d v="2024-05-14T00:00:00"/>
    <d v="2024-05-14T01:31:19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861"/>
    <s v="SA23.24"/>
    <x v="0"/>
    <d v="2024-05-14T00:00:00"/>
    <d v="2024-05-14T08:49:07"/>
    <s v="CAFFE NERO 17 CLAPHAM - UNIT 7B, LONDON"/>
    <m/>
    <m/>
    <s v="CAFFE NERO 17 CLAPHAM - UNIT 7B, LONDON"/>
    <m/>
    <n v="-4.05"/>
    <n v="-4.05"/>
    <s v="Meals"/>
    <s v="CardPaymentOut"/>
    <s v="Cleared"/>
    <m/>
    <m/>
    <x v="3"/>
  </r>
  <r>
    <n v="862"/>
    <s v="SA23.24"/>
    <x v="0"/>
    <d v="2024-05-14T00:00:00"/>
    <d v="2024-05-14T18:03:04"/>
    <s v="UBR* PENDING.UBER.COM - Aldgate Tower First Floor, LONDON"/>
    <m/>
    <m/>
    <s v="UBR* PENDING.UBER.COM - Aldgate Tower First Floor, LONDON"/>
    <m/>
    <n v="-8.98"/>
    <n v="-8.98"/>
    <s v="Travel"/>
    <s v="CardPaymentOut"/>
    <s v="Cleared"/>
    <m/>
    <m/>
    <x v="0"/>
  </r>
  <r>
    <n v="863"/>
    <s v="SA23.24"/>
    <x v="0"/>
    <d v="2024-05-15T00:00:00"/>
    <d v="2024-05-15T02:02:52"/>
    <s v="COSTCO             ref: 1957461"/>
    <n v="1957461"/>
    <s v="COSTCO"/>
    <m/>
    <n v="375"/>
    <m/>
    <n v="375"/>
    <s v="Income"/>
    <s v="FasterPaymentIn"/>
    <s v="Cleared"/>
    <m/>
    <m/>
    <x v="1"/>
  </r>
  <r>
    <n v="864"/>
    <s v="SA23.24"/>
    <x v="0"/>
    <d v="2024-05-15T00:00:00"/>
    <d v="2024-05-15T08:47:15"/>
    <s v="BOOTS LONDON - UNIT 7 FULHAM BROADWAY, LONDON"/>
    <m/>
    <m/>
    <s v="BOOTS LONDON - UNIT 7 FULHAM BROADWAY, LONDON"/>
    <m/>
    <n v="-6.95"/>
    <n v="-6.95"/>
    <m/>
    <s v="CardPaymentOut"/>
    <s v="Cleared"/>
    <m/>
    <m/>
    <x v="3"/>
  </r>
  <r>
    <n v="865"/>
    <s v="SA23.24"/>
    <x v="0"/>
    <d v="2024-05-15T00:00:00"/>
    <d v="2024-05-15T12:15:55"/>
    <s v="TFL TRAVEL CH - VICTORIA STREET, TFL.GOV.UK/CP"/>
    <m/>
    <m/>
    <s v="TFL TRAVEL CH - VICTORIA STREET, TFL.GOV.UK/CP"/>
    <m/>
    <n v="-10.199999999999999"/>
    <n v="-10.199999999999999"/>
    <s v="Travel"/>
    <s v="CardPaymentOut"/>
    <s v="Cleared"/>
    <m/>
    <m/>
    <x v="0"/>
  </r>
  <r>
    <n v="866"/>
    <s v="SA23.24"/>
    <x v="0"/>
    <d v="2024-05-16T00:00:00"/>
    <d v="2024-05-16T01:33:06"/>
    <s v="TFL TRAVEL CH - VICTORIA STREET, TFL.GOV.UK/CP"/>
    <m/>
    <m/>
    <s v="TFL TRAVEL CH - VICTORIA STREET, TFL.GOV.UK/CP"/>
    <m/>
    <n v="-5.75"/>
    <n v="-5.75"/>
    <s v="Travel"/>
    <s v="CardPaymentOut"/>
    <s v="Cleared"/>
    <m/>
    <m/>
    <x v="0"/>
  </r>
  <r>
    <n v="867"/>
    <s v="SA23.24"/>
    <x v="0"/>
    <d v="2024-05-16T00:00:00"/>
    <d v="2024-05-16T09:05:30"/>
    <s v="CAFFE NERO 337 VICTORI - VICTORIA CENTRAL, LONDON"/>
    <m/>
    <m/>
    <s v="CAFFE NERO 337 VICTORI - VICTORIA CENTRAL, LONDON"/>
    <m/>
    <n v="-4.0999999999999996"/>
    <n v="-4.0999999999999996"/>
    <s v="Meals"/>
    <s v="CardPaymentOut"/>
    <s v="Cleared"/>
    <m/>
    <m/>
    <x v="3"/>
  </r>
  <r>
    <n v="868"/>
    <s v="SA23.24"/>
    <x v="0"/>
    <d v="2024-05-16T00:00:00"/>
    <d v="2024-05-16T09:21:46"/>
    <s v="SHAIFA REMTULLA ref: Reference - loan"/>
    <s v="Reference - loan"/>
    <m/>
    <s v="SHAIFA REMTULLA"/>
    <m/>
    <n v="-1200"/>
    <n v="-1200"/>
    <s v="Loan interest repayment"/>
    <s v="FasterPaymentOut"/>
    <s v="Cleared"/>
    <m/>
    <m/>
    <x v="4"/>
  </r>
  <r>
    <n v="869"/>
    <s v="SA23.24"/>
    <x v="0"/>
    <d v="2024-05-16T00:00:00"/>
    <d v="2024-05-16T09:37:12"/>
    <s v="UBR* PENDING.UBER.COM - Aldgate Tower First Floor, LONDON"/>
    <m/>
    <m/>
    <s v="UBR* PENDING.UBER.COM - Aldgate Tower First Floor, LONDON"/>
    <m/>
    <n v="-10.97"/>
    <n v="-10.97"/>
    <s v="Travel"/>
    <s v="CardPaymentOut"/>
    <s v="Cleared"/>
    <m/>
    <m/>
    <x v="0"/>
  </r>
  <r>
    <n v="870"/>
    <s v="SA23.24"/>
    <x v="0"/>
    <d v="2024-05-16T00:00:00"/>
    <d v="2024-05-16T17:06:45"/>
    <s v="UBR* PENDING.UBER.COM - Aldgate Tower First Floor, LONDON"/>
    <m/>
    <m/>
    <s v="UBR* PENDING.UBER.COM - Aldgate Tower First Floor, LONDON"/>
    <m/>
    <n v="-11.96"/>
    <n v="-11.96"/>
    <s v="Travel"/>
    <s v="CardPaymentOut"/>
    <s v="Cleared"/>
    <m/>
    <m/>
    <x v="0"/>
  </r>
  <r>
    <n v="871"/>
    <s v="SA23.24"/>
    <x v="0"/>
    <d v="2024-05-17T00:00:00"/>
    <d v="2024-05-17T06:28:29"/>
    <s v="REMTULLA ref: loan repaymemt"/>
    <s v="loan repaymemt"/>
    <s v="REMTULLA"/>
    <m/>
    <n v="1100"/>
    <m/>
    <n v="1100"/>
    <s v="Loan interest repayment"/>
    <s v="FasterPaymentIn"/>
    <s v="Cleared"/>
    <m/>
    <m/>
    <x v="4"/>
  </r>
  <r>
    <n v="872"/>
    <s v="SA23.24"/>
    <x v="0"/>
    <d v="2024-05-17T00:00:00"/>
    <d v="2024-05-17T09:44:02"/>
    <s v="Charge of 4.00 for Bank Transfers usage from 2024-04-01 to 2024-04-30"/>
    <s v="Charge of 4.00 for Bank Transfers usage from 2024-04-01 to 2024-04-30"/>
    <m/>
    <m/>
    <m/>
    <n v="-4"/>
    <n v="-4"/>
    <s v="Bank fees"/>
    <s v="Fee"/>
    <s v="Cleared"/>
    <m/>
    <m/>
    <x v="7"/>
  </r>
  <r>
    <n v="873"/>
    <s v="SA23.24"/>
    <x v="0"/>
    <d v="2024-05-17T00:00:00"/>
    <d v="2024-05-17T14:11:26"/>
    <s v="REMTULLA ref: loan repaymemt"/>
    <s v="loan repaymemt"/>
    <s v="REMTULLA"/>
    <m/>
    <n v="650"/>
    <m/>
    <n v="650"/>
    <s v="Loans"/>
    <s v="FasterPaymentIn"/>
    <s v="Cleared"/>
    <m/>
    <m/>
    <x v="4"/>
  </r>
  <r>
    <n v="874"/>
    <s v="SA23.24"/>
    <x v="0"/>
    <d v="2024-05-17T00:00:00"/>
    <d v="2024-05-17T14:40:27"/>
    <s v="TFL TRAVEL CH - VICTORIA STREET, TFL.GOV.UK/CP"/>
    <m/>
    <m/>
    <s v="TFL TRAVEL CH - VICTORIA STREET, TFL.GOV.UK/CP"/>
    <m/>
    <n v="-12.25"/>
    <n v="-12.25"/>
    <s v="Travel"/>
    <s v="CardPaymentOut"/>
    <s v="Cleared"/>
    <m/>
    <m/>
    <x v="0"/>
  </r>
  <r>
    <n v="875"/>
    <s v="SA23.24"/>
    <x v="0"/>
    <d v="2024-05-20T00:00:00"/>
    <d v="2024-05-20T08:53:22"/>
    <s v="TFL TRAVEL CH - VICTORIA STREET, TFL.GOV.UK/CP"/>
    <m/>
    <m/>
    <s v="TFL TRAVEL CH - VICTORIA STREET, TFL.GOV.UK/CP"/>
    <m/>
    <n v="-1.75"/>
    <n v="-1.75"/>
    <s v="Travel"/>
    <s v="CardPaymentOut"/>
    <s v="Cleared"/>
    <m/>
    <m/>
    <x v="0"/>
  </r>
  <r>
    <n v="876"/>
    <s v="SA23.24"/>
    <x v="0"/>
    <d v="2024-05-20T00:00:00"/>
    <d v="2024-05-20T17:56:21"/>
    <s v="EE LIMITED             HATFIELD"/>
    <m/>
    <m/>
    <s v="EE LIMITED             HATFIELD"/>
    <m/>
    <n v="-6.98"/>
    <n v="-6.98"/>
    <m/>
    <s v="CardPaymentOut"/>
    <s v="Cancelled"/>
    <m/>
    <m/>
    <x v="2"/>
  </r>
  <r>
    <n v="877"/>
    <s v="SA23.24"/>
    <x v="0"/>
    <d v="2024-05-22T00:00:00"/>
    <d v="2024-05-22T16:20:22"/>
    <s v="SHAIFA REMTULLA ref: PHONE DEPOSIT"/>
    <s v="PHONE DEPOSIT"/>
    <m/>
    <s v="SHAIFA REMTULLA"/>
    <m/>
    <n v="-119"/>
    <n v="-119"/>
    <s v="Phone and internet"/>
    <s v="FasterPaymentOut"/>
    <s v="Cleared"/>
    <m/>
    <m/>
    <x v="2"/>
  </r>
  <r>
    <n v="878"/>
    <s v="SA23.24"/>
    <x v="0"/>
    <d v="2024-05-24T00:00:00"/>
    <d v="2024-05-24T02:05:51"/>
    <s v="COSTCO             ref: 1958732"/>
    <n v="1958732"/>
    <s v="COSTCO"/>
    <m/>
    <n v="3375"/>
    <m/>
    <n v="3375"/>
    <s v="Income"/>
    <s v="FasterPaymentIn"/>
    <s v="Cleared"/>
    <m/>
    <m/>
    <x v="1"/>
  </r>
  <r>
    <n v="879"/>
    <s v="SA23.24"/>
    <x v="0"/>
    <d v="2024-05-25T00:00:00"/>
    <d v="2024-05-25T08:07:21"/>
    <s v="TFL TRAVEL CH - VICTORIA STREET, TFL.GOV.UK/CP"/>
    <m/>
    <m/>
    <s v="TFL TRAVEL CH - VICTORIA STREET, TFL.GOV.UK/CP"/>
    <m/>
    <n v="-8.9"/>
    <n v="-8.9"/>
    <s v="Travel"/>
    <s v="CardPaymentOut"/>
    <s v="Cleared"/>
    <m/>
    <m/>
    <x v="0"/>
  </r>
  <r>
    <n v="880"/>
    <s v="SA23.24"/>
    <x v="0"/>
    <d v="2024-05-25T00:00:00"/>
    <d v="2024-05-25T08:19:38"/>
    <s v="CAFFE NERO 17 CLAPHAM - UNIT 7B, LONDON"/>
    <m/>
    <m/>
    <s v="CAFFE NERO 17 CLAPHAM - UNIT 7B, LONDON"/>
    <m/>
    <n v="-4.55"/>
    <n v="-4.55"/>
    <s v="Meals"/>
    <s v="CardPaymentOut"/>
    <s v="Cleared"/>
    <m/>
    <m/>
    <x v="3"/>
  </r>
  <r>
    <n v="881"/>
    <s v="SA23.24"/>
    <x v="0"/>
    <d v="2024-05-25T00:00:00"/>
    <d v="2024-05-25T08:34:30"/>
    <s v="SAINSBURYS S/MKTS - 20 ST JOHNS HILL, CLAPHAM JUNCT"/>
    <m/>
    <m/>
    <s v="SAINSBURYS S/MKTS - 20 ST JOHNS HILL, CLAPHAM JUNCT"/>
    <m/>
    <n v="-5"/>
    <n v="-5"/>
    <m/>
    <s v="CardPaymentOut"/>
    <s v="Cleared"/>
    <m/>
    <m/>
    <x v="3"/>
  </r>
  <r>
    <n v="1041"/>
    <s v="SA23.24"/>
    <x v="0"/>
    <d v="2024-08-27T00:00:00"/>
    <d v="2024-08-27T20:06:25"/>
    <s v="RAVEL'S DRY CLEANERS - 118 Dawes Road, London"/>
    <m/>
    <m/>
    <s v="RAVEL'S DRY CLEANERS - 118 Dawes Road, London"/>
    <m/>
    <n v="-42.5"/>
    <n v="-42.5"/>
    <s v="Other expenses"/>
    <s v="CardPaymentOut"/>
    <s v="Cleared"/>
    <m/>
    <m/>
    <x v="8"/>
  </r>
  <r>
    <n v="1138"/>
    <s v="SA23.24"/>
    <x v="0"/>
    <d v="2024-10-22T00:00:00"/>
    <d v="2024-10-22T18:13:14"/>
    <s v="RAVEL'S DRY CLEANERS - 118 Dawes Road, London"/>
    <m/>
    <m/>
    <s v="RAVEL'S DRY CLEANERS - 118 Dawes Road, London"/>
    <m/>
    <n v="-75"/>
    <n v="-75"/>
    <s v="Other expenses"/>
    <s v="CardPaymentOut"/>
    <s v="Cleared"/>
    <m/>
    <m/>
    <x v="8"/>
  </r>
  <r>
    <n v="884"/>
    <s v="SA23.24"/>
    <x v="0"/>
    <d v="2024-05-26T00:00:00"/>
    <d v="2024-05-26T07:59:05"/>
    <s v="SHAIFA REMTULLA ref: Salary"/>
    <s v="salary"/>
    <m/>
    <s v="SHAIFA REMTULLA"/>
    <m/>
    <n v="-3500"/>
    <n v="-3500"/>
    <m/>
    <s v="FasterPaymentOut"/>
    <s v="Cleared"/>
    <m/>
    <m/>
    <x v="4"/>
  </r>
  <r>
    <n v="885"/>
    <s v="SA23.24"/>
    <x v="0"/>
    <d v="2024-05-27T00:00:00"/>
    <d v="2024-05-27T02:55:46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886"/>
    <s v="SA23.24"/>
    <x v="0"/>
    <d v="2024-05-27T00:00:00"/>
    <d v="2024-05-27T09:02:27"/>
    <s v="CAFFE NERO 17 CLAPHAM - UNIT 7B, LONDON"/>
    <m/>
    <m/>
    <s v="CAFFE NERO 17 CLAPHAM - UNIT 7B, LONDON"/>
    <m/>
    <n v="-4.95"/>
    <n v="-4.95"/>
    <s v="Meals"/>
    <s v="CardPaymentOut"/>
    <s v="Cleared"/>
    <m/>
    <m/>
    <x v="3"/>
  </r>
  <r>
    <n v="887"/>
    <s v="SA23.24"/>
    <x v="0"/>
    <d v="2024-05-28T00:00:00"/>
    <d v="2024-05-28T08:37:04"/>
    <s v="OLE AND STEEN  ECCLEST - 31 ECCLESTON PLACE B, LONDON"/>
    <m/>
    <m/>
    <s v="OLE AND STEEN  ECCLEST - 31 ECCLESTON PLACE B, LONDON"/>
    <m/>
    <n v="-3.85"/>
    <n v="-3.85"/>
    <s v="Meals"/>
    <s v="CardPaymentOut"/>
    <s v="Cleared"/>
    <m/>
    <m/>
    <x v="3"/>
  </r>
  <r>
    <n v="888"/>
    <s v="SA23.24"/>
    <x v="0"/>
    <d v="2024-05-28T00:00:00"/>
    <d v="2024-05-28T13:09:10"/>
    <s v="TFL TRAVEL CH - VICTORIA STREET, TFL.GOV.UK/CP"/>
    <m/>
    <m/>
    <s v="TFL TRAVEL CH - VICTORIA STREET, TFL.GOV.UK/CP"/>
    <m/>
    <n v="-8.9"/>
    <n v="-8.9"/>
    <s v="Travel"/>
    <s v="CardPaymentOut"/>
    <s v="Cleared"/>
    <m/>
    <m/>
    <x v="0"/>
  </r>
  <r>
    <n v="889"/>
    <s v="SA23.24"/>
    <x v="0"/>
    <d v="2024-05-28T00:00:00"/>
    <d v="2024-05-28T17:34:49"/>
    <s v="UBR* PENDING.UBER.COM - Aldgate Tower First Floor, LONDON"/>
    <m/>
    <m/>
    <s v="UBR* PENDING.UBER.COM - Aldgate Tower First Floor, LONDON"/>
    <m/>
    <n v="-11.91"/>
    <n v="-11.91"/>
    <s v="Travel"/>
    <s v="CardPaymentOut"/>
    <s v="Cleared"/>
    <m/>
    <m/>
    <x v="0"/>
  </r>
  <r>
    <n v="890"/>
    <s v="SA23.24"/>
    <x v="0"/>
    <d v="2024-05-29T00:00:00"/>
    <d v="2024-05-29T02:03:11"/>
    <s v="COSTCO             ref: 1959566"/>
    <n v="1959566"/>
    <s v="COSTCO"/>
    <m/>
    <n v="750"/>
    <m/>
    <n v="750"/>
    <s v="Income"/>
    <s v="FasterPaymentIn"/>
    <s v="Cleared"/>
    <m/>
    <m/>
    <x v="1"/>
  </r>
  <r>
    <n v="891"/>
    <s v="SA23.24"/>
    <x v="0"/>
    <d v="2024-05-29T00:00:00"/>
    <d v="2024-05-29T03:13:40"/>
    <s v="TFL TRAVEL CH - VICTORIA STREET, TFL.GOV.UK/CP"/>
    <m/>
    <m/>
    <s v="TFL TRAVEL CH - VICTORIA STREET, TFL.GOV.UK/CP"/>
    <m/>
    <n v="-14.6"/>
    <n v="-14.6"/>
    <s v="Travel"/>
    <s v="CardPaymentOut"/>
    <s v="Cleared"/>
    <m/>
    <m/>
    <x v="0"/>
  </r>
  <r>
    <n v="892"/>
    <s v="SA23.24"/>
    <x v="0"/>
    <d v="2024-05-30T00:00:00"/>
    <d v="2024-05-30T13:27:16"/>
    <s v="TFL TRAVEL CH - VICTORIA STREET, TFL.GOV.UK/CP"/>
    <m/>
    <m/>
    <s v="TFL TRAVEL CH - VICTORIA STREET, TFL.GOV.UK/CP"/>
    <m/>
    <n v="-8.5500000000000007"/>
    <n v="-8.5500000000000007"/>
    <s v="Travel"/>
    <s v="CardPaymentOut"/>
    <s v="Cleared"/>
    <m/>
    <m/>
    <x v="0"/>
  </r>
  <r>
    <n v="1246"/>
    <s v="SA23.24"/>
    <x v="0"/>
    <d v="2024-12-21T00:00:00"/>
    <d v="2024-12-21T05:29:17"/>
    <s v="Microsoft*Microsoft 36 msbill.info"/>
    <m/>
    <m/>
    <s v="Microsoft*Microsoft 36 msbill.info"/>
    <m/>
    <n v="-59.99"/>
    <n v="-59.99"/>
    <m/>
    <s v="CardPaymentOut"/>
    <s v="Cancelled"/>
    <m/>
    <m/>
    <x v="9"/>
  </r>
  <r>
    <n v="894"/>
    <s v="SA23.24"/>
    <x v="0"/>
    <d v="2024-06-03T00:00:00"/>
    <d v="2024-06-03T06:46:25"/>
    <s v="SHAIFA REMTULLA ref: Salary"/>
    <s v="salary"/>
    <m/>
    <s v="SHAIFA REMTULLA"/>
    <m/>
    <n v="-300"/>
    <n v="-300"/>
    <m/>
    <s v="FasterPaymentOut"/>
    <s v="Cleared"/>
    <m/>
    <m/>
    <x v="4"/>
  </r>
  <r>
    <n v="895"/>
    <s v="SA23.24"/>
    <x v="0"/>
    <d v="2024-06-03T00:00:00"/>
    <d v="2024-06-03T10:05:37"/>
    <s v="TFL TRAVEL CH - VICTORIA STREET, TFL.GOV.UK/CP"/>
    <m/>
    <m/>
    <s v="TFL TRAVEL CH - VICTORIA STREET, TFL.GOV.UK/CP"/>
    <m/>
    <n v="-3.85"/>
    <n v="-3.85"/>
    <s v="Travel"/>
    <s v="CardPaymentOut"/>
    <s v="Cleared"/>
    <m/>
    <m/>
    <x v="0"/>
  </r>
  <r>
    <n v="896"/>
    <s v="SA23.24"/>
    <x v="0"/>
    <d v="2024-06-03T00:00:00"/>
    <d v="2024-06-03T18:30:32"/>
    <s v="SHAIFA REMTULLA ref: Salary"/>
    <s v="salary"/>
    <m/>
    <s v="SHAIFA REMTULLA"/>
    <m/>
    <n v="-1000"/>
    <n v="-1000"/>
    <m/>
    <s v="FasterPaymentOut"/>
    <s v="Cleared"/>
    <m/>
    <m/>
    <x v="4"/>
  </r>
  <r>
    <n v="897"/>
    <s v="SA23.24"/>
    <x v="0"/>
    <d v="2024-06-04T00:00:00"/>
    <d v="2024-06-04T02:03:02"/>
    <s v="COSTCO             ref: 1960175"/>
    <n v="1960175"/>
    <s v="COSTCO"/>
    <m/>
    <n v="725"/>
    <m/>
    <n v="725"/>
    <s v="Income"/>
    <s v="FasterPaymentIn"/>
    <s v="Cleared"/>
    <m/>
    <m/>
    <x v="1"/>
  </r>
  <r>
    <n v="898"/>
    <s v="SA23.24"/>
    <x v="0"/>
    <d v="2024-06-04T00:00:00"/>
    <d v="2024-06-04T03:05:11"/>
    <s v="TFL TRAVEL CH - VICTORIA STREET, TFL.GOV.UK/CP"/>
    <m/>
    <m/>
    <s v="TFL TRAVEL CH - VICTORIA STREET, TFL.GOV.UK/CP"/>
    <m/>
    <n v="-4.45"/>
    <n v="-4.45"/>
    <s v="Travel"/>
    <s v="CardPaymentOut"/>
    <s v="Cleared"/>
    <m/>
    <m/>
    <x v="0"/>
  </r>
  <r>
    <n v="899"/>
    <s v="SA23.24"/>
    <x v="0"/>
    <d v="2024-06-05T00:00:00"/>
    <d v="2024-06-05T03:01:47"/>
    <s v="COSTCO             ref: 1960373"/>
    <n v="1960373"/>
    <s v="COSTCO"/>
    <m/>
    <n v="375"/>
    <m/>
    <n v="375"/>
    <s v="Income"/>
    <s v="FasterPaymentIn"/>
    <s v="Cleared"/>
    <m/>
    <m/>
    <x v="1"/>
  </r>
  <r>
    <n v="900"/>
    <s v="SA23.24"/>
    <x v="0"/>
    <d v="2024-06-05T00:00:00"/>
    <d v="2024-06-05T14:00:32"/>
    <s v="TFL TRAVEL CH - VICTORIA STREET, TFL.GOV.UK/CP"/>
    <m/>
    <m/>
    <s v="TFL TRAVEL CH - VICTORIA STREET, TFL.GOV.UK/CP"/>
    <m/>
    <n v="-3.5"/>
    <n v="-3.5"/>
    <s v="Travel"/>
    <s v="CardPaymentOut"/>
    <s v="Cleared"/>
    <m/>
    <m/>
    <x v="0"/>
  </r>
  <r>
    <n v="901"/>
    <s v="SA23.24"/>
    <x v="0"/>
    <d v="2024-06-06T00:00:00"/>
    <d v="2024-06-06T20:10:24"/>
    <s v="TRAINLINE - TRAINLINE, LONDON"/>
    <m/>
    <m/>
    <s v="TRAINLINE - TRAINLINE, LONDON"/>
    <m/>
    <n v="-146.19"/>
    <n v="-146.19"/>
    <s v="Travel"/>
    <s v="CardPaymentOut"/>
    <s v="Cleared"/>
    <m/>
    <m/>
    <x v="0"/>
  </r>
  <r>
    <n v="902"/>
    <s v="SA23.24"/>
    <x v="0"/>
    <d v="2024-06-07T00:00:00"/>
    <d v="2024-06-07T03:02:59"/>
    <s v="COSTCO             ref: 1960768"/>
    <n v="1960768"/>
    <s v="COSTCO"/>
    <m/>
    <n v="775"/>
    <m/>
    <n v="775"/>
    <s v="Income"/>
    <s v="FasterPaymentIn"/>
    <s v="Cleared"/>
    <m/>
    <m/>
    <x v="1"/>
  </r>
  <r>
    <n v="903"/>
    <s v="SA23.24"/>
    <x v="0"/>
    <d v="2024-06-07T00:00:00"/>
    <d v="2024-06-07T08:01:00"/>
    <s v="POST OFFICE COUNTER - 105-107 DAWES ROAD, LONDON"/>
    <m/>
    <m/>
    <s v="POST OFFICE COUNTER - 105-107 DAWES ROAD, LONDON"/>
    <m/>
    <n v="-4.59"/>
    <n v="-4.59"/>
    <s v="Shipping and postage"/>
    <s v="CardPaymentOut"/>
    <s v="Cleared"/>
    <m/>
    <m/>
    <x v="10"/>
  </r>
  <r>
    <n v="904"/>
    <s v="SA23.24"/>
    <x v="0"/>
    <d v="2024-06-07T00:00:00"/>
    <d v="2024-06-07T08:32:22"/>
    <s v="CAFFE NERO 17 CLAPHAM - UNIT 7B, LONDON"/>
    <m/>
    <m/>
    <s v="CAFFE NERO 17 CLAPHAM - UNIT 7B, LONDON"/>
    <m/>
    <n v="-4.0999999999999996"/>
    <n v="-4.0999999999999996"/>
    <s v="Meals"/>
    <s v="CardPaymentOut"/>
    <s v="Cleared"/>
    <m/>
    <m/>
    <x v="3"/>
  </r>
  <r>
    <n v="905"/>
    <s v="SA23.24"/>
    <x v="0"/>
    <d v="2024-06-08T00:00:00"/>
    <d v="2024-06-08T03:27:01"/>
    <s v="TFL TRAVEL CH - VICTORIA STREET, TFL.GOV.UK/CP"/>
    <m/>
    <m/>
    <s v="TFL TRAVEL CH - VICTORIA STREET, TFL.GOV.UK/CP"/>
    <m/>
    <n v="-11.95"/>
    <n v="-11.95"/>
    <s v="Travel"/>
    <s v="CardPaymentOut"/>
    <s v="Cleared"/>
    <m/>
    <m/>
    <x v="0"/>
  </r>
  <r>
    <n v="906"/>
    <s v="SA23.24"/>
    <x v="0"/>
    <d v="2024-06-08T00:00:00"/>
    <d v="2024-06-08T08:49:38"/>
    <s v="CAFFE NERO 292 WIMBLED - 6 THE BROADWAY, LONDON"/>
    <m/>
    <m/>
    <s v="CAFFE NERO 292 WIMBLED - 6 THE BROADWAY, LONDON"/>
    <m/>
    <n v="-4.0999999999999996"/>
    <n v="-4.0999999999999996"/>
    <s v="Meals"/>
    <s v="CardPaymentOut"/>
    <s v="Cleared"/>
    <m/>
    <m/>
    <x v="3"/>
  </r>
  <r>
    <n v="907"/>
    <s v="SA23.24"/>
    <x v="0"/>
    <d v="2024-06-08T00:00:00"/>
    <d v="2024-06-08T12:47:45"/>
    <s v="RYMAN 1128 - UNIT 2, 19 THE BROADWAY, LONDON"/>
    <m/>
    <m/>
    <s v="RYMAN 1128 - UNIT 2, 19 THE BROADWAY, LONDON"/>
    <m/>
    <n v="-3.2"/>
    <n v="-3.2"/>
    <s v="Office supplies"/>
    <s v="CardPaymentOut"/>
    <s v="Cleared"/>
    <m/>
    <m/>
    <x v="11"/>
  </r>
  <r>
    <n v="908"/>
    <s v="SA23.24"/>
    <x v="0"/>
    <d v="2024-06-08T00:00:00"/>
    <d v="2024-06-08T13:03:23"/>
    <s v="W M MORRISON STORE - THE BROADWAY, LONDON  411"/>
    <m/>
    <m/>
    <s v="W M MORRISON STORE - THE BROADWAY, LONDON  411"/>
    <m/>
    <n v="-2"/>
    <n v="-2"/>
    <s v="Meals"/>
    <s v="CardPaymentOut"/>
    <s v="Cleared"/>
    <s v="lunch"/>
    <m/>
    <x v="3"/>
  </r>
  <r>
    <n v="909"/>
    <s v="SA23.24"/>
    <x v="0"/>
    <d v="2024-06-09T00:00:00"/>
    <d v="2024-06-09T12:49:59"/>
    <s v="TFL TRAVEL CH - VICTORIA STREET, TFL.GOV.UK/CP"/>
    <m/>
    <m/>
    <s v="TFL TRAVEL CH - VICTORIA STREET, TFL.GOV.UK/CP"/>
    <m/>
    <n v="-3.8"/>
    <n v="-3.8"/>
    <s v="Travel"/>
    <s v="CardPaymentOut"/>
    <s v="Cleared"/>
    <m/>
    <m/>
    <x v="0"/>
  </r>
  <r>
    <n v="910"/>
    <s v="SA23.24"/>
    <x v="0"/>
    <d v="2024-06-10T00:00:00"/>
    <d v="2024-06-10T10:16:32"/>
    <s v="TFL TRAVEL CH - VICTORIA STREET, TFL.GOV.UK/CP"/>
    <m/>
    <m/>
    <s v="TFL TRAVEL CH - VICTORIA STREET, TFL.GOV.UK/CP"/>
    <m/>
    <n v="-10"/>
    <n v="-10"/>
    <s v="Travel"/>
    <s v="CardPaymentOut"/>
    <s v="Cleared"/>
    <m/>
    <m/>
    <x v="0"/>
  </r>
  <r>
    <n v="911"/>
    <s v="SA23.24"/>
    <x v="0"/>
    <d v="2024-06-10T00:00:00"/>
    <d v="2024-06-10T14:42:11"/>
    <s v="MARKS&amp;SPENCER PLC SACA - STORE B, WHITE CITY"/>
    <m/>
    <m/>
    <s v="MARKS&amp;SPENCER PLC SACA - STORE B, WHITE CITY"/>
    <m/>
    <n v="-6"/>
    <n v="-6"/>
    <m/>
    <s v="CardPaymentOut"/>
    <s v="Cleared"/>
    <m/>
    <m/>
    <x v="3"/>
  </r>
  <r>
    <n v="1264"/>
    <s v="SA23.24"/>
    <x v="0"/>
    <d v="2025-01-06T00:00:00"/>
    <d v="2025-01-06T08:18:37"/>
    <s v="BOOTS THE CHEMISTS - UNIT 14, CANARY WHARF"/>
    <m/>
    <m/>
    <s v="BOOTS THE CHEMISTS - UNIT 14, CANARY WHARF"/>
    <m/>
    <n v="-2.65"/>
    <n v="-2.65"/>
    <s v="Other expenses"/>
    <s v="CardPaymentOut"/>
    <s v="Cleared"/>
    <m/>
    <m/>
    <x v="12"/>
  </r>
  <r>
    <n v="913"/>
    <s v="SA23.24"/>
    <x v="0"/>
    <d v="2024-06-11T00:00:00"/>
    <d v="2024-06-11T03:13:18"/>
    <s v="TFL TRAVEL CH - VICTORIA STREET, TFL.GOV.UK/CP"/>
    <m/>
    <m/>
    <s v="TFL TRAVEL CH - VICTORIA STREET, TFL.GOV.UK/CP"/>
    <m/>
    <n v="-3.5"/>
    <n v="-3.5"/>
    <s v="Travel"/>
    <s v="CardPaymentOut"/>
    <s v="Cleared"/>
    <m/>
    <m/>
    <x v="0"/>
  </r>
  <r>
    <n v="914"/>
    <s v="SA23.24"/>
    <x v="0"/>
    <d v="2024-06-12T00:00:00"/>
    <d v="2024-06-12T03:06:43"/>
    <s v="COSTCO             ref: 1961233"/>
    <n v="1961233"/>
    <s v="COSTCO"/>
    <m/>
    <n v="375"/>
    <m/>
    <n v="375"/>
    <s v="Income"/>
    <s v="FasterPaymentIn"/>
    <s v="Cleared"/>
    <m/>
    <m/>
    <x v="1"/>
  </r>
  <r>
    <n v="915"/>
    <s v="SA23.24"/>
    <x v="0"/>
    <d v="2024-06-12T00:00:00"/>
    <d v="2024-06-12T13:36:02"/>
    <s v="TFL TRAVEL CH - VICTORIA STREET, TFL.GOV.UK/CP"/>
    <m/>
    <m/>
    <s v="TFL TRAVEL CH - VICTORIA STREET, TFL.GOV.UK/CP"/>
    <m/>
    <n v="-7.35"/>
    <n v="-7.35"/>
    <s v="Travel"/>
    <s v="CardPaymentOut"/>
    <s v="Cleared"/>
    <m/>
    <m/>
    <x v="0"/>
  </r>
  <r>
    <n v="916"/>
    <s v="SA23.24"/>
    <x v="0"/>
    <d v="2024-06-12T00:00:00"/>
    <d v="2024-06-12T13:49:53"/>
    <s v="SHAIFA REMTULLA ref: Salary Early"/>
    <s v="Salary Early"/>
    <m/>
    <s v="SHAIFA REMTULLA"/>
    <m/>
    <n v="-3000"/>
    <n v="-3000"/>
    <m/>
    <s v="FasterPaymentOut"/>
    <s v="Cleared"/>
    <m/>
    <m/>
    <x v="4"/>
  </r>
  <r>
    <n v="917"/>
    <s v="SA23.24"/>
    <x v="0"/>
    <d v="2024-06-14T00:00:00"/>
    <d v="2024-06-14T13:42:02"/>
    <s v="RYMAN 1203 - UNIT 1330 CABOT PLACE, CANARY WHARF"/>
    <m/>
    <m/>
    <s v="RYMAN 1203 - UNIT 1330 CABOT PLACE, CANARY WHARF"/>
    <m/>
    <n v="-2.85"/>
    <n v="-2.85"/>
    <s v="Office supplies"/>
    <s v="CardPaymentOut"/>
    <s v="Cleared"/>
    <m/>
    <m/>
    <x v="11"/>
  </r>
  <r>
    <n v="918"/>
    <s v="SA23.24"/>
    <x v="0"/>
    <d v="2024-06-15T00:00:00"/>
    <d v="2024-06-15T09:21:18"/>
    <s v="CAFFE NERO HOUNSLOW - 231 HIGH ST, HOUNSLOW"/>
    <m/>
    <m/>
    <s v="CAFFE NERO HOUNSLOW - 231 HIGH ST, HOUNSLOW"/>
    <m/>
    <n v="-3.95"/>
    <n v="-3.95"/>
    <s v="Meals"/>
    <s v="CardPaymentOut"/>
    <s v="Cleared"/>
    <m/>
    <m/>
    <x v="3"/>
  </r>
  <r>
    <n v="919"/>
    <s v="SA23.24"/>
    <x v="0"/>
    <d v="2024-06-15T00:00:00"/>
    <d v="2024-06-15T13:06:06"/>
    <s v="HOLLAND &amp; BARRETT - HIGH STREET, HOUNSLOW"/>
    <m/>
    <m/>
    <s v="HOLLAND &amp; BARRETT - HIGH STREET, HOUNSLOW"/>
    <m/>
    <n v="-5.36"/>
    <n v="-5.36"/>
    <m/>
    <s v="CardPaymentOut"/>
    <s v="Cleared"/>
    <m/>
    <m/>
    <x v="3"/>
  </r>
  <r>
    <n v="920"/>
    <s v="SA23.24"/>
    <x v="0"/>
    <d v="2024-06-16T00:00:00"/>
    <d v="2024-06-16T03:05:10"/>
    <s v="TFL TRAVEL CH - VICTORIA STREET, TFL.GOV.UK/CP"/>
    <m/>
    <m/>
    <s v="TFL TRAVEL CH - VICTORIA STREET, TFL.GOV.UK/CP"/>
    <m/>
    <n v="-12.3"/>
    <n v="-12.3"/>
    <s v="Travel"/>
    <s v="CardPaymentOut"/>
    <s v="Cleared"/>
    <m/>
    <m/>
    <x v="0"/>
  </r>
  <r>
    <n v="921"/>
    <s v="SA23.24"/>
    <x v="0"/>
    <d v="2024-06-16T00:00:00"/>
    <d v="2024-06-16T09:56:23"/>
    <s v="OLE AND STEEN  ECCLEST - 31 ECCLESTON PLACE B, LONDON"/>
    <m/>
    <m/>
    <s v="OLE AND STEEN  ECCLEST - 31 ECCLESTON PLACE B, LONDON"/>
    <m/>
    <n v="-9.3000000000000007"/>
    <n v="-9.3000000000000007"/>
    <s v="Meals"/>
    <s v="CardPaymentOut"/>
    <s v="Cleared"/>
    <m/>
    <m/>
    <x v="3"/>
  </r>
  <r>
    <n v="922"/>
    <s v="SA23.24"/>
    <x v="0"/>
    <d v="2024-06-17T00:00:00"/>
    <d v="2024-06-17T08:29:34"/>
    <s v="TFL TRAVEL CH - VICTORIA STREET, TFL.GOV.UK/CP"/>
    <m/>
    <m/>
    <s v="TFL TRAVEL CH - VICTORIA STREET, TFL.GOV.UK/CP"/>
    <m/>
    <n v="-14.6"/>
    <n v="-14.6"/>
    <s v="Travel"/>
    <s v="CardPaymentOut"/>
    <s v="Cleared"/>
    <m/>
    <m/>
    <x v="0"/>
  </r>
  <r>
    <n v="923"/>
    <s v="SA23.24"/>
    <x v="0"/>
    <d v="2024-06-17T00:00:00"/>
    <d v="2024-06-17T09:05:05"/>
    <s v="M&amp;S SIMPLY FOOD-SSP - SU15 WESTERN CONCOURSE., LONDON BRIDGE"/>
    <m/>
    <m/>
    <s v="M&amp;S SIMPLY FOOD-SSP - SU15 WESTERN CONCOURSE., LONDON BRIDGE"/>
    <m/>
    <n v="-5.75"/>
    <n v="-5.75"/>
    <m/>
    <s v="CardPaymentOut"/>
    <s v="Cleared"/>
    <m/>
    <m/>
    <x v="3"/>
  </r>
  <r>
    <n v="924"/>
    <s v="SA23.24"/>
    <x v="0"/>
    <d v="2024-06-17T00:00:00"/>
    <d v="2024-06-17T09:56:51"/>
    <s v="COSTA COFFEE 43010810 - COLLONADES LEISURE PARK, CROYDON"/>
    <m/>
    <m/>
    <s v="COSTA COFFEE 43010810 - COLLONADES LEISURE PARK, CROYDON"/>
    <m/>
    <n v="-4.5999999999999996"/>
    <n v="-4.5999999999999996"/>
    <s v="Meals"/>
    <s v="CardPaymentOut"/>
    <s v="Cleared"/>
    <m/>
    <m/>
    <x v="3"/>
  </r>
  <r>
    <n v="925"/>
    <s v="SA23.24"/>
    <x v="0"/>
    <d v="2024-06-18T00:00:00"/>
    <d v="2024-06-18T03:19:37"/>
    <s v="TFL TRAVEL CH - VICTORIA STREET, TFL.GOV.UK/CP"/>
    <m/>
    <m/>
    <s v="TFL TRAVEL CH - VICTORIA STREET, TFL.GOV.UK/CP"/>
    <m/>
    <n v="-13.4"/>
    <n v="-13.4"/>
    <s v="Travel"/>
    <s v="CardPaymentOut"/>
    <s v="Cleared"/>
    <m/>
    <m/>
    <x v="0"/>
  </r>
  <r>
    <n v="926"/>
    <s v="SA23.24"/>
    <x v="0"/>
    <d v="2024-06-18T00:00:00"/>
    <d v="2024-06-18T10:33:49"/>
    <s v="TRAINLINE - TRAINLINE, LONDON"/>
    <m/>
    <m/>
    <s v="TRAINLINE - TRAINLINE, LONDON"/>
    <m/>
    <n v="-143.4"/>
    <n v="-143.4"/>
    <s v="Travel"/>
    <s v="CardPaymentOut"/>
    <s v="Cleared"/>
    <m/>
    <m/>
    <x v="0"/>
  </r>
  <r>
    <n v="927"/>
    <s v="SA23.24"/>
    <x v="0"/>
    <d v="2024-06-18T00:00:00"/>
    <d v="2024-06-18T11:37:01"/>
    <s v="CAFFE NERO 87 PADDINGT - UNIT 38, LONDON"/>
    <m/>
    <m/>
    <s v="CAFFE NERO 87 PADDINGT - UNIT 38, LONDON"/>
    <m/>
    <n v="-4.0999999999999996"/>
    <n v="-4.0999999999999996"/>
    <s v="Meals"/>
    <s v="CardPaymentOut"/>
    <s v="Cleared"/>
    <m/>
    <m/>
    <x v="3"/>
  </r>
  <r>
    <n v="928"/>
    <s v="SA23.24"/>
    <x v="0"/>
    <d v="2024-06-18T00:00:00"/>
    <d v="2024-06-18T15:55:01"/>
    <s v="Charge of 2.80 for Bank Transfers usage from 2024-05-01 to 2024-05-31"/>
    <s v="Charge of 2.80 for Bank Transfers usage from 2024-05-01 to 2024-05-31"/>
    <m/>
    <m/>
    <m/>
    <n v="-2.8"/>
    <n v="-2.8"/>
    <s v="Bank fees"/>
    <s v="Fee"/>
    <s v="Cleared"/>
    <m/>
    <m/>
    <x v="7"/>
  </r>
  <r>
    <n v="700"/>
    <s v="SA23.24"/>
    <x v="0"/>
    <d v="2024-03-12T00:00:00"/>
    <d v="2024-03-12T08:04:00"/>
    <s v="BOOTS LONDON - UNIT 7 FULHAM BROADWAY, LONDON"/>
    <m/>
    <m/>
    <m/>
    <m/>
    <n v="-18.3"/>
    <n v="-18.3"/>
    <m/>
    <s v="CardPaymentOut"/>
    <s v="Cleared"/>
    <m/>
    <n v="-18.3"/>
    <x v="13"/>
  </r>
  <r>
    <n v="930"/>
    <s v="SA23.24"/>
    <x v="0"/>
    <d v="2024-06-18T00:00:00"/>
    <d v="2024-06-18T19:33:34"/>
    <s v="CO OP GROUP FOOD - Cliff Road, FALMOUTH"/>
    <m/>
    <m/>
    <s v="CO OP GROUP FOOD - Cliff Road, FALMOUTH"/>
    <m/>
    <n v="-14.85"/>
    <n v="-14.85"/>
    <m/>
    <s v="CardPaymentOut"/>
    <s v="Cleared"/>
    <m/>
    <m/>
    <x v="3"/>
  </r>
  <r>
    <n v="931"/>
    <s v="SA23.24"/>
    <x v="0"/>
    <d v="2024-06-19T00:00:00"/>
    <d v="2024-06-19T13:24:45"/>
    <s v="HOLLAND &amp; BARRETT - 48 MARKET STREET, FALMOUTH"/>
    <m/>
    <m/>
    <s v="HOLLAND &amp; BARRETT - 48 MARKET STREET, FALMOUTH"/>
    <m/>
    <n v="-2.85"/>
    <n v="-2.85"/>
    <m/>
    <s v="CardPaymentOut"/>
    <s v="Cleared"/>
    <m/>
    <m/>
    <x v="3"/>
  </r>
  <r>
    <n v="932"/>
    <s v="SA23.24"/>
    <x v="0"/>
    <d v="2024-06-19T00:00:00"/>
    <d v="2024-06-19T13:34:52"/>
    <s v="TESCO STORES 2522 - KILLIGREW STREET, FALMOUTH"/>
    <m/>
    <m/>
    <s v="TESCO STORES 2522 - KILLIGREW STREET, FALMOUTH"/>
    <m/>
    <n v="-2.5"/>
    <n v="-2.5"/>
    <m/>
    <s v="CardPaymentOut"/>
    <s v="Cleared"/>
    <m/>
    <m/>
    <x v="3"/>
  </r>
  <r>
    <n v="933"/>
    <s v="SA23.24"/>
    <x v="0"/>
    <d v="2024-06-19T00:00:00"/>
    <d v="2024-06-19T13:40:02"/>
    <s v="SQ *OLFACTORY COFFEE - - 4 The Moor, Falmouth"/>
    <m/>
    <m/>
    <s v="SQ *OLFACTORY COFFEE - - 4 The Moor, Falmouth"/>
    <m/>
    <n v="-3.6"/>
    <n v="-3.6"/>
    <s v="Meals"/>
    <s v="CardPaymentOut"/>
    <s v="Cleared"/>
    <m/>
    <m/>
    <x v="3"/>
  </r>
  <r>
    <n v="934"/>
    <s v="SA23.24"/>
    <x v="0"/>
    <d v="2024-06-19T00:00:00"/>
    <d v="2024-06-19T13:41:26"/>
    <s v="TFL TRAVEL CH - VICTORIA STREET, TFL.GOV.UK/CP"/>
    <m/>
    <m/>
    <s v="TFL TRAVEL CH - VICTORIA STREET, TFL.GOV.UK/CP"/>
    <m/>
    <n v="-6.2"/>
    <n v="-6.2"/>
    <s v="Travel"/>
    <s v="CardPaymentOut"/>
    <s v="Cleared"/>
    <m/>
    <m/>
    <x v="0"/>
  </r>
  <r>
    <n v="929"/>
    <s v="SA23.24"/>
    <x v="0"/>
    <d v="2024-06-18T00:00:00"/>
    <d v="2024-06-18T18:47:24"/>
    <s v="HOOKED ON THE ROCKS LI - Hooked on the Rocks Swanpool Ro, Falmouth"/>
    <m/>
    <m/>
    <s v="HOOKED ON THE ROCKS LI - Hooked on the Rocks Swanpool Ro, Falmouth"/>
    <m/>
    <n v="-63.55"/>
    <n v="-63.55"/>
    <s v="Meals"/>
    <s v="CardPaymentOut"/>
    <s v="Cleared"/>
    <m/>
    <m/>
    <x v="14"/>
  </r>
  <r>
    <n v="936"/>
    <s v="SA23.24"/>
    <x v="0"/>
    <d v="2024-06-20T00:00:00"/>
    <d v="2024-06-20T03:03:21"/>
    <s v="ABBEYFIELD VE LIMI ref: RG05570000491524"/>
    <s v="RG05570000491524"/>
    <s v="ABBEYFIELD VE LIMI"/>
    <m/>
    <n v="450"/>
    <m/>
    <n v="450"/>
    <s v="Income"/>
    <s v="FasterPaymentIn"/>
    <s v="Cleared"/>
    <m/>
    <m/>
    <x v="1"/>
  </r>
  <r>
    <n v="937"/>
    <s v="SA23.24"/>
    <x v="0"/>
    <d v="2024-06-20T00:00:00"/>
    <d v="2024-06-20T08:26:51"/>
    <s v="CAFFE NERO FALMOUTH - 10 MARKET STREET, FALMOUTH"/>
    <m/>
    <m/>
    <s v="CAFFE NERO FALMOUTH - 10 MARKET STREET, FALMOUTH"/>
    <m/>
    <n v="-3.95"/>
    <n v="-3.95"/>
    <s v="Meals"/>
    <s v="CardPaymentOut"/>
    <s v="Cleared"/>
    <m/>
    <m/>
    <x v="3"/>
  </r>
  <r>
    <n v="938"/>
    <s v="SA23.24"/>
    <x v="0"/>
    <d v="2024-06-20T00:00:00"/>
    <d v="2024-06-20T11:29:46"/>
    <s v="Zettle_*BEACON COFFEE - 28a High Street, Falmouth"/>
    <m/>
    <m/>
    <s v="Zettle_*BEACON COFFEE - 28a High Street, Falmouth"/>
    <m/>
    <n v="-3.3"/>
    <n v="-3.3"/>
    <s v="Meals"/>
    <s v="CardPaymentOut"/>
    <s v="Cleared"/>
    <m/>
    <m/>
    <x v="3"/>
  </r>
  <r>
    <n v="939"/>
    <s v="SA23.24"/>
    <x v="0"/>
    <d v="2024-06-20T00:00:00"/>
    <d v="2024-06-20T13:09:18"/>
    <s v="SPAR MARKET STRAND - 13 MARKET STRAND, FALMOUTH"/>
    <m/>
    <m/>
    <s v="SPAR MARKET STRAND - 13 MARKET STRAND, FALMOUTH"/>
    <m/>
    <n v="-5.97"/>
    <n v="-5.97"/>
    <m/>
    <s v="CardPaymentOut"/>
    <s v="Cleared"/>
    <m/>
    <m/>
    <x v="3"/>
  </r>
  <r>
    <n v="940"/>
    <s v="SA23.24"/>
    <x v="0"/>
    <d v="2024-06-20T00:00:00"/>
    <d v="2024-06-20T17:25:50"/>
    <s v="TESCO STORES 2522 - KILLIGREW STREET, FALMOUTH"/>
    <m/>
    <m/>
    <s v="TESCO STORES 2522 - KILLIGREW STREET, FALMOUTH"/>
    <m/>
    <n v="-3.45"/>
    <n v="-3.45"/>
    <m/>
    <s v="CardPaymentOut"/>
    <s v="Cleared"/>
    <m/>
    <m/>
    <x v="3"/>
  </r>
  <r>
    <n v="941"/>
    <s v="SA23.24"/>
    <x v="0"/>
    <d v="2024-06-21T00:00:00"/>
    <d v="2024-06-21T02:27:18"/>
    <s v="CardRefund: TRAINLINE - TRAINLINE, LONDON"/>
    <m/>
    <s v="TRAINLINE - TRAINLINE, LONDON"/>
    <m/>
    <n v="138.4"/>
    <m/>
    <n v="138.4"/>
    <s v="Travel"/>
    <s v="CardRefund"/>
    <s v="Cleared"/>
    <m/>
    <m/>
    <x v="0"/>
  </r>
  <r>
    <n v="942"/>
    <s v="SA23.24"/>
    <x v="0"/>
    <d v="2024-06-21T00:00:00"/>
    <d v="2024-06-21T03:05:54"/>
    <s v="COSTCO             ref: 1962493"/>
    <n v="1962493"/>
    <s v="COSTCO"/>
    <m/>
    <n v="375"/>
    <m/>
    <n v="375"/>
    <s v="Income"/>
    <s v="FasterPaymentIn"/>
    <s v="Cleared"/>
    <m/>
    <m/>
    <x v="1"/>
  </r>
  <r>
    <n v="943"/>
    <s v="SA23.24"/>
    <x v="0"/>
    <d v="2024-06-21T00:00:00"/>
    <d v="2024-06-21T08:50:07"/>
    <s v="SPAR MARKET STRAND - 13 MARKET STRAND, FALMOUTH"/>
    <m/>
    <m/>
    <s v="SPAR MARKET STRAND - 13 MARKET STRAND, FALMOUTH"/>
    <m/>
    <n v="-6.23"/>
    <n v="-6.23"/>
    <m/>
    <s v="CardPaymentOut"/>
    <s v="Cleared"/>
    <m/>
    <m/>
    <x v="3"/>
  </r>
  <r>
    <n v="944"/>
    <s v="SA23.24"/>
    <x v="0"/>
    <d v="2024-06-21T00:00:00"/>
    <d v="2024-06-21T10:40:40"/>
    <s v="Falmouth Bookseller - 21 Church Street, Falmouth"/>
    <m/>
    <m/>
    <s v="Falmouth Bookseller - 21 Church Street, Falmouth"/>
    <m/>
    <n v="-10.99"/>
    <n v="-10.99"/>
    <s v="Office supplies"/>
    <s v="CardPaymentOut"/>
    <s v="Cleared"/>
    <m/>
    <m/>
    <x v="11"/>
  </r>
  <r>
    <n v="945"/>
    <s v="SA23.24"/>
    <x v="0"/>
    <d v="2024-06-21T00:00:00"/>
    <d v="2024-06-21T15:50:17"/>
    <s v="CAFFE NERO FALMOUTH - 10 MARKET STREET, FALMOUTH"/>
    <m/>
    <m/>
    <s v="CAFFE NERO FALMOUTH - 10 MARKET STREET, FALMOUTH"/>
    <m/>
    <n v="-3.95"/>
    <n v="-3.95"/>
    <s v="Meals"/>
    <s v="CardPaymentOut"/>
    <s v="Cleared"/>
    <m/>
    <m/>
    <x v="3"/>
  </r>
  <r>
    <n v="946"/>
    <s v="SA23.24"/>
    <x v="0"/>
    <d v="2024-06-21T00:00:00"/>
    <d v="2024-06-21T22:16:26"/>
    <s v="Card payment reversal"/>
    <m/>
    <s v="CAFFE NERO FALMOUTH - 10 MARKET STREET, FALMOUTH"/>
    <m/>
    <n v="3.95"/>
    <m/>
    <n v="3.95"/>
    <s v="Meals"/>
    <s v="CardReversal"/>
    <s v="Cleared"/>
    <m/>
    <m/>
    <x v="3"/>
  </r>
  <r>
    <n v="947"/>
    <s v="SA23.24"/>
    <x v="0"/>
    <d v="2024-06-21T00:00:00"/>
    <d v="2024-06-21T23:05:20"/>
    <s v="BOLT.EU/O/2406212205 - Leather Market, Unit J, Taper Studios, London"/>
    <m/>
    <m/>
    <s v="BOLT.EU/O/2406212205 - Leather Market, Unit J, Taper Studios, London"/>
    <m/>
    <n v="-23.4"/>
    <n v="-23.4"/>
    <s v="Travel"/>
    <s v="CardPaymentOut"/>
    <s v="Cleared"/>
    <m/>
    <m/>
    <x v="0"/>
  </r>
  <r>
    <n v="948"/>
    <s v="SA23.24"/>
    <x v="0"/>
    <d v="2024-06-28T00:00:00"/>
    <d v="2024-06-28T03:10:56"/>
    <s v="ABBEYFIELD VE LIMI ref: RG05570000527524"/>
    <s v="RG05570000527524"/>
    <s v="ABBEYFIELD VE LIMI"/>
    <m/>
    <n v="375"/>
    <m/>
    <n v="375"/>
    <s v="Income"/>
    <s v="FasterPaymentIn"/>
    <s v="Cleared"/>
    <m/>
    <m/>
    <x v="1"/>
  </r>
  <r>
    <n v="949"/>
    <s v="SA23.24"/>
    <x v="0"/>
    <d v="2024-06-28T00:00:00"/>
    <d v="2024-06-28T03:10:57"/>
    <s v="VISION EXPRESS UK  ref: RG50570001345724"/>
    <s v="RG50570001345724"/>
    <s v="VISION EXPRESS UK"/>
    <m/>
    <n v="430"/>
    <m/>
    <n v="430"/>
    <s v="Income"/>
    <s v="FasterPaymentIn"/>
    <s v="Cleared"/>
    <m/>
    <m/>
    <x v="1"/>
  </r>
  <r>
    <n v="950"/>
    <s v="SA23.24"/>
    <x v="0"/>
    <d v="2024-06-28T00:00:00"/>
    <d v="2024-06-28T05:42:15"/>
    <s v="Portobello Store - 8 Pembridge Road, London"/>
    <m/>
    <m/>
    <s v="Portobello Store - 8 Pembridge Road, London"/>
    <m/>
    <n v="-4.9800000000000004"/>
    <n v="-4.9800000000000004"/>
    <s v="Meals"/>
    <s v="CardPaymentOut"/>
    <s v="Cleared"/>
    <m/>
    <m/>
    <x v="3"/>
  </r>
  <r>
    <n v="951"/>
    <s v="SA23.24"/>
    <x v="0"/>
    <d v="2024-06-28T00:00:00"/>
    <d v="2024-06-28T09:26:11"/>
    <s v="COSTA COFFEE 43010810 - COLLONADES LEISURE PARK, CROYDON"/>
    <m/>
    <m/>
    <s v="COSTA COFFEE 43010810 - COLLONADES LEISURE PARK, CROYDON"/>
    <m/>
    <n v="-4.1500000000000004"/>
    <n v="-4.1500000000000004"/>
    <s v="Meals"/>
    <s v="CardPaymentOut"/>
    <s v="Cleared"/>
    <m/>
    <m/>
    <x v="3"/>
  </r>
  <r>
    <n v="952"/>
    <s v="SA23.24"/>
    <x v="0"/>
    <d v="2024-06-29T00:00:00"/>
    <d v="2024-06-29T00:18:06"/>
    <s v="SHAIFA REMTULLA ref: Salary"/>
    <s v="salary"/>
    <m/>
    <s v="SHAIFA REMTULLA"/>
    <m/>
    <n v="-1000"/>
    <n v="-1000"/>
    <m/>
    <s v="FasterPaymentOut"/>
    <s v="Cleared"/>
    <m/>
    <m/>
    <x v="4"/>
  </r>
  <r>
    <n v="953"/>
    <s v="SA23.24"/>
    <x v="0"/>
    <d v="2024-06-29T00:00:00"/>
    <d v="2024-06-29T00:29:44"/>
    <s v="SHAIFA REMTULLA ref: Salary"/>
    <s v="salary"/>
    <m/>
    <s v="SHAIFA REMTULLA"/>
    <m/>
    <n v="-200"/>
    <n v="-200"/>
    <m/>
    <s v="FasterPaymentOut"/>
    <s v="Cleared"/>
    <m/>
    <m/>
    <x v="4"/>
  </r>
  <r>
    <n v="954"/>
    <s v="SA23.24"/>
    <x v="0"/>
    <d v="2024-06-29T00:00:00"/>
    <d v="2024-06-29T03:14:33"/>
    <s v="TFL TRAVEL CH - VICTORIA STREET, TFL.GOV.UK/CP"/>
    <m/>
    <m/>
    <s v="TFL TRAVEL CH - VICTORIA STREET, TFL.GOV.UK/CP"/>
    <m/>
    <n v="-10"/>
    <n v="-10"/>
    <s v="Travel"/>
    <s v="CardPaymentOut"/>
    <s v="Cleared"/>
    <m/>
    <m/>
    <x v="0"/>
  </r>
  <r>
    <n v="955"/>
    <s v="SA23.24"/>
    <x v="0"/>
    <d v="2024-06-30T00:00:00"/>
    <d v="2024-06-30T11:47:48"/>
    <s v="PAUL UK CANARY WHARF - UNIT RP 310, LONDON"/>
    <m/>
    <m/>
    <s v="PAUL UK CANARY WHARF - UNIT RP 310, LONDON"/>
    <m/>
    <n v="-3.5"/>
    <n v="-3.5"/>
    <s v="Meals"/>
    <s v="CardPaymentOut"/>
    <s v="Cleared"/>
    <m/>
    <m/>
    <x v="3"/>
  </r>
  <r>
    <n v="956"/>
    <s v="SA23.24"/>
    <x v="0"/>
    <d v="2024-07-02T00:00:00"/>
    <d v="2024-07-02T03:04:37"/>
    <s v="COSTCO             ref: 1964089"/>
    <n v="1964089"/>
    <s v="COSTCO"/>
    <m/>
    <n v="725"/>
    <m/>
    <n v="725"/>
    <s v="Income"/>
    <s v="FasterPaymentIn"/>
    <s v="Cleared"/>
    <m/>
    <m/>
    <x v="1"/>
  </r>
  <r>
    <n v="957"/>
    <s v="SA23.24"/>
    <x v="0"/>
    <d v="2024-07-02T00:00:00"/>
    <d v="2024-07-02T04:07:06"/>
    <s v="EE LIMITED         ref: T15253570532275252"/>
    <s v="T15253570532275252"/>
    <m/>
    <s v="EE LIMITED"/>
    <m/>
    <n v="-85.37"/>
    <n v="-85.37"/>
    <s v="Phone and internet"/>
    <s v="DirectDebit"/>
    <s v="Cleared"/>
    <m/>
    <m/>
    <x v="2"/>
  </r>
  <r>
    <n v="935"/>
    <s v="SA23.24"/>
    <x v="0"/>
    <d v="2024-06-19T00:00:00"/>
    <d v="2024-06-19T19:16:54"/>
    <s v="SQ *THE MULBERRY FALMO - 4 The Moor, Falmouth"/>
    <m/>
    <m/>
    <s v="SQ *THE MULBERRY FALMO - 4 The Moor, Falmouth"/>
    <m/>
    <n v="-59.06"/>
    <n v="-59.06"/>
    <s v="Meals"/>
    <s v="CardPaymentOut"/>
    <s v="Cleared"/>
    <m/>
    <m/>
    <x v="14"/>
  </r>
  <r>
    <n v="959"/>
    <s v="SA23.24"/>
    <x v="0"/>
    <d v="2024-07-05T00:00:00"/>
    <d v="2024-07-05T12:52:31"/>
    <s v="SHAIFA REMTULLA ref: Salary"/>
    <s v="salary"/>
    <m/>
    <s v="SHAIFA REMTULLA"/>
    <m/>
    <n v="-200"/>
    <n v="-200"/>
    <m/>
    <s v="FasterPaymentOut"/>
    <s v="Cleared"/>
    <m/>
    <m/>
    <x v="4"/>
  </r>
  <r>
    <n v="974"/>
    <s v="SA23.24"/>
    <x v="0"/>
    <d v="2024-07-24T00:00:00"/>
    <d v="2024-07-24T14:04:45"/>
    <s v="NANDOS.CO.UK - Erico House93- 99 Upper Richmond Road, LONDON"/>
    <m/>
    <m/>
    <s v="NANDOS.CO.UK - Erico House93- 99 Upper Richmond Road, LONDON"/>
    <m/>
    <n v="-14.45"/>
    <n v="-14.45"/>
    <s v="Meals"/>
    <s v="CardPaymentOut"/>
    <s v="Cleared"/>
    <m/>
    <m/>
    <x v="6"/>
  </r>
  <r>
    <n v="961"/>
    <s v="SA23.24"/>
    <x v="0"/>
    <d v="2024-07-10T00:00:00"/>
    <d v="2024-07-10T22:17:07"/>
    <s v="CHELSEA VILLAGE FOOD - 473 FULHAM ROAD, LONDON SW6"/>
    <m/>
    <m/>
    <s v="CHELSEA VILLAGE FOOD - 473 FULHAM ROAD, LONDON SW6"/>
    <m/>
    <n v="-7.17"/>
    <n v="-7.17"/>
    <s v="Meals"/>
    <s v="CardPaymentOut"/>
    <s v="Cleared"/>
    <m/>
    <m/>
    <x v="3"/>
  </r>
  <r>
    <n v="962"/>
    <s v="SA23.24"/>
    <x v="0"/>
    <d v="2024-07-11T00:00:00"/>
    <d v="2024-07-11T15:47:35"/>
    <s v="TESCO STORES 2377 - DEAN ST METRO, DEAN ST-METRO"/>
    <m/>
    <m/>
    <s v="TESCO STORES 2377 - DEAN ST METRO, DEAN ST-METRO"/>
    <m/>
    <n v="-4.2"/>
    <n v="-4.2"/>
    <s v="Meals"/>
    <s v="CardPaymentOut"/>
    <s v="Cleared"/>
    <m/>
    <m/>
    <x v="3"/>
  </r>
  <r>
    <n v="963"/>
    <s v="SA23.24"/>
    <x v="0"/>
    <d v="2024-07-12T00:00:00"/>
    <d v="2024-07-12T03:04:26"/>
    <s v="VISION EXPRESS UK  ref: RG50570001481224"/>
    <s v="RG50570001481224"/>
    <s v="VISION EXPRESS UK"/>
    <m/>
    <n v="860"/>
    <m/>
    <n v="860"/>
    <s v="Income"/>
    <s v="FasterPaymentIn"/>
    <s v="Cleared"/>
    <m/>
    <m/>
    <x v="1"/>
  </r>
  <r>
    <n v="964"/>
    <s v="SA23.24"/>
    <x v="0"/>
    <d v="2024-07-12T00:00:00"/>
    <d v="2024-07-12T03:12:13"/>
    <s v="COSTCO             ref: 1965583"/>
    <n v="1965583"/>
    <s v="COSTCO"/>
    <m/>
    <n v="375"/>
    <m/>
    <n v="375"/>
    <s v="Income"/>
    <s v="FasterPaymentIn"/>
    <s v="Cleared"/>
    <m/>
    <m/>
    <x v="1"/>
  </r>
  <r>
    <n v="965"/>
    <s v="SA23.24"/>
    <x v="0"/>
    <d v="2024-07-12T00:00:00"/>
    <d v="2024-07-12T09:19:31"/>
    <s v="REMTULLA ref: loan repaymemt"/>
    <s v="loan repaymemt"/>
    <s v="REMTULLA"/>
    <m/>
    <n v="300"/>
    <m/>
    <n v="300"/>
    <s v="Income"/>
    <s v="FasterPaymentIn"/>
    <s v="Cleared"/>
    <m/>
    <m/>
    <x v="4"/>
  </r>
  <r>
    <n v="966"/>
    <s v="SA23.24"/>
    <x v="0"/>
    <d v="2024-07-12T00:00:00"/>
    <d v="2024-07-12T13:48:55"/>
    <s v="TFL TRAVEL CH - VICTORIA STREET, TFL.GOV.UK/CP"/>
    <m/>
    <m/>
    <s v="TFL TRAVEL CH - VICTORIA STREET, TFL.GOV.UK/CP"/>
    <m/>
    <n v="-6.2"/>
    <n v="-6.2"/>
    <s v="Travel"/>
    <s v="CardPaymentOut"/>
    <s v="Cleared"/>
    <m/>
    <m/>
    <x v="0"/>
  </r>
  <r>
    <n v="967"/>
    <s v="SA23.24"/>
    <x v="0"/>
    <d v="2024-07-14T00:00:00"/>
    <d v="2024-07-14T07:41:24"/>
    <s v="TFL TRAVEL CH - VICTORIA STREET, TFL.GOV.UK/CP"/>
    <m/>
    <m/>
    <s v="TFL TRAVEL CH - VICTORIA STREET, TFL.GOV.UK/CP"/>
    <m/>
    <n v="-12.9"/>
    <n v="-12.9"/>
    <s v="Travel"/>
    <s v="CardPaymentOut"/>
    <s v="Cleared"/>
    <m/>
    <m/>
    <x v="0"/>
  </r>
  <r>
    <n v="968"/>
    <s v="SA23.24"/>
    <x v="0"/>
    <d v="2024-07-14T00:00:00"/>
    <d v="2024-07-14T16:27:30"/>
    <s v="UBR* PENDING.UBER.COM - Aldgate Tower First Floor, LONDON"/>
    <m/>
    <m/>
    <s v="UBR* PENDING.UBER.COM - Aldgate Tower First Floor, LONDON"/>
    <m/>
    <n v="-11.9"/>
    <n v="-11.9"/>
    <s v="Travel"/>
    <s v="CardPaymentOut"/>
    <s v="Cleared"/>
    <m/>
    <m/>
    <x v="0"/>
  </r>
  <r>
    <n v="969"/>
    <s v="SA23.24"/>
    <x v="0"/>
    <d v="2024-07-15T00:00:00"/>
    <d v="2024-07-15T08:12:40"/>
    <s v="SAINSBURYS             LONDON"/>
    <m/>
    <m/>
    <s v="SAINSBURYS             LONDON"/>
    <m/>
    <n v="-3.5"/>
    <n v="-3.5"/>
    <m/>
    <s v="CardPaymentOut"/>
    <s v="Cancelled"/>
    <m/>
    <m/>
    <x v="3"/>
  </r>
  <r>
    <n v="970"/>
    <s v="SA23.24"/>
    <x v="0"/>
    <d v="2024-07-17T00:00:00"/>
    <d v="2024-07-17T18:38:29"/>
    <s v="Charge of 1.60 for Bank Transfers usage from 2024-06-01 to 2024-06-30"/>
    <s v="Charge of 1.60 for Bank Transfers usage from 2024-06-01 to 2024-06-30"/>
    <m/>
    <m/>
    <m/>
    <n v="-1.6"/>
    <n v="-1.6"/>
    <s v="Bank fees"/>
    <s v="Fee"/>
    <s v="Cleared"/>
    <m/>
    <m/>
    <x v="7"/>
  </r>
  <r>
    <n v="971"/>
    <s v="SA23.24"/>
    <x v="0"/>
    <d v="2024-07-23T00:00:00"/>
    <d v="2024-07-23T05:33:13"/>
    <s v="TFL TRAVEL CH - VICTORIA STREET, TFL.GOV.UK/CP"/>
    <m/>
    <m/>
    <s v="TFL TRAVEL CH - VICTORIA STREET, TFL.GOV.UK/CP"/>
    <m/>
    <n v="-14.6"/>
    <n v="-14.6"/>
    <s v="Travel"/>
    <s v="CardPaymentOut"/>
    <s v="Cleared"/>
    <m/>
    <m/>
    <x v="0"/>
  </r>
  <r>
    <n v="972"/>
    <s v="SA23.24"/>
    <x v="0"/>
    <d v="2024-07-23T00:00:00"/>
    <d v="2024-07-23T09:04:57"/>
    <s v="SAINSBURYS S/MKTS - 116 BUCKINGHAM PALACE ROAD, LONDON  4065"/>
    <m/>
    <m/>
    <s v="SAINSBURYS S/MKTS - 116 BUCKINGHAM PALACE ROAD, LONDON  4065"/>
    <m/>
    <n v="-2.85"/>
    <n v="-2.85"/>
    <s v="Meals"/>
    <s v="CardPaymentOut"/>
    <s v="Cleared"/>
    <m/>
    <m/>
    <x v="3"/>
  </r>
  <r>
    <n v="973"/>
    <s v="SA23.24"/>
    <x v="0"/>
    <d v="2024-07-24T00:00:00"/>
    <d v="2024-07-24T08:57:06"/>
    <s v="SAINSBURYS S/MKTS - 20 ST JOHNS HILL, CLAPHAM JUNCT"/>
    <m/>
    <m/>
    <s v="SAINSBURYS S/MKTS - 20 ST JOHNS HILL, CLAPHAM JUNCT"/>
    <m/>
    <n v="-4.3499999999999996"/>
    <n v="-4.3499999999999996"/>
    <s v="Meals"/>
    <s v="CardPaymentOut"/>
    <s v="Cleared"/>
    <m/>
    <m/>
    <x v="3"/>
  </r>
  <r>
    <n v="1067"/>
    <s v="SA23.24"/>
    <x v="0"/>
    <d v="2024-09-08T00:00:00"/>
    <d v="2024-09-08T14:42:51"/>
    <s v="IWONDERWHATSNEXT - UNIT 5 BEECHWOOD BUSINESS PARKBURDOCK CLOSE, CANNOCK"/>
    <m/>
    <m/>
    <s v="IWONDERWHATSNEXT - UNIT 5 BEECHWOOD BUSINESS PARKBURDOCK CLOSE, CANNOCK"/>
    <m/>
    <n v="-53.16"/>
    <n v="-53.16"/>
    <s v="Meals"/>
    <s v="CardPaymentOut"/>
    <s v="Cleared"/>
    <m/>
    <m/>
    <x v="6"/>
  </r>
  <r>
    <n v="975"/>
    <s v="SA23.24"/>
    <x v="0"/>
    <d v="2024-07-25T00:00:00"/>
    <d v="2024-07-25T03:59:55"/>
    <s v="TFL TRAVEL CH - VICTORIA STREET, TFL.GOV.UK/CP"/>
    <m/>
    <m/>
    <s v="TFL TRAVEL CH - VICTORIA STREET, TFL.GOV.UK/CP"/>
    <m/>
    <n v="-10.199999999999999"/>
    <n v="-10.199999999999999"/>
    <s v="Travel"/>
    <s v="CardPaymentOut"/>
    <s v="Cleared"/>
    <m/>
    <m/>
    <x v="0"/>
  </r>
  <r>
    <n v="976"/>
    <s v="SA23.24"/>
    <x v="0"/>
    <d v="2024-07-25T00:00:00"/>
    <d v="2024-07-25T08:51:39"/>
    <s v="SAINSBURYS S/MKTS - 20 ST JOHNS HILL, CLAPHAM JUNCT"/>
    <m/>
    <m/>
    <s v="SAINSBURYS S/MKTS - 20 ST JOHNS HILL, CLAPHAM JUNCT"/>
    <m/>
    <n v="-3.3"/>
    <n v="-3.3"/>
    <s v="Meals"/>
    <s v="CardPaymentOut"/>
    <s v="Cleared"/>
    <m/>
    <m/>
    <x v="3"/>
  </r>
  <r>
    <n v="977"/>
    <s v="SA23.24"/>
    <x v="0"/>
    <d v="2024-07-25T00:00:00"/>
    <d v="2024-07-25T09:16:26"/>
    <s v="CAFFE NERO EAST CROYDO - 93 GEORGE ST, EAST, SURREY"/>
    <m/>
    <m/>
    <s v="CAFFE NERO EAST CROYDO - 93 GEORGE ST, EAST, SURREY"/>
    <m/>
    <n v="-4.7"/>
    <n v="-4.7"/>
    <s v="Meals"/>
    <s v="CardPaymentOut"/>
    <s v="Cleared"/>
    <m/>
    <m/>
    <x v="3"/>
  </r>
  <r>
    <n v="978"/>
    <s v="SA23.24"/>
    <x v="0"/>
    <d v="2024-07-25T00:00:00"/>
    <d v="2024-07-25T17:34:24"/>
    <s v="UBR* PENDING.UBER.COM - Aldgate Tower First Floor, LONDON"/>
    <m/>
    <m/>
    <s v="UBR* PENDING.UBER.COM - Aldgate Tower First Floor, LONDON"/>
    <m/>
    <n v="-11.51"/>
    <n v="-11.51"/>
    <s v="Travel"/>
    <s v="CardPaymentOut"/>
    <s v="Cleared"/>
    <m/>
    <m/>
    <x v="0"/>
  </r>
  <r>
    <n v="979"/>
    <s v="SA23.24"/>
    <x v="0"/>
    <d v="2024-07-26T00:00:00"/>
    <d v="2024-07-26T08:38:48"/>
    <s v="Snax - Unit 1 Lower Concourse Wimbledo, London"/>
    <m/>
    <m/>
    <s v="Snax - Unit 1 Lower Concourse Wimbledo, London"/>
    <m/>
    <n v="-3.98"/>
    <n v="-3.98"/>
    <s v="Meals"/>
    <s v="CardPaymentOut"/>
    <s v="Cleared"/>
    <s v="lunch"/>
    <m/>
    <x v="3"/>
  </r>
  <r>
    <n v="980"/>
    <s v="SA23.24"/>
    <x v="0"/>
    <d v="2024-07-26T00:00:00"/>
    <d v="2024-07-26T13:39:23"/>
    <s v="ANITASKITCHEN.BEGINORD - 1 Carpenters Court151 Croydon Road, CATERHAM"/>
    <m/>
    <m/>
    <s v="ANITASKITCHEN.BEGINORD - 1 Carpenters Court151 Croydon Road, CATERHAM"/>
    <m/>
    <n v="-7.06"/>
    <n v="-7.06"/>
    <s v="Meals"/>
    <s v="CardPaymentOut"/>
    <s v="Cleared"/>
    <s v="lunch"/>
    <m/>
    <x v="3"/>
  </r>
  <r>
    <n v="981"/>
    <s v="SA23.24"/>
    <x v="0"/>
    <d v="2024-07-26T00:00:00"/>
    <d v="2024-07-26T14:13:38"/>
    <s v="TFL TRAVEL CH - VICTORIA STREET, TFL.GOV.UK/CP"/>
    <m/>
    <m/>
    <s v="TFL TRAVEL CH - VICTORIA STREET, TFL.GOV.UK/CP"/>
    <m/>
    <n v="-14.6"/>
    <n v="-14.6"/>
    <s v="Travel"/>
    <s v="CardPaymentOut"/>
    <s v="Cleared"/>
    <m/>
    <m/>
    <x v="0"/>
  </r>
  <r>
    <n v="982"/>
    <s v="SA23.24"/>
    <x v="0"/>
    <d v="2024-07-27T00:00:00"/>
    <d v="2024-07-27T03:35:34"/>
    <s v="TFL TRAVEL CH - VICTORIA STREET, TFL.GOV.UK/CP"/>
    <m/>
    <m/>
    <s v="TFL TRAVEL CH - VICTORIA STREET, TFL.GOV.UK/CP"/>
    <m/>
    <n v="-7.7"/>
    <n v="-7.7"/>
    <s v="Travel"/>
    <s v="CardPaymentOut"/>
    <s v="Cleared"/>
    <m/>
    <m/>
    <x v="0"/>
  </r>
  <r>
    <n v="983"/>
    <s v="SA23.24"/>
    <x v="0"/>
    <d v="2024-07-27T00:00:00"/>
    <d v="2024-07-27T08:17:13"/>
    <s v="SAINSBURYS S/MKTS - 20 ST JOHNS HILL, CLAPHAM JUNCT"/>
    <m/>
    <m/>
    <s v="SAINSBURYS S/MKTS - 20 ST JOHNS HILL, CLAPHAM JUNCT"/>
    <m/>
    <n v="-2"/>
    <n v="-2"/>
    <s v="Meals"/>
    <s v="CardPaymentOut"/>
    <s v="Cleared"/>
    <m/>
    <m/>
    <x v="3"/>
  </r>
  <r>
    <n v="984"/>
    <s v="SA23.24"/>
    <x v="0"/>
    <d v="2024-07-27T00:00:00"/>
    <d v="2024-07-27T08:22:55"/>
    <s v="CAFFE NERO 17 CLAPHAM - UNIT 7B, LONDON"/>
    <m/>
    <m/>
    <s v="CAFFE NERO 17 CLAPHAM - UNIT 7B, LONDON"/>
    <m/>
    <n v="-4.2"/>
    <n v="-4.2"/>
    <s v="Meals"/>
    <s v="CardPaymentOut"/>
    <s v="Cleared"/>
    <m/>
    <m/>
    <x v="3"/>
  </r>
  <r>
    <n v="1213"/>
    <s v="SA23.24"/>
    <x v="0"/>
    <d v="2024-12-03T00:00:00"/>
    <d v="2024-12-03T20:48:59"/>
    <s v="LONDON ST BRASSERIE - 2-4 LONDON STREET, READING"/>
    <m/>
    <m/>
    <s v="LONDON ST BRASSERIE - 2-4 LONDON STREET, READING"/>
    <m/>
    <n v="-98"/>
    <n v="-98"/>
    <s v="Meals"/>
    <s v="CardPaymentOut"/>
    <s v="Cleared"/>
    <m/>
    <m/>
    <x v="6"/>
  </r>
  <r>
    <n v="986"/>
    <s v="SA23.24"/>
    <x v="0"/>
    <d v="2024-07-28T00:00:00"/>
    <d v="2024-07-28T10:27:54"/>
    <s v="CAFFE NERO EAST CROYDO - 93 GEORGE ST, EAST, SURREY"/>
    <m/>
    <m/>
    <s v="CAFFE NERO EAST CROYDO - 93 GEORGE ST, EAST, SURREY"/>
    <m/>
    <n v="-4.05"/>
    <n v="-4.05"/>
    <s v="Meals"/>
    <s v="CardPaymentOut"/>
    <s v="Cleared"/>
    <m/>
    <m/>
    <x v="3"/>
  </r>
  <r>
    <n v="987"/>
    <s v="SA23.24"/>
    <x v="0"/>
    <d v="2024-07-29T00:00:00"/>
    <d v="2024-07-29T02:38:00"/>
    <s v="TFL TRAVEL CH - VICTORIA STREET, TFL.GOV.UK/CP"/>
    <m/>
    <m/>
    <s v="TFL TRAVEL CH - VICTORIA STREET, TFL.GOV.UK/CP"/>
    <m/>
    <n v="-4.8499999999999996"/>
    <n v="-4.8499999999999996"/>
    <s v="Travel"/>
    <s v="CardPaymentOut"/>
    <s v="Cleared"/>
    <m/>
    <m/>
    <x v="0"/>
  </r>
  <r>
    <n v="988"/>
    <s v="SA23.24"/>
    <x v="0"/>
    <d v="2024-07-29T00:00:00"/>
    <d v="2024-07-29T08:22:07"/>
    <s v="TFL TRAVEL CH - VICTORIA STREET, TFL.GOV.UK/CP"/>
    <m/>
    <m/>
    <s v="TFL TRAVEL CH - VICTORIA STREET, TFL.GOV.UK/CP"/>
    <m/>
    <n v="-13.15"/>
    <n v="-13.15"/>
    <s v="Travel"/>
    <s v="CardPaymentOut"/>
    <s v="Cleared"/>
    <m/>
    <m/>
    <x v="0"/>
  </r>
  <r>
    <n v="989"/>
    <s v="SA23.24"/>
    <x v="0"/>
    <d v="2024-07-29T00:00:00"/>
    <d v="2024-07-29T09:59:11"/>
    <s v="SHAIFA REMTULLA ref: Salary"/>
    <s v="salary"/>
    <m/>
    <s v="SHAIFA REMTULLA"/>
    <m/>
    <n v="-2300"/>
    <n v="-2300"/>
    <m/>
    <s v="FasterPaymentOut"/>
    <s v="Cleared"/>
    <m/>
    <m/>
    <x v="4"/>
  </r>
  <r>
    <n v="990"/>
    <s v="SA23.24"/>
    <x v="0"/>
    <d v="2024-07-29T00:00:00"/>
    <d v="2024-07-29T11:05:34"/>
    <s v="MISP HOLDINGS LIMITED ref: INV-0020"/>
    <s v="INV-0020"/>
    <s v="MISP HOLDINGS LIMITED"/>
    <m/>
    <n v="225"/>
    <m/>
    <n v="225"/>
    <s v="Income"/>
    <s v="FasterPaymentIn"/>
    <s v="Cleared"/>
    <m/>
    <m/>
    <x v="1"/>
  </r>
  <r>
    <n v="991"/>
    <s v="SA23.24"/>
    <x v="0"/>
    <d v="2024-07-30T00:00:00"/>
    <d v="2024-07-30T05:49:54"/>
    <s v="HMRC CUMBERLAND ref: 120PX02927477"/>
    <s v="120PX02927477"/>
    <m/>
    <s v="HMRC CUMBERLAND"/>
    <m/>
    <n v="-119.85"/>
    <n v="-119.85"/>
    <m/>
    <s v="FasterPaymentOut"/>
    <s v="Cleared"/>
    <m/>
    <m/>
    <x v="15"/>
  </r>
  <r>
    <n v="992"/>
    <s v="SA23.24"/>
    <x v="0"/>
    <d v="2024-07-31T00:00:00"/>
    <d v="2024-07-31T12:12:33"/>
    <s v="SAINSBURYS S/MKTS - 132A HERNE HILL, HERNE HILL"/>
    <m/>
    <m/>
    <s v="SAINSBURYS S/MKTS - 132A HERNE HILL, HERNE HILL"/>
    <m/>
    <n v="-5.6"/>
    <n v="-5.6"/>
    <s v="Meals"/>
    <s v="CardPaymentOut"/>
    <s v="Cleared"/>
    <m/>
    <m/>
    <x v="3"/>
  </r>
  <r>
    <n v="993"/>
    <s v="SA23.24"/>
    <x v="0"/>
    <d v="2024-07-31T00:00:00"/>
    <d v="2024-07-31T14:02:05"/>
    <s v="SHAIFA REMTULLA ref: Salary"/>
    <s v="salary"/>
    <m/>
    <s v="SHAIFA REMTULLA"/>
    <m/>
    <n v="-400"/>
    <n v="-400"/>
    <m/>
    <s v="FasterPaymentOut"/>
    <s v="Cleared"/>
    <m/>
    <m/>
    <x v="4"/>
  </r>
  <r>
    <n v="1269"/>
    <s v="SA23.24"/>
    <x v="0"/>
    <d v="2025-01-08T00:00:00"/>
    <d v="2025-01-08T21:09:38"/>
    <s v="DELIVEROO - 1 Cousin Lane, LONDON"/>
    <m/>
    <m/>
    <s v="DELIVEROO - 1 Cousin Lane, LONDON"/>
    <m/>
    <n v="-36.93"/>
    <n v="-36.93"/>
    <s v="Meals"/>
    <s v="CardPaymentOut"/>
    <s v="Cleared"/>
    <m/>
    <m/>
    <x v="6"/>
  </r>
  <r>
    <n v="995"/>
    <s v="SA23.24"/>
    <x v="0"/>
    <d v="2024-08-01T00:00:00"/>
    <d v="2024-08-01T07:55:05"/>
    <s v="SAINSBURYS S/MKTS - 116 BUCKINGHAM PALACE ROAD, LONDON  4065"/>
    <m/>
    <m/>
    <s v="SAINSBURYS S/MKTS - 116 BUCKINGHAM PALACE ROAD, LONDON  4065"/>
    <m/>
    <n v="-3.95"/>
    <n v="-3.95"/>
    <s v="Meals"/>
    <s v="CardPaymentOut"/>
    <s v="Cleared"/>
    <m/>
    <m/>
    <x v="3"/>
  </r>
  <r>
    <n v="996"/>
    <s v="SA23.24"/>
    <x v="0"/>
    <d v="2024-08-01T00:00:00"/>
    <d v="2024-08-01T08:47:02"/>
    <s v="SQ *BUNHEAD BAKERY - 145 Dulwich Road, London"/>
    <m/>
    <m/>
    <s v="SQ *BUNHEAD BAKERY - 145 Dulwich Road, London"/>
    <m/>
    <n v="-4.5"/>
    <n v="-4.5"/>
    <s v="Meals"/>
    <s v="CardPaymentOut"/>
    <s v="Cleared"/>
    <m/>
    <m/>
    <x v="3"/>
  </r>
  <r>
    <n v="997"/>
    <s v="SA23.24"/>
    <x v="0"/>
    <d v="2024-08-01T00:00:00"/>
    <d v="2024-08-01T13:21:14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998"/>
    <s v="SA23.24"/>
    <x v="0"/>
    <d v="2024-08-02T00:00:00"/>
    <d v="2024-08-02T02:04:59"/>
    <s v="COSTCO             ref: 1968672"/>
    <n v="1968672"/>
    <s v="COSTCO"/>
    <m/>
    <n v="1710"/>
    <m/>
    <n v="1710"/>
    <s v="Income"/>
    <s v="FasterPaymentIn"/>
    <s v="Cleared"/>
    <m/>
    <m/>
    <x v="1"/>
  </r>
  <r>
    <n v="999"/>
    <s v="SA23.24"/>
    <x v="0"/>
    <d v="2024-08-02T00:00:00"/>
    <d v="2024-08-02T03:19:35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000"/>
    <s v="SA23.24"/>
    <x v="0"/>
    <d v="2024-08-02T00:00:00"/>
    <d v="2024-08-02T04:15:27"/>
    <s v="EE LIMITED         ref: T15253570540500349"/>
    <s v="T15253570540500349"/>
    <m/>
    <s v="EE LIMITED"/>
    <m/>
    <n v="-86.89"/>
    <n v="-86.89"/>
    <s v="Phone and internet"/>
    <s v="DirectDebit"/>
    <s v="Cleared"/>
    <m/>
    <m/>
    <x v="2"/>
  </r>
  <r>
    <n v="1267"/>
    <s v="SA23.24"/>
    <x v="0"/>
    <d v="2025-01-08T00:00:00"/>
    <d v="2025-01-08T15:58:43"/>
    <s v="MAILBOX ETC - 9 JERDAN PLACE, LONDON SW6"/>
    <m/>
    <m/>
    <s v="MAILBOX ETC - 9 JERDAN PLACE, LONDON SW6"/>
    <m/>
    <n v="-25.5"/>
    <n v="-25.5"/>
    <s v="Shipping and postage"/>
    <s v="CardPaymentOut"/>
    <s v="Cleared"/>
    <m/>
    <m/>
    <x v="10"/>
  </r>
  <r>
    <n v="813"/>
    <s v="SA23.24"/>
    <x v="0"/>
    <d v="2024-04-26T00:00:00"/>
    <d v="2024-04-26T17:47:00"/>
    <s v="CARDS GALORE - 3 CENTRAL LINE BOOKI, LONDON"/>
    <m/>
    <m/>
    <m/>
    <m/>
    <n v="-7.47"/>
    <n v="-7.47"/>
    <m/>
    <s v="CardPaymentOut"/>
    <s v="Cleared"/>
    <m/>
    <n v="-7.47"/>
    <x v="16"/>
  </r>
  <r>
    <n v="1003"/>
    <s v="SA23.24"/>
    <x v="0"/>
    <d v="2024-08-06T00:00:00"/>
    <d v="2024-08-06T02:05:56"/>
    <s v="COSTCO             ref: 1968839"/>
    <n v="1968839"/>
    <s v="COSTCO"/>
    <m/>
    <n v="375"/>
    <m/>
    <n v="375"/>
    <s v="Income"/>
    <s v="FasterPaymentIn"/>
    <s v="Cleared"/>
    <m/>
    <m/>
    <x v="1"/>
  </r>
  <r>
    <n v="1004"/>
    <s v="SA23.24"/>
    <x v="0"/>
    <d v="2024-08-06T00:00:00"/>
    <d v="2024-08-06T06:13:49"/>
    <s v="SHAIFA REMTULLA ref: Loan"/>
    <s v="Loan"/>
    <m/>
    <s v="SHAIFA REMTULLA"/>
    <m/>
    <n v="-300"/>
    <n v="-300"/>
    <m/>
    <s v="FasterPaymentOut"/>
    <s v="Cleared"/>
    <m/>
    <m/>
    <x v="4"/>
  </r>
  <r>
    <n v="1005"/>
    <s v="SA23.24"/>
    <x v="0"/>
    <d v="2024-08-07T00:00:00"/>
    <d v="2024-08-07T02:08:07"/>
    <s v="COSTCO             ref: 1969086"/>
    <n v="1969086"/>
    <s v="COSTCO"/>
    <m/>
    <n v="375"/>
    <m/>
    <n v="375"/>
    <s v="Income"/>
    <s v="FasterPaymentIn"/>
    <s v="Cleared"/>
    <m/>
    <m/>
    <x v="1"/>
  </r>
  <r>
    <n v="1006"/>
    <s v="SA23.24"/>
    <x v="0"/>
    <d v="2024-08-07T00:00:00"/>
    <d v="2024-08-07T06:31:06"/>
    <s v="SHAIFA REMTULLA ref: Loan"/>
    <s v="Loan"/>
    <m/>
    <s v="SHAIFA REMTULLA"/>
    <m/>
    <n v="-400"/>
    <n v="-400"/>
    <m/>
    <s v="FasterPaymentOut"/>
    <s v="Cleared"/>
    <m/>
    <m/>
    <x v="4"/>
  </r>
  <r>
    <n v="1007"/>
    <s v="SA23.24"/>
    <x v="0"/>
    <d v="2024-08-07T00:00:00"/>
    <d v="2024-08-07T08:37:50"/>
    <s v="CAFFE NERO 17 CLAPHAM - UNIT 7B, LONDON"/>
    <m/>
    <m/>
    <s v="CAFFE NERO 17 CLAPHAM - UNIT 7B, LONDON"/>
    <m/>
    <n v="-4.2"/>
    <n v="-4.2"/>
    <s v="Meals"/>
    <s v="CardPaymentOut"/>
    <s v="Cleared"/>
    <m/>
    <m/>
    <x v="3"/>
  </r>
  <r>
    <n v="1008"/>
    <s v="SA23.24"/>
    <x v="0"/>
    <d v="2024-08-08T00:00:00"/>
    <d v="2024-08-08T13:27:29"/>
    <s v="TFL TRAVEL CH - VICTORIA STREET, TFL.GOV.UK/CP"/>
    <m/>
    <m/>
    <s v="TFL TRAVEL CH - VICTORIA STREET, TFL.GOV.UK/CP"/>
    <m/>
    <n v="-11.95"/>
    <n v="-11.95"/>
    <s v="Travel"/>
    <s v="CardPaymentOut"/>
    <s v="Cleared"/>
    <m/>
    <m/>
    <x v="0"/>
  </r>
  <r>
    <n v="1009"/>
    <s v="SA23.24"/>
    <x v="0"/>
    <d v="2024-08-09T00:00:00"/>
    <d v="2024-08-09T02:10:25"/>
    <s v="COSTCO             ref: 1969485"/>
    <n v="1969485"/>
    <s v="COSTCO"/>
    <m/>
    <n v="1500"/>
    <m/>
    <n v="1500"/>
    <s v="Income"/>
    <s v="FasterPaymentIn"/>
    <s v="Cleared"/>
    <m/>
    <m/>
    <x v="1"/>
  </r>
  <r>
    <n v="1010"/>
    <s v="SA23.24"/>
    <x v="0"/>
    <d v="2024-08-09T00:00:00"/>
    <d v="2024-08-09T09:48:18"/>
    <s v="COSTA COFFEE 43010810 - COLLONADES LEISURE PARK, CROYDON"/>
    <m/>
    <m/>
    <s v="COSTA COFFEE 43010810 - COLLONADES LEISURE PARK, CROYDON"/>
    <m/>
    <n v="-2.9"/>
    <n v="-2.9"/>
    <s v="Meals"/>
    <s v="CardPaymentOut"/>
    <s v="Cleared"/>
    <m/>
    <m/>
    <x v="3"/>
  </r>
  <r>
    <n v="1011"/>
    <s v="SA23.24"/>
    <x v="0"/>
    <d v="2024-08-10T00:00:00"/>
    <d v="2024-08-10T03:11:01"/>
    <s v="TFL TRAVEL CH - VICTORIA STREET, TFL.GOV.UK/CP"/>
    <m/>
    <m/>
    <s v="TFL TRAVEL CH - VICTORIA STREET, TFL.GOV.UK/CP"/>
    <m/>
    <n v="-20.8"/>
    <n v="-20.8"/>
    <s v="Travel"/>
    <s v="CardPaymentOut"/>
    <s v="Cleared"/>
    <m/>
    <m/>
    <x v="0"/>
  </r>
  <r>
    <n v="820"/>
    <s v="SA23.24"/>
    <x v="0"/>
    <d v="2024-04-30T00:00:00"/>
    <d v="2024-04-30T12:46:00"/>
    <s v="MARKS&amp;SPENCER PLC SA - CENTRE COURT SHOPPING CENTRE, WIMBLEDON"/>
    <m/>
    <m/>
    <m/>
    <m/>
    <n v="-10.65"/>
    <n v="-10.65"/>
    <s v="Office supplies"/>
    <s v="CardPaymentOut"/>
    <s v="Cleared"/>
    <m/>
    <n v="-10.65"/>
    <x v="16"/>
  </r>
  <r>
    <n v="1013"/>
    <s v="SA23.24"/>
    <x v="0"/>
    <d v="2024-08-11T00:00:00"/>
    <d v="2024-08-11T10:53:58"/>
    <s v="SHAIFA REMTULLA ref: Salary"/>
    <s v="Salary"/>
    <m/>
    <s v="SHAIFA REMTULLA"/>
    <m/>
    <n v="-2000"/>
    <n v="-2000"/>
    <m/>
    <s v="FasterPaymentOut"/>
    <s v="Cleared"/>
    <m/>
    <m/>
    <x v="4"/>
  </r>
  <r>
    <n v="1014"/>
    <s v="SA23.24"/>
    <x v="0"/>
    <d v="2024-08-11T00:00:00"/>
    <d v="2024-08-11T10:56:07"/>
    <s v="REMTULLA ref: loan repaymemt"/>
    <s v="loan repaymemt"/>
    <s v="REMTULLA"/>
    <m/>
    <n v="700"/>
    <m/>
    <n v="700"/>
    <s v="Income"/>
    <s v="FasterPaymentIn"/>
    <s v="Cleared"/>
    <m/>
    <m/>
    <x v="4"/>
  </r>
  <r>
    <n v="1015"/>
    <s v="SA23.24"/>
    <x v="0"/>
    <d v="2024-08-13T00:00:00"/>
    <d v="2024-08-13T13:26:56"/>
    <s v="TFL TRAVEL CH - VICTORIA STREET, TFL.GOV.UK/CP"/>
    <m/>
    <m/>
    <s v="TFL TRAVEL CH - VICTORIA STREET, TFL.GOV.UK/CP"/>
    <m/>
    <n v="-4.55"/>
    <n v="-4.55"/>
    <s v="Travel"/>
    <s v="CardPaymentOut"/>
    <s v="Cleared"/>
    <m/>
    <m/>
    <x v="0"/>
  </r>
  <r>
    <n v="1016"/>
    <s v="SA23.24"/>
    <x v="0"/>
    <d v="2024-08-14T00:00:00"/>
    <d v="2024-08-14T15:59:19"/>
    <s v="COSTA COFFEE 43011360 - 34 RATHBONE PLACE, LONDON"/>
    <m/>
    <m/>
    <s v="COSTA COFFEE 43011360 - 34 RATHBONE PLACE, LONDON"/>
    <m/>
    <n v="-4.7"/>
    <n v="-4.7"/>
    <s v="Meals"/>
    <s v="CardPaymentOut"/>
    <s v="Cleared"/>
    <m/>
    <m/>
    <x v="3"/>
  </r>
  <r>
    <n v="1017"/>
    <s v="SA23.24"/>
    <x v="0"/>
    <d v="2024-08-15T00:00:00"/>
    <d v="2024-08-15T13:25:19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018"/>
    <s v="SA23.24"/>
    <x v="0"/>
    <d v="2024-08-17T00:00:00"/>
    <d v="2024-08-17T08:44:20"/>
    <s v="M&amp;S SIMPLY FOOD - SSP - CREDIT CARDS DEPARTMENT, RICHMOND STN"/>
    <m/>
    <m/>
    <s v="M&amp;S SIMPLY FOOD - SSP - CREDIT CARDS DEPARTMENT, RICHMOND STN"/>
    <m/>
    <n v="-1.5"/>
    <n v="-1.5"/>
    <s v="Meals"/>
    <s v="CardPaymentOut"/>
    <s v="Cleared"/>
    <m/>
    <m/>
    <x v="3"/>
  </r>
  <r>
    <n v="1019"/>
    <s v="SA23.24"/>
    <x v="0"/>
    <d v="2024-08-17T00:00:00"/>
    <d v="2024-08-17T08:53:15"/>
    <s v="CAFFE NERO RICHMOND - 7-8 THE SQUARE, RICH, RICHMOND"/>
    <m/>
    <m/>
    <s v="CAFFE NERO RICHMOND - 7-8 THE SQUARE, RICH, RICHMOND"/>
    <m/>
    <n v="-3.7"/>
    <n v="-3.7"/>
    <s v="Meals"/>
    <s v="CardPaymentOut"/>
    <s v="Cleared"/>
    <m/>
    <m/>
    <x v="3"/>
  </r>
  <r>
    <n v="1020"/>
    <s v="SA23.24"/>
    <x v="0"/>
    <d v="2024-08-17T00:00:00"/>
    <d v="2024-08-17T13:20:44"/>
    <s v="RICHMOND LEON - 37 GEORGE ST, RICHMOND"/>
    <m/>
    <m/>
    <s v="RICHMOND LEON - 37 GEORGE ST, RICHMOND"/>
    <m/>
    <n v="-7.98"/>
    <n v="-7.98"/>
    <s v="Meals"/>
    <s v="CardPaymentOut"/>
    <s v="Cleared"/>
    <m/>
    <m/>
    <x v="3"/>
  </r>
  <r>
    <n v="1021"/>
    <s v="SA23.24"/>
    <x v="0"/>
    <d v="2024-08-18T00:00:00"/>
    <d v="2024-08-18T02:56:01"/>
    <s v="TFL TRAVEL CH - VICTORIA STREET, TFL.GOV.UK/CP"/>
    <m/>
    <m/>
    <s v="TFL TRAVEL CH - VICTORIA STREET, TFL.GOV.UK/CP"/>
    <m/>
    <n v="-9.65"/>
    <n v="-9.65"/>
    <s v="Travel"/>
    <s v="CardPaymentOut"/>
    <s v="Cleared"/>
    <m/>
    <m/>
    <x v="0"/>
  </r>
  <r>
    <n v="1022"/>
    <s v="SA23.24"/>
    <x v="0"/>
    <d v="2024-08-19T00:00:00"/>
    <d v="2024-08-19T08:38:04"/>
    <s v="SHAIFA REMTULLA ref: Payment"/>
    <s v="Payment"/>
    <m/>
    <s v="SHAIFA REMTULLA"/>
    <m/>
    <n v="-200"/>
    <n v="-200"/>
    <m/>
    <s v="FasterPaymentOut"/>
    <s v="Cleared"/>
    <m/>
    <m/>
    <x v="4"/>
  </r>
  <r>
    <n v="1023"/>
    <s v="SA23.24"/>
    <x v="0"/>
    <d v="2024-08-19T00:00:00"/>
    <d v="2024-08-19T19:39:00"/>
    <s v="Charge of 2.20 for Bank Transfers usage from 2024-07-01 to 2024-07-31"/>
    <s v="Charge of 2.20 for Bank Transfers usage from 2024-07-01 to 2024-07-31"/>
    <m/>
    <m/>
    <m/>
    <n v="-2.2000000000000002"/>
    <n v="-2.2000000000000002"/>
    <s v="Bank fees"/>
    <s v="Fee"/>
    <s v="Cleared"/>
    <m/>
    <m/>
    <x v="7"/>
  </r>
  <r>
    <n v="1024"/>
    <s v="SA23.24"/>
    <x v="0"/>
    <d v="2024-08-21T00:00:00"/>
    <d v="2024-08-21T12:51:19"/>
    <s v="Arro Coffee - 145 Oxford Street, London"/>
    <m/>
    <m/>
    <s v="Arro Coffee - 145 Oxford Street, London"/>
    <m/>
    <n v="-4.0999999999999996"/>
    <n v="-4.0999999999999996"/>
    <s v="Meals"/>
    <s v="CardPaymentOut"/>
    <s v="Cleared"/>
    <m/>
    <m/>
    <x v="3"/>
  </r>
  <r>
    <n v="1025"/>
    <s v="SA23.24"/>
    <x v="0"/>
    <d v="2024-08-21T00:00:00"/>
    <d v="2024-08-21T15:40:24"/>
    <s v="TESCO STORES 2377 - DEAN ST METRO, DEAN ST-METRO"/>
    <m/>
    <m/>
    <s v="TESCO STORES 2377 - DEAN ST METRO, DEAN ST-METRO"/>
    <m/>
    <n v="-3"/>
    <n v="-3"/>
    <s v="Meals"/>
    <s v="CardPaymentOut"/>
    <s v="Cleared"/>
    <m/>
    <m/>
    <x v="3"/>
  </r>
  <r>
    <n v="1026"/>
    <s v="SA23.24"/>
    <x v="0"/>
    <d v="2024-08-22T00:00:00"/>
    <d v="2024-08-22T10:06:43"/>
    <s v="CAFFE NERO ISLINGTON - 75 UPPER ST,, LONDON"/>
    <m/>
    <m/>
    <s v="CAFFE NERO ISLINGTON - 75 UPPER ST,, LONDON"/>
    <m/>
    <n v="-5.2"/>
    <n v="-5.2"/>
    <s v="Meals"/>
    <s v="CardPaymentOut"/>
    <s v="Cleared"/>
    <m/>
    <m/>
    <x v="3"/>
  </r>
  <r>
    <n v="1027"/>
    <s v="SA23.24"/>
    <x v="0"/>
    <d v="2024-08-22T00:00:00"/>
    <d v="2024-08-22T13:21:07"/>
    <s v="TFL TRAVEL CH - VICTORIA STREET, TFL.GOV.UK/CP"/>
    <m/>
    <m/>
    <s v="TFL TRAVEL CH - VICTORIA STREET, TFL.GOV.UK/CP"/>
    <m/>
    <n v="-6.2"/>
    <n v="-6.2"/>
    <s v="Travel"/>
    <s v="CardPaymentOut"/>
    <s v="Cleared"/>
    <m/>
    <m/>
    <x v="0"/>
  </r>
  <r>
    <n v="1028"/>
    <s v="SA23.24"/>
    <x v="0"/>
    <d v="2024-08-22T00:00:00"/>
    <d v="2024-08-22T13:52:34"/>
    <s v="KOD - 330 Upper Street, London"/>
    <m/>
    <m/>
    <s v="KOD - 330 Upper Street, London"/>
    <m/>
    <n v="-8"/>
    <n v="-8"/>
    <s v="Meals"/>
    <s v="CardPaymentOut"/>
    <s v="Cleared"/>
    <m/>
    <m/>
    <x v="3"/>
  </r>
  <r>
    <n v="1029"/>
    <s v="SA23.24"/>
    <x v="0"/>
    <d v="2024-08-23T00:00:00"/>
    <d v="2024-08-23T13:39:26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030"/>
    <s v="SA23.24"/>
    <x v="0"/>
    <d v="2024-08-23T00:00:00"/>
    <d v="2024-08-23T14:21:22"/>
    <s v="SHAIFA REMTULLA ref: Payment"/>
    <s v="Payment"/>
    <m/>
    <s v="SHAIFA REMTULLA"/>
    <m/>
    <n v="-300"/>
    <n v="-300"/>
    <m/>
    <s v="FasterPaymentOut"/>
    <s v="Cleared"/>
    <m/>
    <m/>
    <x v="4"/>
  </r>
  <r>
    <n v="1031"/>
    <s v="SA23.24"/>
    <x v="0"/>
    <d v="2024-08-23T00:00:00"/>
    <d v="2024-08-23T16:49:43"/>
    <s v="HOLLAND &amp; BARRETT - 39 LONG ACRE, LONG ACRE"/>
    <m/>
    <m/>
    <s v="HOLLAND &amp; BARRETT - 39 LONG ACRE, LONG ACRE"/>
    <m/>
    <n v="-2.5"/>
    <n v="-2.5"/>
    <s v="Meals"/>
    <s v="CardPaymentOut"/>
    <s v="Cleared"/>
    <m/>
    <m/>
    <x v="3"/>
  </r>
  <r>
    <n v="1032"/>
    <s v="SA23.24"/>
    <x v="0"/>
    <d v="2024-08-24T00:00:00"/>
    <d v="2024-08-24T02:49:53"/>
    <s v="TFL TRAVEL CH - VICTORIA STREET, TFL.GOV.UK/CP"/>
    <m/>
    <m/>
    <s v="TFL TRAVEL CH - VICTORIA STREET, TFL.GOV.UK/CP"/>
    <m/>
    <n v="-5.5"/>
    <n v="-5.5"/>
    <s v="Travel"/>
    <s v="CardPaymentOut"/>
    <s v="Cleared"/>
    <m/>
    <m/>
    <x v="0"/>
  </r>
  <r>
    <n v="1033"/>
    <s v="SA23.24"/>
    <x v="0"/>
    <d v="2024-08-24T00:00:00"/>
    <d v="2024-08-24T08:20:06"/>
    <s v="BOOTS LONDON - UNIT 7 FULHAM BROADWAY, LONDON"/>
    <m/>
    <m/>
    <s v="BOOTS LONDON - UNIT 7 FULHAM BROADWAY, LONDON"/>
    <m/>
    <n v="-2.4"/>
    <n v="-2.4"/>
    <s v="Meals"/>
    <s v="CardPaymentOut"/>
    <s v="Cleared"/>
    <s v="lunch"/>
    <m/>
    <x v="3"/>
  </r>
  <r>
    <n v="1034"/>
    <s v="SA23.24"/>
    <x v="0"/>
    <d v="2024-08-24T00:00:00"/>
    <d v="2024-08-24T08:40:46"/>
    <s v="Snax - Unit 1 Lower Concourse Wimbledon Underground St, London"/>
    <m/>
    <m/>
    <s v="Snax - Unit 1 Lower Concourse Wimbledon Underground St, London"/>
    <m/>
    <n v="-3.98"/>
    <n v="-3.98"/>
    <s v="Meals"/>
    <s v="CardPaymentOut"/>
    <s v="Cleared"/>
    <m/>
    <m/>
    <x v="3"/>
  </r>
  <r>
    <n v="1035"/>
    <s v="SA23.24"/>
    <x v="0"/>
    <d v="2024-08-24T00:00:00"/>
    <d v="2024-08-24T13:33:47"/>
    <s v="JOE THE JUICE - Wimbledon Bridge House Unit 2A, London"/>
    <m/>
    <m/>
    <s v="JOE THE JUICE - Wimbledon Bridge House Unit 2A, London"/>
    <m/>
    <n v="-7.8"/>
    <n v="-7.8"/>
    <s v="Meals"/>
    <s v="CardPaymentOut"/>
    <s v="Cleared"/>
    <m/>
    <m/>
    <x v="3"/>
  </r>
  <r>
    <n v="1036"/>
    <s v="SA23.24"/>
    <x v="0"/>
    <d v="2024-08-25T00:00:00"/>
    <d v="2024-08-25T13:12:12"/>
    <s v="TFL TRAVEL CH - VICTORIA STREET, TFL.GOV.UK/CP"/>
    <m/>
    <m/>
    <s v="TFL TRAVEL CH - VICTORIA STREET, TFL.GOV.UK/CP"/>
    <m/>
    <n v="-3.8"/>
    <n v="-3.8"/>
    <s v="Travel"/>
    <s v="CardPaymentOut"/>
    <s v="Cleared"/>
    <m/>
    <m/>
    <x v="0"/>
  </r>
  <r>
    <n v="1037"/>
    <s v="SA23.24"/>
    <x v="0"/>
    <d v="2024-08-27T00:00:00"/>
    <d v="2024-08-27T12:13:21"/>
    <s v="SAINSBURYS S/MKTS - 582 FULHAM ROAD, FULHAM DARLAN"/>
    <m/>
    <m/>
    <s v="SAINSBURYS S/MKTS - 582 FULHAM ROAD, FULHAM DARLAN"/>
    <m/>
    <n v="-4"/>
    <n v="-4"/>
    <s v="Meals"/>
    <s v="CardPaymentOut"/>
    <s v="Cleared"/>
    <m/>
    <m/>
    <x v="3"/>
  </r>
  <r>
    <n v="1038"/>
    <s v="SA23.24"/>
    <x v="0"/>
    <d v="2024-08-27T00:00:00"/>
    <d v="2024-08-27T13:15:05"/>
    <s v="TFL TRAVEL CH - VICTORIA STREET, TFL.GOV.UK/CP"/>
    <m/>
    <m/>
    <s v="TFL TRAVEL CH - VICTORIA STREET, TFL.GOV.UK/CP"/>
    <m/>
    <n v="-6"/>
    <n v="-6"/>
    <s v="Travel"/>
    <s v="CardPaymentOut"/>
    <s v="Cleared"/>
    <m/>
    <m/>
    <x v="0"/>
  </r>
  <r>
    <n v="1039"/>
    <s v="SA23.24"/>
    <x v="0"/>
    <d v="2024-08-27T00:00:00"/>
    <d v="2024-08-27T15:33:03"/>
    <s v="SHAIFA REMTULLA ref: Salary"/>
    <s v="Salary"/>
    <m/>
    <s v="SHAIFA REMTULLA"/>
    <m/>
    <n v="-3000"/>
    <n v="-3000"/>
    <m/>
    <s v="FasterPaymentOut"/>
    <s v="Cleared"/>
    <m/>
    <m/>
    <x v="4"/>
  </r>
  <r>
    <n v="1040"/>
    <s v="SA23.24"/>
    <x v="0"/>
    <d v="2024-08-27T00:00:00"/>
    <d v="2024-08-27T15:48:27"/>
    <s v="Arro Coffee - 145 Oxford Street, London"/>
    <m/>
    <m/>
    <s v="Arro Coffee - 145 Oxford Street, London"/>
    <m/>
    <n v="-3.8"/>
    <n v="-3.8"/>
    <s v="Meals"/>
    <s v="CardPaymentOut"/>
    <s v="Cleared"/>
    <m/>
    <m/>
    <x v="3"/>
  </r>
  <r>
    <n v="985"/>
    <s v="SA23.24"/>
    <x v="0"/>
    <d v="2024-07-28T00:00:00"/>
    <d v="2024-07-28T10:23:15"/>
    <s v="WH Smith Croydon East - Croydon East Station Shop, Croydon"/>
    <m/>
    <m/>
    <s v="WH Smith Croydon East - Croydon East Station Shop, Croydon"/>
    <m/>
    <n v="-6.27"/>
    <n v="-6.27"/>
    <s v="Office supplies"/>
    <s v="CardPaymentOut"/>
    <s v="Cleared"/>
    <m/>
    <m/>
    <x v="3"/>
  </r>
  <r>
    <n v="1042"/>
    <s v="SA23.24"/>
    <x v="0"/>
    <d v="2024-08-28T00:00:00"/>
    <d v="2024-08-28T02:56:44"/>
    <s v="TFL TRAVEL CH - VICTORIA STREET, TFL.GOV.UK/CP"/>
    <m/>
    <m/>
    <s v="TFL TRAVEL CH - VICTORIA STREET, TFL.GOV.UK/CP"/>
    <m/>
    <n v="-7.35"/>
    <n v="-7.35"/>
    <s v="Travel"/>
    <s v="CardPaymentOut"/>
    <s v="Cleared"/>
    <m/>
    <m/>
    <x v="0"/>
  </r>
  <r>
    <n v="1043"/>
    <s v="SA23.24"/>
    <x v="0"/>
    <d v="2024-08-28T00:00:00"/>
    <d v="2024-08-28T21:49:11"/>
    <s v="TIDE PLATFORM LTD ref: Charge for invoice assistance"/>
    <s v="Charge for invoice assistance"/>
    <m/>
    <s v="TIDE PLATFORM LTD"/>
    <m/>
    <n v="-0.92"/>
    <n v="-0.92"/>
    <m/>
    <s v="PaymentOut"/>
    <s v="Cleared"/>
    <m/>
    <m/>
    <x v="7"/>
  </r>
  <r>
    <n v="1044"/>
    <s v="SA23.24"/>
    <x v="0"/>
    <d v="2024-08-29T00:00:00"/>
    <d v="2024-08-29T09:03:02"/>
    <s v="WH Smith Wimbledon - Station Approach Wimbledon Station, London"/>
    <m/>
    <m/>
    <s v="WH Smith Wimbledon - Station Approach Wimbledon Station, London"/>
    <m/>
    <n v="-8.7799999999999994"/>
    <n v="-8.7799999999999994"/>
    <s v="Meals"/>
    <s v="CardPaymentOut"/>
    <s v="Cleared"/>
    <m/>
    <m/>
    <x v="3"/>
  </r>
  <r>
    <n v="1045"/>
    <s v="SA23.24"/>
    <x v="0"/>
    <d v="2024-08-30T00:00:00"/>
    <d v="2024-08-30T02:02:43"/>
    <s v="VISION EXPRESS UK  ref: RG50570001946124"/>
    <s v="RG50570001946124"/>
    <s v="VISION EXPRESS UK"/>
    <m/>
    <n v="400"/>
    <m/>
    <n v="400"/>
    <s v="Income"/>
    <s v="FasterPaymentIn"/>
    <s v="Cleared"/>
    <m/>
    <m/>
    <x v="1"/>
  </r>
  <r>
    <n v="1046"/>
    <s v="SA23.24"/>
    <x v="0"/>
    <d v="2024-08-30T00:00:00"/>
    <d v="2024-08-30T09:10:08"/>
    <s v="CAFFE NERO 337 VICTORI - VICTORIA CENTRAL, LONDON"/>
    <m/>
    <m/>
    <s v="CAFFE NERO 337 VICTORI - VICTORIA CENTRAL, LONDON"/>
    <m/>
    <n v="-4.2"/>
    <n v="-4.2"/>
    <s v="Meals"/>
    <s v="CardPaymentOut"/>
    <s v="Cleared"/>
    <m/>
    <m/>
    <x v="3"/>
  </r>
  <r>
    <n v="1047"/>
    <s v="SA23.24"/>
    <x v="0"/>
    <d v="2024-08-30T00:00:00"/>
    <d v="2024-08-30T10:11:13"/>
    <s v="MISP HOLDINGS LIMITED ref: INV-0021"/>
    <s v="INV-0021"/>
    <s v="MISP HOLDINGS LIMITED"/>
    <m/>
    <n v="225"/>
    <m/>
    <n v="225"/>
    <s v="Income"/>
    <s v="FasterPaymentIn"/>
    <s v="Cleared"/>
    <m/>
    <m/>
    <x v="1"/>
  </r>
  <r>
    <n v="1048"/>
    <s v="SA23.24"/>
    <x v="0"/>
    <d v="2024-08-30T00:00:00"/>
    <d v="2024-08-30T10:19:48"/>
    <s v="MISP HOLDINGS LIMITED ref: INV-0022"/>
    <s v="INV-0022"/>
    <s v="MISP HOLDINGS LIMITED"/>
    <m/>
    <n v="225"/>
    <m/>
    <n v="225"/>
    <s v="Income"/>
    <s v="FasterPaymentIn"/>
    <s v="Cleared"/>
    <m/>
    <m/>
    <x v="1"/>
  </r>
  <r>
    <n v="1049"/>
    <s v="SA23.24"/>
    <x v="0"/>
    <d v="2024-08-30T00:00:00"/>
    <d v="2024-08-30T13:20:30"/>
    <s v="TFL TRAVEL CH - VICTORIA STREET, TFL.GOV.UK/CP"/>
    <m/>
    <m/>
    <s v="TFL TRAVEL CH - VICTORIA STREET, TFL.GOV.UK/CP"/>
    <m/>
    <n v="-4.2"/>
    <n v="-4.2"/>
    <s v="Travel"/>
    <s v="CardPaymentOut"/>
    <s v="Cleared"/>
    <m/>
    <m/>
    <x v="0"/>
  </r>
  <r>
    <n v="1050"/>
    <s v="SA23.24"/>
    <x v="0"/>
    <d v="2024-08-31T00:00:00"/>
    <d v="2024-08-31T02:58:55"/>
    <s v="TFL TRAVEL CH - VICTORIA STREET, TFL.GOV.UK/CP"/>
    <m/>
    <m/>
    <s v="TFL TRAVEL CH - VICTORIA STREET, TFL.GOV.UK/CP"/>
    <m/>
    <n v="-14.6"/>
    <n v="-14.6"/>
    <s v="Travel"/>
    <s v="CardPaymentOut"/>
    <s v="Cleared"/>
    <m/>
    <m/>
    <x v="0"/>
  </r>
  <r>
    <n v="1051"/>
    <s v="SA23.24"/>
    <x v="0"/>
    <d v="2024-09-01T00:00:00"/>
    <d v="2024-09-01T18:49:31"/>
    <s v="SHAIFA REMTULLA ref: Salary"/>
    <s v="Salary"/>
    <m/>
    <s v="SHAIFA REMTULLA"/>
    <m/>
    <n v="-350"/>
    <n v="-350"/>
    <m/>
    <s v="FasterPaymentOut"/>
    <s v="Cleared"/>
    <m/>
    <m/>
    <x v="4"/>
  </r>
  <r>
    <n v="1052"/>
    <s v="SA23.24"/>
    <x v="0"/>
    <d v="2024-09-02T00:00:00"/>
    <d v="2024-09-02T04:28:51"/>
    <s v="EE LIMITED         ref: T15253570549135677"/>
    <s v="T15253570549135677"/>
    <m/>
    <s v="EE LIMITED"/>
    <m/>
    <n v="-66.599999999999994"/>
    <n v="-66.599999999999994"/>
    <s v="Phone and internet"/>
    <s v="DirectDebit"/>
    <s v="Cleared"/>
    <m/>
    <m/>
    <x v="2"/>
  </r>
  <r>
    <n v="1053"/>
    <s v="SA23.24"/>
    <x v="0"/>
    <d v="2024-09-02T00:00:00"/>
    <d v="2024-09-02T07:49:03"/>
    <s v="TFL TRAVEL CH - VICTORIA STREET, TFL.GOV.UK/CP"/>
    <m/>
    <m/>
    <s v="TFL TRAVEL CH - VICTORIA STREET, TFL.GOV.UK/CP"/>
    <m/>
    <n v="-4.45"/>
    <n v="-4.45"/>
    <s v="Travel"/>
    <s v="CardPaymentOut"/>
    <s v="Cleared"/>
    <m/>
    <m/>
    <x v="0"/>
  </r>
  <r>
    <n v="1054"/>
    <s v="SA23.24"/>
    <x v="0"/>
    <d v="2024-09-02T00:00:00"/>
    <d v="2024-09-02T09:12:17"/>
    <s v="MARKS&amp;SPENCER PLC - 70 FINSBURY PAVEMENT, FINSBURY"/>
    <m/>
    <m/>
    <s v="MARKS&amp;SPENCER PLC - 70 FINSBURY PAVEMENT, FINSBURY"/>
    <m/>
    <n v="-4.3499999999999996"/>
    <n v="-4.3499999999999996"/>
    <s v="Meals"/>
    <s v="CardPaymentOut"/>
    <s v="Cleared"/>
    <m/>
    <m/>
    <x v="3"/>
  </r>
  <r>
    <n v="882"/>
    <s v="SA23.24"/>
    <x v="0"/>
    <d v="2024-05-25T00:00:00"/>
    <d v="2024-05-25T09:02:13"/>
    <s v="APPLE.COM/BILL - Hollyhill Estate, APPLE.COM/BIL"/>
    <m/>
    <m/>
    <s v="APPLE.COM/BILL - Hollyhill Estate, APPLE.COM/BIL"/>
    <m/>
    <n v="-49.99"/>
    <n v="-49.99"/>
    <s v="Marketing"/>
    <s v="CardPaymentOut"/>
    <s v="Cleared"/>
    <m/>
    <m/>
    <x v="17"/>
  </r>
  <r>
    <n v="1056"/>
    <s v="SA23.24"/>
    <x v="0"/>
    <d v="2024-09-02T00:00:00"/>
    <d v="2024-09-02T22:27:38"/>
    <s v="UBR* PENDING.UBER.COM - Aldgate Tower First Floor, LONDON"/>
    <m/>
    <m/>
    <s v="UBR* PENDING.UBER.COM - Aldgate Tower First Floor, LONDON"/>
    <m/>
    <n v="-14.94"/>
    <n v="-14.94"/>
    <s v="Travel"/>
    <s v="CardPaymentOut"/>
    <s v="Cleared"/>
    <m/>
    <m/>
    <x v="0"/>
  </r>
  <r>
    <n v="1057"/>
    <s v="SA23.24"/>
    <x v="0"/>
    <d v="2024-09-02T00:00:00"/>
    <d v="2024-09-02T23:26:42"/>
    <s v="TESCO METRO 2610 - BROADWAY CENTRE, HAMMERSMITH"/>
    <m/>
    <m/>
    <s v="TESCO METRO 2610 - BROADWAY CENTRE, HAMMERSMITH"/>
    <m/>
    <n v="-4.45"/>
    <n v="-4.45"/>
    <s v="Meals"/>
    <s v="CardPaymentOut"/>
    <s v="Cleared"/>
    <m/>
    <m/>
    <x v="3"/>
  </r>
  <r>
    <n v="1058"/>
    <s v="SA23.24"/>
    <x v="0"/>
    <d v="2024-09-03T00:00:00"/>
    <d v="2024-09-03T09:12:51"/>
    <s v="SHAIFA REMTULLA ref: Salary"/>
    <s v="Salary"/>
    <m/>
    <s v="SHAIFA REMTULLA"/>
    <m/>
    <n v="-100"/>
    <n v="-100"/>
    <m/>
    <s v="FasterPaymentOut"/>
    <s v="Cleared"/>
    <m/>
    <m/>
    <x v="4"/>
  </r>
  <r>
    <n v="1059"/>
    <s v="SA23.24"/>
    <x v="0"/>
    <d v="2024-09-03T00:00:00"/>
    <d v="2024-09-03T13:19:27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060"/>
    <s v="SA23.24"/>
    <x v="0"/>
    <d v="2024-09-04T00:00:00"/>
    <d v="2024-09-04T01:08:00"/>
    <s v="TIDE PLATFORM LTD ref: Charge of 7.18 for Invoice Advanced usage from 2024-09-01 to 2024-09-30"/>
    <s v="Charge of 7.18 for Invoice Advanced usage from 2024-09-01 to 2024-09-30"/>
    <m/>
    <s v="TIDE PLATFORM LTD"/>
    <m/>
    <n v="-7.18"/>
    <n v="-7.18"/>
    <m/>
    <s v="PaymentOut"/>
    <s v="Cleared"/>
    <m/>
    <m/>
    <x v="7"/>
  </r>
  <r>
    <n v="1061"/>
    <s v="SA23.24"/>
    <x v="0"/>
    <d v="2024-09-04T00:00:00"/>
    <d v="2024-09-04T11:57:15"/>
    <s v="Zettle_*atis Eccleston - 1-2 Eccleston Yards, London"/>
    <m/>
    <m/>
    <s v="Zettle_*atis Eccleston - 1-2 Eccleston Yards, London"/>
    <m/>
    <n v="-16.7"/>
    <n v="-16.7"/>
    <s v="Meals"/>
    <s v="CardPaymentOut"/>
    <s v="Cleared"/>
    <m/>
    <m/>
    <x v="3"/>
  </r>
  <r>
    <n v="1062"/>
    <s v="SA23.24"/>
    <x v="0"/>
    <d v="2024-09-05T00:00:00"/>
    <d v="2024-09-05T03:35:52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893"/>
    <s v="SA23.24"/>
    <x v="0"/>
    <d v="2024-06-02T00:00:00"/>
    <d v="2024-06-02T17:29:57"/>
    <s v="APPLE.COM/BILL - Hollyhill Estate, APPLE.COM/BIL"/>
    <m/>
    <m/>
    <s v="APPLE.COM/BILL - Hollyhill Estate, APPLE.COM/BIL"/>
    <m/>
    <n v="-2.99"/>
    <n v="-2.99"/>
    <s v="Software and IT costs"/>
    <s v="CardPaymentOut"/>
    <s v="Cleared"/>
    <m/>
    <m/>
    <x v="17"/>
  </r>
  <r>
    <n v="1064"/>
    <s v="SA23.24"/>
    <x v="0"/>
    <d v="2024-09-05T00:00:00"/>
    <d v="2024-09-05T09:08:40"/>
    <s v="WH Smith Wimbledon - Station Approach Wimbledon Station, London"/>
    <m/>
    <m/>
    <s v="WH Smith Wimbledon - Station Approach Wimbledon Station, London"/>
    <m/>
    <n v="-6.08"/>
    <n v="-6.08"/>
    <s v="Meals"/>
    <s v="CardPaymentOut"/>
    <s v="Cleared"/>
    <m/>
    <m/>
    <x v="3"/>
  </r>
  <r>
    <n v="1065"/>
    <s v="SA23.24"/>
    <x v="0"/>
    <d v="2024-09-05T00:00:00"/>
    <d v="2024-09-05T13:49:01"/>
    <s v="REMTULLA ref: loan repaymemt"/>
    <s v="loan repaymemt"/>
    <s v="REMTULLA"/>
    <m/>
    <n v="100"/>
    <m/>
    <n v="100"/>
    <s v="Income"/>
    <s v="FasterPaymentIn"/>
    <s v="Cleared"/>
    <m/>
    <m/>
    <x v="4"/>
  </r>
  <r>
    <n v="1066"/>
    <s v="SA23.24"/>
    <x v="0"/>
    <d v="2024-09-06T00:00:00"/>
    <d v="2024-09-06T14:07:08"/>
    <s v="TFL TRAVEL CH - VICTORIA STREET, TFL.GOV.UK/CP"/>
    <m/>
    <m/>
    <s v="TFL TRAVEL CH - VICTORIA STREET, TFL.GOV.UK/CP"/>
    <m/>
    <n v="-10"/>
    <n v="-10"/>
    <s v="Travel"/>
    <s v="CardPaymentOut"/>
    <s v="Cleared"/>
    <m/>
    <m/>
    <x v="0"/>
  </r>
  <r>
    <n v="958"/>
    <s v="SA23.24"/>
    <x v="0"/>
    <d v="2024-07-02T00:00:00"/>
    <d v="2024-07-02T09:30:11"/>
    <s v="APPLE.COM/BILL - HOLLYHILL INDUSTRIAL ESTATE, CORK"/>
    <m/>
    <m/>
    <s v="APPLE.COM/BILL - HOLLYHILL INDUSTRIAL ESTATE, CORK"/>
    <m/>
    <n v="-2.99"/>
    <n v="-2.99"/>
    <s v="Personal expenses"/>
    <s v="CardPaymentOut"/>
    <s v="Cleared"/>
    <m/>
    <m/>
    <x v="17"/>
  </r>
  <r>
    <n v="1068"/>
    <s v="SA23.24"/>
    <x v="0"/>
    <d v="2024-09-09T00:00:00"/>
    <d v="2024-09-09T02:08:54"/>
    <s v="ABBEYFIELD VE LIMI ref: RG05570000785124"/>
    <s v="RG05570000785124"/>
    <s v="ABBEYFIELD VE LIMI"/>
    <m/>
    <n v="425"/>
    <m/>
    <n v="425"/>
    <s v="Income"/>
    <s v="FasterPaymentIn"/>
    <s v="Cleared"/>
    <m/>
    <m/>
    <x v="1"/>
  </r>
  <r>
    <n v="1069"/>
    <s v="SA23.24"/>
    <x v="0"/>
    <d v="2024-09-09T00:00:00"/>
    <d v="2024-09-09T10:29:32"/>
    <s v="SHAIFA REMTULLA ref: Salary"/>
    <s v="Salary"/>
    <m/>
    <s v="SHAIFA REMTULLA"/>
    <m/>
    <n v="-400"/>
    <n v="-400"/>
    <m/>
    <s v="FasterPaymentOut"/>
    <s v="Cleared"/>
    <m/>
    <m/>
    <x v="4"/>
  </r>
  <r>
    <n v="1070"/>
    <s v="SA23.24"/>
    <x v="0"/>
    <d v="2024-09-11T00:00:00"/>
    <d v="2024-09-11T11:59:30"/>
    <s v="SHAIFA REMTULLA ref: Salary"/>
    <s v="Salary"/>
    <m/>
    <s v="SHAIFA REMTULLA"/>
    <m/>
    <n v="-200"/>
    <n v="-200"/>
    <m/>
    <s v="FasterPaymentOut"/>
    <s v="Cleared"/>
    <m/>
    <m/>
    <x v="4"/>
  </r>
  <r>
    <n v="1071"/>
    <s v="SA23.24"/>
    <x v="0"/>
    <d v="2024-09-12T00:00:00"/>
    <d v="2024-09-12T17:37:37"/>
    <s v="ITSU 063 NEAL STREET - NEAL STREET, LONDON WC2H"/>
    <m/>
    <m/>
    <s v="ITSU 063 NEAL STREET - NEAL STREET, LONDON WC2H"/>
    <m/>
    <n v="-4.4800000000000004"/>
    <n v="-4.4800000000000004"/>
    <s v="Meals"/>
    <s v="CardPaymentOut"/>
    <s v="Cleared"/>
    <m/>
    <m/>
    <x v="3"/>
  </r>
  <r>
    <n v="1072"/>
    <s v="SA23.24"/>
    <x v="0"/>
    <d v="2024-09-13T00:00:00"/>
    <d v="2024-09-13T02:04:09"/>
    <s v="COSTCO             ref: 1974088"/>
    <n v="1974088"/>
    <s v="COSTCO"/>
    <m/>
    <n v="750"/>
    <m/>
    <n v="750"/>
    <s v="Income"/>
    <s v="FasterPaymentIn"/>
    <s v="Cleared"/>
    <m/>
    <m/>
    <x v="1"/>
  </r>
  <r>
    <n v="1073"/>
    <s v="SA23.24"/>
    <x v="0"/>
    <d v="2024-09-13T00:00:00"/>
    <d v="2024-09-13T02:05:07"/>
    <s v="ABBEYFIELD VE LIMI ref: RG05570000812624"/>
    <s v="RG05570000812624"/>
    <s v="ABBEYFIELD VE LIMI"/>
    <m/>
    <n v="325"/>
    <m/>
    <n v="325"/>
    <s v="Income"/>
    <s v="FasterPaymentIn"/>
    <s v="Cleared"/>
    <m/>
    <m/>
    <x v="1"/>
  </r>
  <r>
    <n v="1074"/>
    <s v="SA23.24"/>
    <x v="0"/>
    <d v="2024-09-13T00:00:00"/>
    <d v="2024-09-13T04:21:21"/>
    <s v="TFL TRAVEL CH - VICTORIA STREET, TFL.GOV.UK/CP"/>
    <m/>
    <m/>
    <s v="TFL TRAVEL CH - VICTORIA STREET, TFL.GOV.UK/CP"/>
    <m/>
    <n v="-7.95"/>
    <n v="-7.95"/>
    <s v="Travel"/>
    <s v="CardPaymentOut"/>
    <s v="Cleared"/>
    <m/>
    <m/>
    <x v="0"/>
  </r>
  <r>
    <n v="1075"/>
    <s v="SA23.24"/>
    <x v="0"/>
    <d v="2024-09-13T00:00:00"/>
    <d v="2024-09-13T11:07:49"/>
    <s v="REMTULLA ref: loan repaymemt"/>
    <s v="loan repaymemt"/>
    <s v="REMTULLA"/>
    <m/>
    <n v="2500"/>
    <m/>
    <n v="2500"/>
    <s v="Income"/>
    <s v="FasterPaymentIn"/>
    <s v="Cleared"/>
    <m/>
    <m/>
    <x v="4"/>
  </r>
  <r>
    <n v="1076"/>
    <s v="SA23.24"/>
    <x v="0"/>
    <d v="2024-09-14T00:00:00"/>
    <d v="2024-09-14T08:40:14"/>
    <s v="CAFFE NERO 292 WIMBLED - 6 THE BROADWAY, LONDON"/>
    <m/>
    <m/>
    <s v="CAFFE NERO 292 WIMBLED - 6 THE BROADWAY, LONDON"/>
    <m/>
    <n v="-4.2"/>
    <n v="-4.2"/>
    <s v="Meals"/>
    <s v="CardPaymentOut"/>
    <s v="Cleared"/>
    <m/>
    <m/>
    <x v="3"/>
  </r>
  <r>
    <n v="1077"/>
    <s v="SA23.24"/>
    <x v="0"/>
    <d v="2024-09-15T00:00:00"/>
    <d v="2024-09-15T12:12:10"/>
    <s v="TFL TRAVEL CH - VICTORIA STREET, TFL.GOV.UK/CP"/>
    <m/>
    <m/>
    <s v="TFL TRAVEL CH - VICTORIA STREET, TFL.GOV.UK/CP"/>
    <m/>
    <n v="-3.8"/>
    <n v="-3.8"/>
    <s v="Travel"/>
    <s v="CardPaymentOut"/>
    <s v="Cleared"/>
    <m/>
    <m/>
    <x v="0"/>
  </r>
  <r>
    <n v="1078"/>
    <s v="SA23.24"/>
    <x v="0"/>
    <d v="2024-09-17T00:00:00"/>
    <d v="2024-09-17T10:14:21"/>
    <s v="Charge of 3.00 for Bank Transfers usage from 2024-08-01 to 2024-08-31"/>
    <s v="Charge of 3.00 for Bank Transfers usage from 2024-08-01 to 2024-08-31"/>
    <m/>
    <m/>
    <m/>
    <n v="-3"/>
    <n v="-3"/>
    <s v="Bank fees"/>
    <s v="Fee"/>
    <s v="Cleared"/>
    <m/>
    <m/>
    <x v="7"/>
  </r>
  <r>
    <n v="1079"/>
    <s v="SA23.24"/>
    <x v="0"/>
    <d v="2024-09-17T00:00:00"/>
    <d v="2024-09-17T13:25:24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080"/>
    <s v="SA23.24"/>
    <x v="0"/>
    <d v="2024-09-17T00:00:00"/>
    <d v="2024-09-17T23:04:26"/>
    <s v="Charge of 1.00 for Bank Transfers usage from 2024-06-01 to 2024-06-30"/>
    <s v="Charge of 1.00 for Bank Transfers usage from 2024-06-01 to 2024-06-30"/>
    <m/>
    <m/>
    <m/>
    <n v="-1"/>
    <n v="-1"/>
    <s v="Bank fees"/>
    <s v="Fee"/>
    <s v="Cleared"/>
    <m/>
    <m/>
    <x v="7"/>
  </r>
  <r>
    <n v="1081"/>
    <s v="SA23.24"/>
    <x v="0"/>
    <d v="2024-09-17T00:00:00"/>
    <d v="2024-09-17T23:05:22"/>
    <s v="Charge of 0.40 for Bank Transfers usage from 2024-05-01 to 2024-05-31"/>
    <s v="Charge of 0.40 for Bank Transfers usage from 2024-05-01 to 2024-05-31"/>
    <m/>
    <m/>
    <m/>
    <n v="-0.4"/>
    <n v="-0.4"/>
    <s v="Bank fees"/>
    <s v="Fee"/>
    <s v="Cleared"/>
    <m/>
    <m/>
    <x v="7"/>
  </r>
  <r>
    <n v="1082"/>
    <s v="SA23.24"/>
    <x v="0"/>
    <d v="2024-09-18T00:00:00"/>
    <d v="2024-09-18T06:49:02"/>
    <s v="SHAIFA REMTULLA ref: Salary"/>
    <s v="Salary"/>
    <m/>
    <s v="SHAIFA REMTULLA"/>
    <m/>
    <n v="-425"/>
    <n v="-425"/>
    <m/>
    <s v="FasterPaymentOut"/>
    <s v="Cleared"/>
    <m/>
    <m/>
    <x v="4"/>
  </r>
  <r>
    <n v="1083"/>
    <s v="SA23.24"/>
    <x v="0"/>
    <d v="2024-09-19T00:00:00"/>
    <d v="2024-09-19T04:48:15"/>
    <s v="TFL TRAVEL CH - VICTORIA STREET, TFL.GOV.UK/CP"/>
    <m/>
    <m/>
    <s v="TFL TRAVEL CH - VICTORIA STREET, TFL.GOV.UK/CP"/>
    <m/>
    <n v="-14.45"/>
    <n v="-14.45"/>
    <s v="Travel"/>
    <s v="CardPaymentOut"/>
    <s v="Cleared"/>
    <m/>
    <m/>
    <x v="0"/>
  </r>
  <r>
    <n v="1084"/>
    <s v="SA23.24"/>
    <x v="0"/>
    <d v="2024-09-23T00:00:00"/>
    <d v="2024-09-23T13:04:48"/>
    <s v="CAFFE NERO HOUNSLOW - 231 HIGH ST, HOUNSLOW"/>
    <m/>
    <m/>
    <s v="CAFFE NERO HOUNSLOW - 231 HIGH ST, HOUNSLOW"/>
    <m/>
    <n v="-4.05"/>
    <n v="-4.05"/>
    <s v="Meals"/>
    <s v="CardPaymentOut"/>
    <s v="Cleared"/>
    <m/>
    <m/>
    <x v="3"/>
  </r>
  <r>
    <n v="1085"/>
    <s v="SA23.24"/>
    <x v="0"/>
    <d v="2024-09-24T00:00:00"/>
    <d v="2024-09-24T09:51:59"/>
    <s v="OLE AND STEEN  GREENWI - UNIT SU7  6 CRESCENT, LONDON"/>
    <m/>
    <m/>
    <s v="OLE AND STEEN  GREENWI - UNIT SU7  6 CRESCENT, LONDON"/>
    <m/>
    <n v="-3.85"/>
    <n v="-3.85"/>
    <s v="Meals"/>
    <s v="CardPaymentOut"/>
    <s v="Cleared"/>
    <m/>
    <m/>
    <x v="3"/>
  </r>
  <r>
    <n v="1086"/>
    <s v="SA23.24"/>
    <x v="0"/>
    <d v="2024-09-24T00:00:00"/>
    <d v="2024-09-24T13:15:12"/>
    <s v="TFL TRAVEL CH - VICTORIA STREET, TFL.GOV.UK/CP"/>
    <m/>
    <m/>
    <s v="TFL TRAVEL CH - VICTORIA STREET, TFL.GOV.UK/CP"/>
    <m/>
    <n v="-9.1"/>
    <n v="-9.1"/>
    <s v="Travel"/>
    <s v="CardPaymentOut"/>
    <s v="Cleared"/>
    <m/>
    <m/>
    <x v="0"/>
  </r>
  <r>
    <n v="1087"/>
    <s v="SA23.24"/>
    <x v="0"/>
    <d v="2024-09-24T00:00:00"/>
    <d v="2024-09-24T13:55:47"/>
    <s v="OLE AND STEEN  GREENWI - UNIT SU7  6 CRESCENT, LONDON"/>
    <m/>
    <m/>
    <s v="OLE AND STEEN  GREENWI - UNIT SU7  6 CRESCENT, LONDON"/>
    <m/>
    <n v="-3.15"/>
    <n v="-3.15"/>
    <s v="Meals"/>
    <s v="CardPaymentOut"/>
    <s v="Cleared"/>
    <m/>
    <m/>
    <x v="3"/>
  </r>
  <r>
    <n v="1088"/>
    <s v="SA23.24"/>
    <x v="0"/>
    <d v="2024-09-25T00:00:00"/>
    <d v="2024-09-25T03:31:08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089"/>
    <s v="SA23.24"/>
    <x v="0"/>
    <d v="2024-09-25T00:00:00"/>
    <d v="2024-09-25T09:20:30"/>
    <s v="Arro Coffee - 145 Oxford Street, London"/>
    <m/>
    <m/>
    <s v="Arro Coffee - 145 Oxford Street, London"/>
    <m/>
    <n v="-4.3"/>
    <n v="-4.3"/>
    <s v="Meals"/>
    <s v="CardPaymentOut"/>
    <s v="Cleared"/>
    <m/>
    <m/>
    <x v="3"/>
  </r>
  <r>
    <n v="1090"/>
    <s v="SA23.24"/>
    <x v="0"/>
    <d v="2024-09-26T00:00:00"/>
    <d v="2024-09-26T12:58:07"/>
    <s v="TFL TRAVEL CH - VICTORIA STREET, TFL.GOV.UK/CP"/>
    <m/>
    <m/>
    <s v="TFL TRAVEL CH - VICTORIA STREET, TFL.GOV.UK/CP"/>
    <m/>
    <n v="-7.35"/>
    <n v="-7.35"/>
    <s v="Travel"/>
    <s v="CardPaymentOut"/>
    <s v="Cleared"/>
    <m/>
    <m/>
    <x v="0"/>
  </r>
  <r>
    <n v="1091"/>
    <s v="SA23.24"/>
    <x v="0"/>
    <d v="2024-09-26T00:00:00"/>
    <d v="2024-09-26T13:49:01"/>
    <s v="SHAIFA REMTULLA ref: Salary"/>
    <s v="Salary"/>
    <m/>
    <s v="SHAIFA REMTULLA"/>
    <m/>
    <n v="-3500"/>
    <n v="-3500"/>
    <m/>
    <s v="FasterPaymentOut"/>
    <s v="Cleared"/>
    <m/>
    <m/>
    <x v="4"/>
  </r>
  <r>
    <n v="1092"/>
    <s v="SA23.24"/>
    <x v="0"/>
    <d v="2024-09-27T00:00:00"/>
    <d v="2024-09-27T09:57:52"/>
    <s v="OLE AND STEEN  GREENWI - UNIT SU7  6 CRESCENT, LONDON"/>
    <m/>
    <m/>
    <s v="OLE AND STEEN  GREENWI - UNIT SU7  6 CRESCENT, LONDON"/>
    <m/>
    <n v="-3.45"/>
    <n v="-3.45"/>
    <s v="Meals"/>
    <s v="CardPaymentOut"/>
    <s v="Cleared"/>
    <m/>
    <m/>
    <x v="3"/>
  </r>
  <r>
    <n v="1093"/>
    <s v="SA23.24"/>
    <x v="0"/>
    <d v="2024-09-27T00:00:00"/>
    <d v="2024-09-27T11:09:39"/>
    <s v="MISP HOLDINGS LIMITED ref: INV-0025"/>
    <s v="INV-0025"/>
    <s v="MISP HOLDINGS LIMITED"/>
    <m/>
    <n v="225"/>
    <m/>
    <n v="225"/>
    <s v="Income"/>
    <s v="FasterPaymentIn"/>
    <s v="Cleared"/>
    <m/>
    <m/>
    <x v="1"/>
  </r>
  <r>
    <n v="1094"/>
    <s v="SA23.24"/>
    <x v="0"/>
    <d v="2024-09-27T00:00:00"/>
    <d v="2024-09-27T13:58:31"/>
    <s v="OLE AND STEEN  GREENWI - UNIT SU7  6 CRESCENT, LONDON"/>
    <m/>
    <m/>
    <s v="OLE AND STEEN  GREENWI - UNIT SU7  6 CRESCENT, LONDON"/>
    <m/>
    <n v="-3.15"/>
    <n v="-3.15"/>
    <s v="Meals"/>
    <s v="CardPaymentOut"/>
    <s v="Cleared"/>
    <m/>
    <m/>
    <x v="3"/>
  </r>
  <r>
    <n v="1095"/>
    <s v="SA23.24"/>
    <x v="0"/>
    <d v="2024-09-28T00:00:00"/>
    <d v="2024-09-28T03:29:46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096"/>
    <s v="SA23.24"/>
    <x v="0"/>
    <d v="2024-09-28T00:00:00"/>
    <d v="2024-09-28T09:35:14"/>
    <s v="TESCO STORES 4911 - CUTTY SARK EXPRESS, GREENWICH"/>
    <m/>
    <m/>
    <s v="TESCO STORES 4911 - CUTTY SARK EXPRESS, GREENWICH"/>
    <m/>
    <n v="-3.1"/>
    <n v="-3.1"/>
    <s v="Meals"/>
    <s v="CardPaymentOut"/>
    <s v="Cleared"/>
    <m/>
    <m/>
    <x v="3"/>
  </r>
  <r>
    <n v="1097"/>
    <s v="SA23.24"/>
    <x v="0"/>
    <d v="2024-09-28T00:00:00"/>
    <d v="2024-09-28T09:40:10"/>
    <s v="OLE AND STEEN  GREENWI - UNIT SU7  6 CRESCENT, LONDON"/>
    <m/>
    <m/>
    <s v="OLE AND STEEN  GREENWI - UNIT SU7  6 CRESCENT, LONDON"/>
    <m/>
    <n v="-3.15"/>
    <n v="-3.15"/>
    <s v="Meals"/>
    <s v="CardPaymentOut"/>
    <s v="Cleared"/>
    <m/>
    <m/>
    <x v="3"/>
  </r>
  <r>
    <n v="1098"/>
    <s v="SA23.24"/>
    <x v="0"/>
    <d v="2024-09-29T00:00:00"/>
    <d v="2024-09-29T13:38:57"/>
    <s v="TFL TRAVEL CH - VICTORIA STREET, TFL.GOV.UK/CP"/>
    <m/>
    <m/>
    <s v="TFL TRAVEL CH - VICTORIA STREET, TFL.GOV.UK/CP"/>
    <m/>
    <n v="-8.4"/>
    <n v="-8.4"/>
    <s v="Travel"/>
    <s v="CardPaymentOut"/>
    <s v="Cleared"/>
    <m/>
    <m/>
    <x v="0"/>
  </r>
  <r>
    <n v="1099"/>
    <s v="SA23.24"/>
    <x v="0"/>
    <d v="2024-09-30T00:00:00"/>
    <d v="2024-09-30T02:08:25"/>
    <s v="ABBEYFIELD VE LIMI ref: RG05570000881924"/>
    <s v="RG05570000881924"/>
    <s v="ABBEYFIELD VE LIMI"/>
    <m/>
    <n v="400"/>
    <m/>
    <n v="400"/>
    <s v="Income"/>
    <s v="FasterPaymentIn"/>
    <s v="Cleared"/>
    <m/>
    <m/>
    <x v="1"/>
  </r>
  <r>
    <n v="960"/>
    <s v="SA23.24"/>
    <x v="0"/>
    <d v="2024-07-05T00:00:00"/>
    <d v="2024-07-05T16:13:18"/>
    <s v="APPLE.COM/BILL - Hollyhill Estate, APPLE.COM/BIL"/>
    <m/>
    <m/>
    <s v="APPLE.COM/BILL - Hollyhill Estate, APPLE.COM/BIL"/>
    <m/>
    <n v="-9.99"/>
    <n v="-9.99"/>
    <s v="Software and IT costs"/>
    <s v="CardPaymentOut"/>
    <s v="Cleared"/>
    <m/>
    <m/>
    <x v="17"/>
  </r>
  <r>
    <n v="1101"/>
    <s v="SA23.24"/>
    <x v="0"/>
    <d v="2024-10-02T00:00:00"/>
    <d v="2024-10-02T04:25:36"/>
    <s v="EE LIMITED         ref: T15253570557431172"/>
    <s v="T15253570557431172"/>
    <m/>
    <s v="EE LIMITED"/>
    <m/>
    <n v="-88.47"/>
    <n v="-88.47"/>
    <s v="Phone and internet"/>
    <s v="DirectDebit"/>
    <s v="Cleared"/>
    <m/>
    <m/>
    <x v="2"/>
  </r>
  <r>
    <n v="994"/>
    <s v="SA23.24"/>
    <x v="0"/>
    <d v="2024-07-31T00:00:00"/>
    <d v="2024-07-31T14:03:31"/>
    <s v="Karen Louis ref: Equipment"/>
    <s v="Equipment"/>
    <m/>
    <s v="Karen Louis"/>
    <m/>
    <n v="-20"/>
    <n v="-20"/>
    <s v="Operational equipment"/>
    <s v="FasterPaymentOut"/>
    <s v="Cleared"/>
    <m/>
    <m/>
    <x v="18"/>
  </r>
  <r>
    <n v="1103"/>
    <s v="SA23.24"/>
    <x v="0"/>
    <d v="2024-10-04T00:00:00"/>
    <d v="2024-10-04T09:11:44"/>
    <s v="TIDE PLATFORM LTD ref: Charge of 7.18 for Invoice Advanced usage from 2024-10-01 to 2024-10-31"/>
    <s v="Charge of 7.18 for Invoice Advanced usage from 2024-10-01 to 2024-10-31"/>
    <m/>
    <s v="TIDE PLATFORM LTD"/>
    <m/>
    <n v="-7.18"/>
    <n v="-7.18"/>
    <m/>
    <s v="PaymentOut"/>
    <s v="Cleared"/>
    <m/>
    <m/>
    <x v="7"/>
  </r>
  <r>
    <n v="1104"/>
    <s v="SA23.24"/>
    <x v="0"/>
    <d v="2024-10-04T00:00:00"/>
    <d v="2024-10-04T09:40:39"/>
    <s v="BOOTS 1626 - 302 REGENT STREET, LONDON"/>
    <m/>
    <m/>
    <s v="BOOTS 1626 - 302 REGENT STREET, LONDON"/>
    <m/>
    <n v="-3.59"/>
    <n v="-3.59"/>
    <s v="Other expenses"/>
    <s v="CardPaymentOut"/>
    <s v="Cleared"/>
    <m/>
    <m/>
    <x v="3"/>
  </r>
  <r>
    <n v="1105"/>
    <s v="SA23.24"/>
    <x v="0"/>
    <d v="2024-10-04T00:00:00"/>
    <d v="2024-10-04T09:43:40"/>
    <s v="CAFFE NERO REGENT ST - 273 REGENT STREET, LONDON"/>
    <m/>
    <m/>
    <s v="CAFFE NERO REGENT ST - 273 REGENT STREET, LONDON"/>
    <m/>
    <n v="-4.5"/>
    <n v="-4.5"/>
    <s v="Meals"/>
    <s v="CardPaymentOut"/>
    <s v="Cleared"/>
    <m/>
    <m/>
    <x v="3"/>
  </r>
  <r>
    <n v="1106"/>
    <s v="SA23.24"/>
    <x v="0"/>
    <d v="2024-10-05T00:00:00"/>
    <d v="2024-10-05T03:31:20"/>
    <s v="TFL TRAVEL CH - VICTORIA STREET, TFL.GOV.UK/CP"/>
    <m/>
    <m/>
    <s v="TFL TRAVEL CH - VICTORIA STREET, TFL.GOV.UK/CP"/>
    <m/>
    <n v="-7.95"/>
    <n v="-7.95"/>
    <s v="Travel"/>
    <s v="CardPaymentOut"/>
    <s v="Cleared"/>
    <m/>
    <m/>
    <x v="0"/>
  </r>
  <r>
    <n v="1107"/>
    <s v="SA23.24"/>
    <x v="0"/>
    <d v="2024-10-05T00:00:00"/>
    <d v="2024-10-05T18:01:56"/>
    <s v="UBR* PENDING.UBER.COM - Aldgate Tower First Floor, LONDON"/>
    <m/>
    <m/>
    <s v="UBR* PENDING.UBER.COM - Aldgate Tower First Floor, LONDON"/>
    <m/>
    <n v="-12.93"/>
    <n v="-12.93"/>
    <s v="Travel"/>
    <s v="CardPaymentOut"/>
    <s v="Cleared"/>
    <m/>
    <m/>
    <x v="0"/>
  </r>
  <r>
    <n v="1108"/>
    <s v="SA23.24"/>
    <x v="0"/>
    <d v="2024-10-06T00:00:00"/>
    <d v="2024-10-06T17:10:25"/>
    <s v="TFL TRAVEL CH - VICTORIA STREET, TFL.GOV.UK/CP"/>
    <m/>
    <m/>
    <s v="TFL TRAVEL CH - VICTORIA STREET, TFL.GOV.UK/CP"/>
    <m/>
    <n v="-8.75"/>
    <n v="-8.75"/>
    <s v="Travel"/>
    <s v="CardPaymentOut"/>
    <s v="Cleared"/>
    <m/>
    <m/>
    <x v="0"/>
  </r>
  <r>
    <n v="1109"/>
    <s v="SA23.24"/>
    <x v="0"/>
    <d v="2024-10-07T00:00:00"/>
    <d v="2024-10-07T08:42:13"/>
    <s v="CAFFE NERO 337 VICTORI - VICTORIA CENTRAL, LONDON"/>
    <m/>
    <m/>
    <s v="CAFFE NERO 337 VICTORI - VICTORIA CENTRAL, LONDON"/>
    <m/>
    <n v="-4.5"/>
    <n v="-4.5"/>
    <s v="Meals"/>
    <s v="CardPaymentOut"/>
    <s v="Cleared"/>
    <m/>
    <m/>
    <x v="3"/>
  </r>
  <r>
    <n v="1110"/>
    <s v="SA23.24"/>
    <x v="0"/>
    <d v="2024-10-08T00:00:00"/>
    <d v="2024-10-08T02:03:21"/>
    <s v="ABBEYFIELD VE LIMI ref: RG05570000908324"/>
    <s v="RG05570000908324"/>
    <s v="ABBEYFIELD VE LIMI"/>
    <m/>
    <n v="325"/>
    <m/>
    <n v="325"/>
    <s v="Income"/>
    <s v="FasterPaymentIn"/>
    <s v="Cleared"/>
    <m/>
    <m/>
    <x v="1"/>
  </r>
  <r>
    <n v="1111"/>
    <s v="SA23.24"/>
    <x v="0"/>
    <d v="2024-10-08T00:00:00"/>
    <d v="2024-10-08T03:05:53"/>
    <s v="TFL TRAVEL CH - VICTORIA STREET, TFL.GOV.UK/CP"/>
    <m/>
    <m/>
    <s v="TFL TRAVEL CH - VICTORIA STREET, TFL.GOV.UK/CP"/>
    <m/>
    <n v="-13.4"/>
    <n v="-13.4"/>
    <s v="Travel"/>
    <s v="CardPaymentOut"/>
    <s v="Cleared"/>
    <m/>
    <m/>
    <x v="0"/>
  </r>
  <r>
    <n v="1112"/>
    <s v="SA23.24"/>
    <x v="0"/>
    <d v="2024-10-09T00:00:00"/>
    <d v="2024-10-09T15:05:05"/>
    <s v="SHAIFA REMTULLA ref: Salary"/>
    <s v="Salary"/>
    <m/>
    <s v="SHAIFA REMTULLA"/>
    <m/>
    <n v="-100"/>
    <n v="-100"/>
    <m/>
    <s v="FasterPaymentOut"/>
    <s v="Cleared"/>
    <m/>
    <m/>
    <x v="4"/>
  </r>
  <r>
    <n v="1113"/>
    <s v="SA23.24"/>
    <x v="0"/>
    <d v="2024-10-10T00:00:00"/>
    <d v="2024-10-10T17:23:58"/>
    <s v="REMTULLA ref: loan repaymemt"/>
    <s v="loan repaymemt"/>
    <s v="REMTULLA"/>
    <m/>
    <n v="1000"/>
    <m/>
    <n v="1000"/>
    <s v="Income"/>
    <s v="FasterPaymentIn"/>
    <s v="Cleared"/>
    <m/>
    <m/>
    <x v="4"/>
  </r>
  <r>
    <n v="1114"/>
    <s v="SA23.24"/>
    <x v="0"/>
    <d v="2024-10-11T00:00:00"/>
    <d v="2024-10-11T09:54:26"/>
    <s v="Arro Coffee - 145 Oxford Street, London"/>
    <m/>
    <m/>
    <s v="Arro Coffee - 145 Oxford Street, London"/>
    <m/>
    <n v="-3.8"/>
    <n v="-3.8"/>
    <s v="Meals"/>
    <s v="CardPaymentOut"/>
    <s v="Cleared"/>
    <m/>
    <m/>
    <x v="3"/>
  </r>
  <r>
    <n v="1115"/>
    <s v="SA23.24"/>
    <x v="0"/>
    <d v="2024-10-11T00:00:00"/>
    <d v="2024-10-11T10:19:56"/>
    <s v="FISHEYE O LTD SW ref: FISHEYE OPTICIANS"/>
    <s v="FISHEYE OPTICIANS"/>
    <s v="FISHEYE O LTD SW"/>
    <m/>
    <n v="325"/>
    <m/>
    <n v="325"/>
    <s v="Income"/>
    <s v="FasterPaymentIn"/>
    <s v="Cleared"/>
    <m/>
    <m/>
    <x v="1"/>
  </r>
  <r>
    <n v="1116"/>
    <s v="SA23.24"/>
    <x v="0"/>
    <d v="2024-10-11T00:00:00"/>
    <d v="2024-10-11T14:35:41"/>
    <s v="HOLLAND &amp; BARRETT - 52 OXFORD STREET, OXFORD STREET"/>
    <m/>
    <m/>
    <s v="HOLLAND &amp; BARRETT - 52 OXFORD STREET, OXFORD STREET"/>
    <m/>
    <n v="-7.98"/>
    <n v="-7.98"/>
    <s v="Meals"/>
    <s v="CardPaymentOut"/>
    <s v="Cleared"/>
    <m/>
    <m/>
    <x v="3"/>
  </r>
  <r>
    <n v="1117"/>
    <s v="SA23.24"/>
    <x v="0"/>
    <d v="2024-10-12T00:00:00"/>
    <d v="2024-10-12T09:16:07"/>
    <s v="UBR* PENDING.UBER.COM - Aldgate Tower First Floor, LONDON"/>
    <m/>
    <m/>
    <s v="UBR* PENDING.UBER.COM - Aldgate Tower First Floor, LONDON"/>
    <m/>
    <n v="-14.42"/>
    <n v="-14.42"/>
    <s v="Travel"/>
    <s v="CardPaymentOut"/>
    <s v="Cleared"/>
    <m/>
    <m/>
    <x v="0"/>
  </r>
  <r>
    <n v="1118"/>
    <s v="SA23.24"/>
    <x v="0"/>
    <d v="2024-10-12T00:00:00"/>
    <d v="2024-10-12T12:47:55"/>
    <s v="TFL TRAVEL CH - VICTORIA STREET, TFL.GOV.UK/CP"/>
    <m/>
    <m/>
    <s v="TFL TRAVEL CH - VICTORIA STREET, TFL.GOV.UK/CP"/>
    <m/>
    <n v="-6.8"/>
    <n v="-6.8"/>
    <s v="Travel"/>
    <s v="CardPaymentOut"/>
    <s v="Cleared"/>
    <m/>
    <m/>
    <x v="0"/>
  </r>
  <r>
    <n v="1119"/>
    <s v="SA23.24"/>
    <x v="0"/>
    <d v="2024-10-12T00:00:00"/>
    <d v="2024-10-12T14:03:08"/>
    <s v="COSTA COFFEE 43010810 - COLLONADES LEISURE PARK, CROYDON"/>
    <m/>
    <m/>
    <s v="COSTA COFFEE 43010810 - COLLONADES LEISURE PARK, CROYDON"/>
    <m/>
    <n v="-4.4000000000000004"/>
    <n v="-4.4000000000000004"/>
    <s v="Meals"/>
    <s v="CardPaymentOut"/>
    <s v="Cleared"/>
    <m/>
    <m/>
    <x v="3"/>
  </r>
  <r>
    <n v="1120"/>
    <s v="SA23.24"/>
    <x v="0"/>
    <d v="2024-10-13T00:00:00"/>
    <d v="2024-10-13T03:03:45"/>
    <s v="TFL TRAVEL CH - VICTORIA STREET, TFL.GOV.UK/CP"/>
    <m/>
    <m/>
    <s v="TFL TRAVEL CH - VICTORIA STREET, TFL.GOV.UK/CP"/>
    <m/>
    <n v="-10.199999999999999"/>
    <n v="-10.199999999999999"/>
    <s v="Travel"/>
    <s v="CardPaymentOut"/>
    <s v="Cleared"/>
    <m/>
    <m/>
    <x v="0"/>
  </r>
  <r>
    <n v="1121"/>
    <s v="SA23.24"/>
    <x v="0"/>
    <d v="2024-10-14T00:00:00"/>
    <d v="2024-10-14T09:09:43"/>
    <s v="CAFFE NERO 17 CLAPHAM - UNIT 7B, LONDON"/>
    <m/>
    <m/>
    <s v="CAFFE NERO 17 CLAPHAM - UNIT 7B, LONDON"/>
    <m/>
    <n v="-4.6500000000000004"/>
    <n v="-4.6500000000000004"/>
    <s v="Meals"/>
    <s v="CardPaymentOut"/>
    <s v="Cleared"/>
    <m/>
    <m/>
    <x v="3"/>
  </r>
  <r>
    <n v="1122"/>
    <s v="SA23.24"/>
    <x v="0"/>
    <d v="2024-10-14T00:00:00"/>
    <d v="2024-10-14T18:05:15"/>
    <s v="UBR* PENDING.UBER.COM - Aldgate Tower First Floor, LONDON"/>
    <m/>
    <m/>
    <s v="UBR* PENDING.UBER.COM - Aldgate Tower First Floor, LONDON"/>
    <m/>
    <n v="-8.35"/>
    <n v="-8.35"/>
    <s v="Travel"/>
    <s v="CardPaymentOut"/>
    <s v="Cleared"/>
    <m/>
    <m/>
    <x v="0"/>
  </r>
  <r>
    <n v="1123"/>
    <s v="SA23.24"/>
    <x v="0"/>
    <d v="2024-10-15T00:00:00"/>
    <d v="2024-10-15T12:10:06"/>
    <s v="TFL TRAVEL CH - VICTORIA STREET, TFL.GOV.UK/CP"/>
    <m/>
    <m/>
    <s v="TFL TRAVEL CH - VICTORIA STREET, TFL.GOV.UK/CP"/>
    <m/>
    <n v="-14.6"/>
    <n v="-14.6"/>
    <s v="Travel"/>
    <s v="CardPaymentOut"/>
    <s v="Cleared"/>
    <m/>
    <m/>
    <x v="0"/>
  </r>
  <r>
    <n v="1124"/>
    <s v="SA23.24"/>
    <x v="0"/>
    <d v="2024-10-16T00:00:00"/>
    <d v="2024-10-16T04:04:39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125"/>
    <s v="SA23.24"/>
    <x v="0"/>
    <d v="2024-10-16T00:00:00"/>
    <d v="2024-10-16T10:52:49"/>
    <s v="CAFFE NERO  551  BUCKI - UNIT 47, LONDON"/>
    <m/>
    <m/>
    <s v="CAFFE NERO  551  BUCKI - UNIT 47, LONDON"/>
    <m/>
    <n v="-4.6500000000000004"/>
    <n v="-4.6500000000000004"/>
    <s v="Meals"/>
    <s v="CardPaymentOut"/>
    <s v="Cleared"/>
    <m/>
    <m/>
    <x v="3"/>
  </r>
  <r>
    <n v="1126"/>
    <s v="SA23.24"/>
    <x v="0"/>
    <d v="2024-10-17T00:00:00"/>
    <d v="2024-10-17T11:07:09"/>
    <s v="SQ *MAWI CAFE - 24a Notting Hill Gate, London"/>
    <m/>
    <m/>
    <s v="SQ *MAWI CAFE - 24a Notting Hill Gate, London"/>
    <m/>
    <n v="-8.2200000000000006"/>
    <n v="-8.2200000000000006"/>
    <s v="Meals"/>
    <s v="CardPaymentOut"/>
    <s v="Cleared"/>
    <s v="accounting/book keeping day"/>
    <m/>
    <x v="3"/>
  </r>
  <r>
    <n v="1127"/>
    <s v="SA23.24"/>
    <x v="0"/>
    <d v="2024-10-17T00:00:00"/>
    <d v="2024-10-17T12:37:05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128"/>
    <s v="SA23.24"/>
    <x v="0"/>
    <d v="2024-10-17T00:00:00"/>
    <d v="2024-10-17T12:49:25"/>
    <s v="SQ *MAWI CAFE - 24a Notting Hill Gate, London"/>
    <m/>
    <m/>
    <s v="SQ *MAWI CAFE - 24a Notting Hill Gate, London"/>
    <m/>
    <n v="-5.88"/>
    <n v="-5.88"/>
    <s v="Meals"/>
    <s v="CardPaymentOut"/>
    <s v="Cleared"/>
    <s v="lunch"/>
    <m/>
    <x v="3"/>
  </r>
  <r>
    <n v="1129"/>
    <s v="SA23.24"/>
    <x v="0"/>
    <d v="2024-10-18T00:00:00"/>
    <d v="2024-10-18T08:48:18"/>
    <s v="SAINSBURYS S/MKTS - FULHAM BROADWAY RETAIL CT, LONDON 2055"/>
    <m/>
    <m/>
    <s v="SAINSBURYS S/MKTS - FULHAM BROADWAY RETAIL CT, LONDON 2055"/>
    <m/>
    <n v="-6.6"/>
    <n v="-6.6"/>
    <s v="Meals"/>
    <s v="CardPaymentOut"/>
    <s v="Cleared"/>
    <m/>
    <m/>
    <x v="3"/>
  </r>
  <r>
    <n v="1130"/>
    <s v="SA23.24"/>
    <x v="0"/>
    <d v="2024-10-18T00:00:00"/>
    <d v="2024-10-18T13:10:16"/>
    <s v="TFL TRAVEL CH - VICTORIA STREET, TFL.GOV.UK/CP"/>
    <m/>
    <m/>
    <s v="TFL TRAVEL CH - VICTORIA STREET, TFL.GOV.UK/CP"/>
    <m/>
    <n v="-6.3"/>
    <n v="-6.3"/>
    <s v="Travel"/>
    <s v="CardPaymentOut"/>
    <s v="Cleared"/>
    <m/>
    <m/>
    <x v="0"/>
  </r>
  <r>
    <n v="1131"/>
    <s v="SA23.24"/>
    <x v="0"/>
    <d v="2024-10-19T00:00:00"/>
    <d v="2024-10-19T01:41:17"/>
    <s v="Charge of 2.80 for Bank Transfers usage from 2024-09-01 to 2024-09-30"/>
    <s v="Charge of 2.80 for Bank Transfers usage from 2024-09-01 to 2024-09-30"/>
    <m/>
    <m/>
    <m/>
    <n v="-2.8"/>
    <n v="-2.8"/>
    <s v="Bank fees"/>
    <s v="Fee"/>
    <s v="Cleared"/>
    <m/>
    <m/>
    <x v="7"/>
  </r>
  <r>
    <n v="1132"/>
    <s v="SA23.24"/>
    <x v="0"/>
    <d v="2024-10-19T00:00:00"/>
    <d v="2024-10-19T03:35:29"/>
    <s v="TFL TRAVEL CH - VICTORIA STREET, TFL.GOV.UK/CP"/>
    <m/>
    <m/>
    <s v="TFL TRAVEL CH - VICTORIA STREET, TFL.GOV.UK/CP"/>
    <m/>
    <n v="-6.8"/>
    <n v="-6.8"/>
    <s v="Travel"/>
    <s v="CardPaymentOut"/>
    <s v="Cleared"/>
    <m/>
    <m/>
    <x v="0"/>
  </r>
  <r>
    <n v="1133"/>
    <s v="SA23.24"/>
    <x v="0"/>
    <d v="2024-10-20T00:00:00"/>
    <d v="2024-10-20T08:55:01"/>
    <s v="TOP GIFT OUTLET NO. 21 - FULHAM BROADWAY RETAIL CENTRE, FULHAM"/>
    <m/>
    <m/>
    <s v="TOP GIFT OUTLET NO. 21 - FULHAM BROADWAY RETAIL CENTRE, FULHAM"/>
    <m/>
    <n v="-25"/>
    <n v="-25"/>
    <s v="Phone and internet"/>
    <s v="CardPaymentOut"/>
    <s v="Cleared"/>
    <m/>
    <m/>
    <x v="2"/>
  </r>
  <r>
    <n v="1134"/>
    <s v="SA23.24"/>
    <x v="0"/>
    <d v="2024-10-21T00:00:00"/>
    <d v="2024-10-21T10:31:07"/>
    <s v="SHAIFA REMTULLA ref: Salary"/>
    <s v="Salary"/>
    <m/>
    <s v="SHAIFA REMTULLA"/>
    <m/>
    <n v="-1000"/>
    <n v="-1000"/>
    <m/>
    <s v="FasterPaymentOut"/>
    <s v="Cleared"/>
    <m/>
    <m/>
    <x v="4"/>
  </r>
  <r>
    <n v="1135"/>
    <s v="SA23.24"/>
    <x v="0"/>
    <d v="2024-10-22T00:00:00"/>
    <d v="2024-10-22T08:18:07"/>
    <s v="SAINSBURYS S/MKTS - 116 BUCKINGHAM PALACE ROAD, LONDON  4065"/>
    <m/>
    <m/>
    <s v="SAINSBURYS S/MKTS - 116 BUCKINGHAM PALACE ROAD, LONDON  4065"/>
    <m/>
    <n v="-5.15"/>
    <n v="-5.15"/>
    <s v="Meals"/>
    <s v="CardPaymentOut"/>
    <s v="Cleared"/>
    <s v="lunch"/>
    <m/>
    <x v="3"/>
  </r>
  <r>
    <n v="1136"/>
    <s v="SA23.24"/>
    <x v="0"/>
    <d v="2024-10-22T00:00:00"/>
    <d v="2024-10-22T08:19:48"/>
    <s v="HOLLAND &amp; BARRETT - UNIT15 BUCKINGHAM PALACE ROAD, VICTORIA PLAC"/>
    <m/>
    <m/>
    <s v="HOLLAND &amp; BARRETT - UNIT15 BUCKINGHAM PALACE ROAD, VICTORIA PLAC"/>
    <m/>
    <n v="-1.7"/>
    <n v="-1.7"/>
    <s v="Meals"/>
    <s v="CardPaymentOut"/>
    <s v="Cleared"/>
    <m/>
    <m/>
    <x v="3"/>
  </r>
  <r>
    <n v="1137"/>
    <s v="SA23.24"/>
    <x v="0"/>
    <d v="2024-10-22T00:00:00"/>
    <d v="2024-10-22T08:57:53"/>
    <s v="CAFFE NERO EAST CROYDO - 93 GEORGE ST, EAST, SURREY"/>
    <m/>
    <m/>
    <s v="CAFFE NERO EAST CROYDO - 93 GEORGE ST, EAST, SURREY"/>
    <m/>
    <n v="-4.05"/>
    <n v="-4.05"/>
    <s v="Meals"/>
    <s v="CardPaymentOut"/>
    <s v="Cleared"/>
    <m/>
    <m/>
    <x v="3"/>
  </r>
  <r>
    <n v="1001"/>
    <s v="SA23.24"/>
    <x v="0"/>
    <d v="2024-08-02T00:00:00"/>
    <d v="2024-08-02T09:29:59"/>
    <s v="APPLE.COM/BILL - Hollyhill Estate, APPLE.COM/BIL"/>
    <m/>
    <m/>
    <s v="APPLE.COM/BILL - Hollyhill Estate, APPLE.COM/BIL"/>
    <m/>
    <n v="-2.99"/>
    <n v="-2.99"/>
    <s v="Software and IT costs"/>
    <s v="CardPaymentOut"/>
    <s v="Cleared"/>
    <m/>
    <m/>
    <x v="17"/>
  </r>
  <r>
    <n v="1139"/>
    <s v="SA23.24"/>
    <x v="0"/>
    <d v="2024-10-23T00:00:00"/>
    <d v="2024-10-23T05:36:10"/>
    <s v="SHAIFA REMTULLA ref: Salary"/>
    <s v="Salary"/>
    <m/>
    <s v="SHAIFA REMTULLA"/>
    <m/>
    <n v="-300"/>
    <n v="-300"/>
    <m/>
    <s v="FasterPaymentOut"/>
    <s v="Cleared"/>
    <m/>
    <m/>
    <x v="4"/>
  </r>
  <r>
    <n v="1140"/>
    <s v="SA23.24"/>
    <x v="0"/>
    <d v="2024-10-23T00:00:00"/>
    <d v="2024-10-23T09:05:05"/>
    <s v="CAFFE NERO  551  BUCKI - UNIT 47, LONDON"/>
    <m/>
    <m/>
    <s v="CAFFE NERO  551  BUCKI - UNIT 47, LONDON"/>
    <m/>
    <n v="-4.2"/>
    <n v="-4.2"/>
    <s v="Meals"/>
    <s v="CardPaymentOut"/>
    <s v="Cleared"/>
    <m/>
    <m/>
    <x v="3"/>
  </r>
  <r>
    <n v="1141"/>
    <s v="SA23.24"/>
    <x v="0"/>
    <d v="2024-10-23T00:00:00"/>
    <d v="2024-10-23T13:17:51"/>
    <s v="TFL TRAVEL CH - VICTORIA STREET, TFL.GOV.UK/CP"/>
    <m/>
    <m/>
    <s v="TFL TRAVEL CH - VICTORIA STREET, TFL.GOV.UK/CP"/>
    <m/>
    <n v="-13.4"/>
    <n v="-13.4"/>
    <s v="Travel"/>
    <s v="CardPaymentOut"/>
    <s v="Cleared"/>
    <m/>
    <m/>
    <x v="0"/>
  </r>
  <r>
    <n v="1142"/>
    <s v="SA23.24"/>
    <x v="0"/>
    <d v="2024-10-24T00:00:00"/>
    <d v="2024-10-24T03:38:12"/>
    <s v="TFL TRAVEL CH - VICTORIA STREET, TFL.GOV.UK/CP"/>
    <m/>
    <m/>
    <s v="TFL TRAVEL CH - VICTORIA STREET, TFL.GOV.UK/CP"/>
    <m/>
    <n v="-4.9000000000000004"/>
    <n v="-4.9000000000000004"/>
    <s v="Travel"/>
    <s v="CardPaymentOut"/>
    <s v="Cleared"/>
    <m/>
    <m/>
    <x v="0"/>
  </r>
  <r>
    <n v="1143"/>
    <s v="SA23.24"/>
    <x v="0"/>
    <d v="2024-10-31T00:00:00"/>
    <d v="2024-10-31T03:46:02"/>
    <s v="SHAIFA REMTULLA ref: Salary"/>
    <s v="Salary"/>
    <m/>
    <s v="SHAIFA REMTULLA"/>
    <m/>
    <n v="-200"/>
    <n v="-200"/>
    <m/>
    <s v="FasterPaymentOut"/>
    <s v="Cleared"/>
    <m/>
    <m/>
    <x v="4"/>
  </r>
  <r>
    <n v="1144"/>
    <s v="SA23.24"/>
    <x v="0"/>
    <d v="2024-10-31T00:00:00"/>
    <d v="2024-10-31T10:48:15"/>
    <s v="MISP HOLDINGS LIMITED ref: INV-0026"/>
    <s v="INV-0026"/>
    <s v="MISP HOLDINGS LIMITED"/>
    <m/>
    <n v="325"/>
    <m/>
    <n v="325"/>
    <s v="Income"/>
    <s v="FasterPaymentIn"/>
    <s v="Cleared"/>
    <m/>
    <m/>
    <x v="1"/>
  </r>
  <r>
    <n v="1145"/>
    <s v="SA23.24"/>
    <x v="0"/>
    <d v="2024-10-31T00:00:00"/>
    <d v="2024-10-31T10:56:12"/>
    <s v="MISP HOLDINGS LIMITED ref: INV-0027"/>
    <s v="INV-0027"/>
    <s v="MISP HOLDINGS LIMITED"/>
    <m/>
    <n v="325"/>
    <m/>
    <n v="325"/>
    <s v="Income"/>
    <s v="FasterPaymentIn"/>
    <s v="Cleared"/>
    <m/>
    <m/>
    <x v="1"/>
  </r>
  <r>
    <n v="1146"/>
    <s v="SA23.24"/>
    <x v="0"/>
    <d v="2024-11-01T00:00:00"/>
    <d v="2024-11-01T03:34:45"/>
    <s v="EE LIMITED         ref: T15253570565666417"/>
    <s v="T15253570565666417"/>
    <m/>
    <s v="EE LIMITED"/>
    <m/>
    <n v="-78.59"/>
    <n v="-78.59"/>
    <s v="Phone and internet"/>
    <s v="DirectDebit"/>
    <s v="Cleared"/>
    <m/>
    <m/>
    <x v="2"/>
  </r>
  <r>
    <n v="1002"/>
    <s v="SA23.24"/>
    <x v="0"/>
    <d v="2024-08-05T00:00:00"/>
    <d v="2024-08-05T08:15:26"/>
    <s v="APPLE.COM/BILL - Hollyhill Estate, APPLE.COM/BIL"/>
    <m/>
    <m/>
    <s v="APPLE.COM/BILL - Hollyhill Estate, APPLE.COM/BIL"/>
    <m/>
    <n v="-9.99"/>
    <n v="-9.99"/>
    <s v="Software and IT costs"/>
    <s v="CardPaymentOut"/>
    <s v="Cleared"/>
    <m/>
    <m/>
    <x v="17"/>
  </r>
  <r>
    <n v="1148"/>
    <s v="SA23.24"/>
    <x v="0"/>
    <d v="2024-11-04T00:00:00"/>
    <d v="2024-11-04T00:26:31"/>
    <s v="TIDE PLATFORM LTD ref: Charge of 7.18 for Invoice Advanced usage from 2024-11-01 to 2024-11-30"/>
    <s v="Charge of 7.18 for Invoice Advanced usage from 2024-11-01 to 2024-11-30"/>
    <m/>
    <s v="TIDE PLATFORM LTD"/>
    <m/>
    <n v="-7.18"/>
    <n v="-7.18"/>
    <m/>
    <s v="PaymentOut"/>
    <s v="Cleared"/>
    <m/>
    <m/>
    <x v="7"/>
  </r>
  <r>
    <n v="1149"/>
    <s v="SA23.24"/>
    <x v="0"/>
    <d v="2024-11-05T00:00:00"/>
    <d v="2024-11-05T02:12:09"/>
    <s v="SHAIFA REMTULLA ref: Salary"/>
    <s v="Salary"/>
    <m/>
    <s v="SHAIFA REMTULLA"/>
    <m/>
    <n v="-150"/>
    <n v="-150"/>
    <m/>
    <s v="FasterPaymentOut"/>
    <s v="Cleared"/>
    <m/>
    <m/>
    <x v="4"/>
  </r>
  <r>
    <n v="1150"/>
    <s v="SA23.24"/>
    <x v="0"/>
    <d v="2024-11-06T00:00:00"/>
    <d v="2024-11-06T10:21:46"/>
    <s v="SHAIFA REMTULLA ref: Salary"/>
    <s v="Salary"/>
    <m/>
    <s v="SHAIFA REMTULLA"/>
    <m/>
    <n v="-200"/>
    <n v="-200"/>
    <m/>
    <s v="FasterPaymentOut"/>
    <s v="Cleared"/>
    <m/>
    <m/>
    <x v="4"/>
  </r>
  <r>
    <n v="1151"/>
    <s v="SA23.24"/>
    <x v="0"/>
    <d v="2024-11-10T00:00:00"/>
    <d v="2024-11-10T09:26:24"/>
    <s v="TFL TRAVEL CH - VICTORIA STREET, TFL.GOV.UK/CP"/>
    <m/>
    <m/>
    <s v="TFL TRAVEL CH - VICTORIA STREET, TFL.GOV.UK/CP"/>
    <m/>
    <n v="-10.65"/>
    <n v="-10.65"/>
    <s v="Travel"/>
    <s v="CardPaymentOut"/>
    <s v="Cleared"/>
    <m/>
    <m/>
    <x v="0"/>
  </r>
  <r>
    <n v="1152"/>
    <s v="SA23.24"/>
    <x v="0"/>
    <d v="2024-11-10T00:00:00"/>
    <d v="2024-11-10T09:45:02"/>
    <s v="SAINSBURYS S/MKTS - 20 ST JOHNS HILL, CLAPHAM JUNCT"/>
    <m/>
    <m/>
    <s v="SAINSBURYS S/MKTS - 20 ST JOHNS HILL, CLAPHAM JUNCT"/>
    <m/>
    <n v="-1.65"/>
    <n v="-1.65"/>
    <s v="Meals"/>
    <s v="CardPaymentOut"/>
    <s v="Cleared"/>
    <m/>
    <m/>
    <x v="3"/>
  </r>
  <r>
    <n v="1153"/>
    <s v="SA23.24"/>
    <x v="0"/>
    <d v="2024-11-10T00:00:00"/>
    <d v="2024-11-10T09:50:14"/>
    <s v="M&amp;S SIMPLY FOOD - SSP - UNIT 4 SHOPSTOP SHOPPING CTR, CLAPHAM JNCTN"/>
    <m/>
    <m/>
    <s v="M&amp;S SIMPLY FOOD - SSP - UNIT 4 SHOPSTOP SHOPPING CTR, CLAPHAM JNCTN"/>
    <m/>
    <n v="-2.2999999999999998"/>
    <n v="-2.2999999999999998"/>
    <s v="Meals"/>
    <s v="CardPaymentOut"/>
    <s v="Cleared"/>
    <m/>
    <m/>
    <x v="3"/>
  </r>
  <r>
    <n v="1154"/>
    <s v="SA23.24"/>
    <x v="0"/>
    <d v="2024-11-10T00:00:00"/>
    <d v="2024-11-10T10:07:42"/>
    <s v="WH Smith Croydon East - Croydon East Station Shop, Croydon"/>
    <m/>
    <m/>
    <s v="WH Smith Croydon East - Croydon East Station Shop, Croydon"/>
    <m/>
    <n v="-4.79"/>
    <n v="-4.79"/>
    <s v="Meals"/>
    <s v="CardPaymentOut"/>
    <s v="Cleared"/>
    <m/>
    <m/>
    <x v="3"/>
  </r>
  <r>
    <n v="1155"/>
    <s v="SA23.24"/>
    <x v="0"/>
    <d v="2024-11-10T00:00:00"/>
    <d v="2024-11-10T10:15:26"/>
    <s v="CAFFE NERO EAST CROYDO - 93 GEORGE ST, EAST, SURREY"/>
    <m/>
    <m/>
    <s v="CAFFE NERO EAST CROYDO - 93 GEORGE ST, EAST, SURREY"/>
    <m/>
    <n v="-4.05"/>
    <n v="-4.05"/>
    <s v="Meals"/>
    <s v="CardPaymentOut"/>
    <s v="Cleared"/>
    <m/>
    <m/>
    <x v="3"/>
  </r>
  <r>
    <n v="1156"/>
    <s v="SA23.24"/>
    <x v="0"/>
    <d v="2024-11-12T00:00:00"/>
    <d v="2024-11-12T03:32:13"/>
    <s v="TFL TRAVEL CH - VICTORIA STREET, TFL.GOV.UK/CP"/>
    <m/>
    <m/>
    <s v="TFL TRAVEL CH - VICTORIA STREET, TFL.GOV.UK/CP"/>
    <m/>
    <n v="-4.55"/>
    <n v="-4.55"/>
    <s v="Travel"/>
    <s v="CardPaymentOut"/>
    <s v="Cleared"/>
    <m/>
    <m/>
    <x v="0"/>
  </r>
  <r>
    <n v="1157"/>
    <s v="SA23.24"/>
    <x v="0"/>
    <d v="2024-11-12T00:00:00"/>
    <d v="2024-11-12T04:05:02"/>
    <s v="UBR* PENDING.UBER.COM - Aldgate Tower First Floor, LONDON"/>
    <m/>
    <m/>
    <s v="UBR* PENDING.UBER.COM - Aldgate Tower First Floor, LONDON"/>
    <m/>
    <n v="-9.11"/>
    <n v="-9.11"/>
    <s v="Travel"/>
    <s v="CardPaymentOut"/>
    <s v="Cleared"/>
    <m/>
    <m/>
    <x v="0"/>
  </r>
  <r>
    <n v="1158"/>
    <s v="SA23.24"/>
    <x v="0"/>
    <d v="2024-11-12T00:00:00"/>
    <d v="2024-11-12T07:01:54"/>
    <s v="SHAIFA REMTULLA ref: Salary"/>
    <s v="Salary"/>
    <m/>
    <s v="SHAIFA REMTULLA"/>
    <m/>
    <n v="-150"/>
    <n v="-150"/>
    <m/>
    <s v="FasterPaymentOut"/>
    <s v="Cleared"/>
    <m/>
    <m/>
    <x v="4"/>
  </r>
  <r>
    <n v="1159"/>
    <s v="SA23.24"/>
    <x v="0"/>
    <d v="2024-11-13T00:00:00"/>
    <d v="2024-11-13T14:48:41"/>
    <s v="TFL TRAVEL CH - VICTORIA STREET, TFL.GOV.UK/CP"/>
    <m/>
    <m/>
    <s v="TFL TRAVEL CH - VICTORIA STREET, TFL.GOV.UK/CP"/>
    <m/>
    <n v="-3.5"/>
    <n v="-3.5"/>
    <s v="Travel"/>
    <s v="CardPaymentOut"/>
    <s v="Cleared"/>
    <m/>
    <m/>
    <x v="0"/>
  </r>
  <r>
    <n v="1160"/>
    <s v="SA23.24"/>
    <x v="0"/>
    <d v="2024-11-14T00:00:00"/>
    <d v="2024-11-14T07:46:07"/>
    <s v="TRAINLINE - 120 HOLBORN, LONDON"/>
    <m/>
    <m/>
    <s v="TRAINLINE - 120 HOLBORN, LONDON"/>
    <m/>
    <n v="-30.1"/>
    <n v="-30.1"/>
    <s v="Travel"/>
    <s v="CardPaymentOut"/>
    <s v="Cleared"/>
    <m/>
    <m/>
    <x v="0"/>
  </r>
  <r>
    <n v="1161"/>
    <s v="SA23.24"/>
    <x v="0"/>
    <d v="2024-11-14T00:00:00"/>
    <d v="2024-11-14T07:53:17"/>
    <s v="SAINSBURYS S/MKTS - 20 ST JOHNS HILL, CLAPHAM JUNCT"/>
    <m/>
    <m/>
    <s v="SAINSBURYS S/MKTS - 20 ST JOHNS HILL, CLAPHAM JUNCT"/>
    <m/>
    <n v="-2.1"/>
    <n v="-2.1"/>
    <s v="Meals"/>
    <s v="CardPaymentOut"/>
    <s v="Cleared"/>
    <m/>
    <m/>
    <x v="3"/>
  </r>
  <r>
    <n v="1162"/>
    <s v="SA23.24"/>
    <x v="0"/>
    <d v="2024-11-14T00:00:00"/>
    <d v="2024-11-14T07:56:05"/>
    <s v="CAFFE NERO 17 CLAPHAM - UNIT 7B, LONDON"/>
    <m/>
    <m/>
    <s v="CAFFE NERO 17 CLAPHAM - UNIT 7B, LONDON"/>
    <m/>
    <n v="-4.1500000000000004"/>
    <n v="-4.1500000000000004"/>
    <s v="Meals"/>
    <s v="CardPaymentOut"/>
    <s v="Cleared"/>
    <m/>
    <m/>
    <x v="3"/>
  </r>
  <r>
    <n v="1163"/>
    <s v="SA23.24"/>
    <x v="0"/>
    <d v="2024-11-14T00:00:00"/>
    <d v="2024-11-14T13:58:39"/>
    <s v="TFL TRAVEL CH - VICTORIA STREET, TFL.GOV.UK/CP"/>
    <m/>
    <m/>
    <s v="TFL TRAVEL CH - VICTORIA STREET, TFL.GOV.UK/CP"/>
    <m/>
    <n v="-1.75"/>
    <n v="-1.75"/>
    <s v="Travel"/>
    <s v="CardPaymentOut"/>
    <s v="Cleared"/>
    <m/>
    <m/>
    <x v="0"/>
  </r>
  <r>
    <n v="1164"/>
    <s v="SA23.24"/>
    <x v="0"/>
    <d v="2024-11-14T00:00:00"/>
    <d v="2024-11-14T17:19:29"/>
    <s v="WAITROSE 873 - 6 CLAIR ROAD, HAYWARDS HEAT"/>
    <m/>
    <m/>
    <s v="WAITROSE 873 - 6 CLAIR ROAD, HAYWARDS HEAT"/>
    <m/>
    <n v="-7.75"/>
    <n v="-7.75"/>
    <s v="Meals"/>
    <s v="CardPaymentOut"/>
    <s v="Cleared"/>
    <m/>
    <m/>
    <x v="3"/>
  </r>
  <r>
    <n v="1165"/>
    <s v="SA23.24"/>
    <x v="0"/>
    <d v="2024-11-15T00:00:00"/>
    <d v="2024-11-15T13:47:01"/>
    <s v="REMTULLA ref: luxotica"/>
    <s v="luxotica"/>
    <s v="REMTULLA"/>
    <m/>
    <n v="1000"/>
    <m/>
    <n v="1000"/>
    <s v="Income"/>
    <s v="FasterPaymentIn"/>
    <s v="Cleared"/>
    <m/>
    <m/>
    <x v="1"/>
  </r>
  <r>
    <n v="1166"/>
    <s v="SA23.24"/>
    <x v="0"/>
    <d v="2024-11-15T00:00:00"/>
    <d v="2024-11-15T14:05:01"/>
    <s v="TFL TRAVEL CH - VICTORIA STREET, TFL.GOV.UK/CP"/>
    <m/>
    <m/>
    <s v="TFL TRAVEL CH - VICTORIA STREET, TFL.GOV.UK/CP"/>
    <m/>
    <n v="-3.5"/>
    <n v="-3.5"/>
    <s v="Travel"/>
    <s v="CardPaymentOut"/>
    <s v="Cleared"/>
    <m/>
    <m/>
    <x v="0"/>
  </r>
  <r>
    <n v="1167"/>
    <s v="SA23.24"/>
    <x v="0"/>
    <d v="2024-11-16T00:00:00"/>
    <d v="2024-11-16T08:25:28"/>
    <s v="TESCO STORES 3389 - OLD TOWN HALL THE BROADWAY, LONDON"/>
    <m/>
    <m/>
    <s v="TESCO STORES 3389 - OLD TOWN HALL THE BROADWAY, LONDON"/>
    <m/>
    <n v="-1.1000000000000001"/>
    <n v="-1.1000000000000001"/>
    <s v="Meals"/>
    <s v="CardPaymentOut"/>
    <s v="Cleared"/>
    <m/>
    <m/>
    <x v="3"/>
  </r>
  <r>
    <n v="1168"/>
    <s v="SA23.24"/>
    <x v="0"/>
    <d v="2024-11-16T00:00:00"/>
    <d v="2024-11-16T08:30:10"/>
    <s v="CAFFE NERO 292 WIMBLED - 6 THE BROADWAY, LONDON"/>
    <m/>
    <m/>
    <s v="CAFFE NERO 292 WIMBLED - 6 THE BROADWAY, LONDON"/>
    <m/>
    <n v="-4.2"/>
    <n v="-4.2"/>
    <s v="Meals"/>
    <s v="CardPaymentOut"/>
    <s v="Cleared"/>
    <m/>
    <m/>
    <x v="3"/>
  </r>
  <r>
    <n v="1169"/>
    <s v="SA23.24"/>
    <x v="0"/>
    <d v="2024-11-16T00:00:00"/>
    <d v="2024-11-16T13:05:05"/>
    <s v="WIMBLEDON LEON - UNIT 1 2, LONDON"/>
    <m/>
    <m/>
    <s v="WIMBLEDON LEON - UNIT 1 2, LONDON"/>
    <m/>
    <n v="-9.8699999999999992"/>
    <n v="-9.8699999999999992"/>
    <s v="Meals"/>
    <s v="CardPaymentOut"/>
    <s v="Cleared"/>
    <m/>
    <m/>
    <x v="3"/>
  </r>
  <r>
    <n v="1170"/>
    <s v="SA23.24"/>
    <x v="0"/>
    <d v="2024-11-17T00:00:00"/>
    <d v="2024-11-17T11:27:43"/>
    <s v="BOLT.EU/O/2411171127 - Leather Market, Unit J, Taper Studios, London"/>
    <m/>
    <m/>
    <s v="BOLT.EU/O/2411171127 - Leather Market, Unit J, Taper Studios, London"/>
    <m/>
    <n v="-13.7"/>
    <n v="-13.7"/>
    <s v="Travel"/>
    <s v="CardPaymentOut"/>
    <s v="Cleared"/>
    <m/>
    <m/>
    <x v="0"/>
  </r>
  <r>
    <n v="1171"/>
    <s v="SA23.24"/>
    <x v="0"/>
    <d v="2024-11-17T00:00:00"/>
    <d v="2024-11-17T13:22:58"/>
    <s v="TFL TRAVEL CH - VICTORIA STREET, TFL.GOV.UK/CP"/>
    <m/>
    <m/>
    <s v="TFL TRAVEL CH - VICTORIA STREET, TFL.GOV.UK/CP"/>
    <m/>
    <n v="-3.8"/>
    <n v="-3.8"/>
    <s v="Travel"/>
    <s v="CardPaymentOut"/>
    <s v="Cleared"/>
    <m/>
    <m/>
    <x v="0"/>
  </r>
  <r>
    <n v="1172"/>
    <s v="SA23.24"/>
    <x v="0"/>
    <d v="2024-11-18T00:00:00"/>
    <d v="2024-11-18T19:39:27"/>
    <s v="Charge of 2.20 for Bank Transfers usage from 2024-10-01 to 2024-10-31"/>
    <s v="Charge of 2.20 for Bank Transfers usage from 2024-10-01 to 2024-10-31"/>
    <m/>
    <m/>
    <m/>
    <n v="-2.2000000000000002"/>
    <n v="-2.2000000000000002"/>
    <s v="Bank fees"/>
    <s v="Fee"/>
    <s v="Cleared"/>
    <m/>
    <m/>
    <x v="7"/>
  </r>
  <r>
    <n v="1173"/>
    <s v="SA23.24"/>
    <x v="0"/>
    <d v="2024-11-20T00:00:00"/>
    <d v="2024-11-20T18:52:27"/>
    <s v="UBR* PENDING.UBER.COM - Aldgate Tower First Floor, LONDON"/>
    <m/>
    <m/>
    <s v="UBR* PENDING.UBER.COM - Aldgate Tower First Floor, LONDON"/>
    <m/>
    <n v="-7.66"/>
    <n v="-7.66"/>
    <s v="Travel"/>
    <s v="CardPaymentOut"/>
    <s v="Cleared"/>
    <m/>
    <m/>
    <x v="0"/>
  </r>
  <r>
    <n v="1174"/>
    <s v="SA23.24"/>
    <x v="0"/>
    <d v="2024-11-22T00:00:00"/>
    <d v="2024-11-22T08:25:44"/>
    <s v="REMTULLA ref: loan repaymemt"/>
    <s v="loan repaymemt"/>
    <s v="REMTULLA"/>
    <m/>
    <n v="3100"/>
    <m/>
    <n v="3100"/>
    <s v="Income"/>
    <s v="FasterPaymentIn"/>
    <s v="Cleared"/>
    <m/>
    <m/>
    <x v="4"/>
  </r>
  <r>
    <n v="1175"/>
    <s v="SA23.24"/>
    <x v="0"/>
    <d v="2024-11-23T00:00:00"/>
    <d v="2024-11-23T08:33:48"/>
    <s v="TESCO STORES 3389 - OLD TOWN HALL THE BROADWAY, LONDON"/>
    <m/>
    <m/>
    <s v="TESCO STORES 3389 - OLD TOWN HALL THE BROADWAY, LONDON"/>
    <m/>
    <n v="-1.1000000000000001"/>
    <n v="-1.1000000000000001"/>
    <s v="Meals"/>
    <s v="CardPaymentOut"/>
    <s v="Cleared"/>
    <m/>
    <m/>
    <x v="3"/>
  </r>
  <r>
    <n v="1176"/>
    <s v="SA23.24"/>
    <x v="0"/>
    <d v="2024-11-23T00:00:00"/>
    <d v="2024-11-23T08:37:58"/>
    <s v="CAFFE NERO 292 WIMBLED - 6 THE BROADWAY, LONDON"/>
    <m/>
    <m/>
    <s v="CAFFE NERO 292 WIMBLED - 6 THE BROADWAY, LONDON"/>
    <m/>
    <n v="-4.5999999999999996"/>
    <n v="-4.5999999999999996"/>
    <s v="Meals"/>
    <s v="CardPaymentOut"/>
    <s v="Cleared"/>
    <m/>
    <m/>
    <x v="3"/>
  </r>
  <r>
    <n v="1177"/>
    <s v="SA23.24"/>
    <x v="0"/>
    <d v="2024-11-23T00:00:00"/>
    <d v="2024-11-23T12:45:52"/>
    <s v="WIMBLEDON LEON - UNIT 1 2, LONDON"/>
    <m/>
    <m/>
    <s v="WIMBLEDON LEON - UNIT 1 2, LONDON"/>
    <m/>
    <n v="-9.8699999999999992"/>
    <n v="-9.8699999999999992"/>
    <s v="Meals"/>
    <s v="CardPaymentOut"/>
    <s v="Cleared"/>
    <m/>
    <m/>
    <x v="3"/>
  </r>
  <r>
    <n v="1178"/>
    <s v="SA23.24"/>
    <x v="0"/>
    <d v="2024-11-24T00:00:00"/>
    <d v="2024-11-24T02:37:25"/>
    <s v="TFL TRAVEL CH - VICTORIA STREET, TFL.GOV.UK/CP"/>
    <m/>
    <m/>
    <s v="TFL TRAVEL CH - VICTORIA STREET, TFL.GOV.UK/CP"/>
    <m/>
    <n v="-3.8"/>
    <n v="-3.8"/>
    <s v="Travel"/>
    <s v="CardPaymentOut"/>
    <s v="Cleared"/>
    <m/>
    <m/>
    <x v="0"/>
  </r>
  <r>
    <n v="1179"/>
    <s v="SA23.24"/>
    <x v="0"/>
    <d v="2024-11-24T00:00:00"/>
    <d v="2024-11-24T16:05:30"/>
    <s v="HMRC SHIPLEY ref: 2078222399A00101A"/>
    <s v="2078222399A00101A"/>
    <m/>
    <s v="HMRC SHIPLEY"/>
    <m/>
    <n v="-5105.87"/>
    <n v="-5105.87"/>
    <s v="Taxes"/>
    <s v="FasterPaymentOut"/>
    <s v="Cleared"/>
    <m/>
    <m/>
    <x v="19"/>
  </r>
  <r>
    <n v="1180"/>
    <s v="SA23.24"/>
    <x v="0"/>
    <d v="2024-11-25T00:00:00"/>
    <d v="2024-11-25T13:54:13"/>
    <s v="SHAIFA REMTULLA ref: Salary"/>
    <s v="Salary"/>
    <m/>
    <s v="SHAIFA REMTULLA"/>
    <m/>
    <n v="-1700"/>
    <n v="-1700"/>
    <m/>
    <s v="FasterPaymentOut"/>
    <s v="Cleared"/>
    <m/>
    <m/>
    <x v="4"/>
  </r>
  <r>
    <n v="1181"/>
    <s v="SA23.24"/>
    <x v="0"/>
    <d v="2024-11-26T00:00:00"/>
    <d v="2024-11-26T01:05:35"/>
    <s v="COSTCO             ref: 1984115"/>
    <n v="1984115"/>
    <s v="COSTCO"/>
    <m/>
    <n v="350"/>
    <m/>
    <n v="350"/>
    <s v="Income"/>
    <s v="FasterPaymentIn"/>
    <s v="Cleared"/>
    <m/>
    <m/>
    <x v="1"/>
  </r>
  <r>
    <n v="1182"/>
    <s v="SA23.24"/>
    <x v="0"/>
    <d v="2024-11-27T00:00:00"/>
    <d v="2024-11-27T07:36:28"/>
    <s v="CAFFE NERO  551  BUCKI - UNIT 47, LONDON"/>
    <m/>
    <m/>
    <s v="CAFFE NERO  551  BUCKI - UNIT 47, LONDON"/>
    <m/>
    <n v="-4.7"/>
    <n v="-4.7"/>
    <s v="Meals"/>
    <s v="CardPaymentOut"/>
    <s v="Cleared"/>
    <m/>
    <m/>
    <x v="3"/>
  </r>
  <r>
    <n v="1183"/>
    <s v="SA23.24"/>
    <x v="0"/>
    <d v="2024-11-27T00:00:00"/>
    <d v="2024-11-27T09:01:23"/>
    <s v="Snax - Unit 1 Lower Concourse Wimbledon Underground St, London"/>
    <m/>
    <m/>
    <s v="Snax - Unit 1 Lower Concourse Wimbledon Underground St, London"/>
    <m/>
    <n v="-3.98"/>
    <n v="-3.98"/>
    <s v="Meals"/>
    <s v="CardPaymentOut"/>
    <s v="Cleared"/>
    <m/>
    <m/>
    <x v="3"/>
  </r>
  <r>
    <n v="1184"/>
    <s v="SA23.24"/>
    <x v="0"/>
    <d v="2024-11-27T00:00:00"/>
    <d v="2024-11-27T12:55:51"/>
    <s v="THIRD SPACE WIMBLEDON - WIMBLEDON QUARTER SHOPPING CENTRE, LONDON"/>
    <m/>
    <m/>
    <s v="THIRD SPACE WIMBLEDON - WIMBLEDON QUARTER SHOPPING CENTRE, LONDON"/>
    <m/>
    <n v="-11.5"/>
    <n v="-11.5"/>
    <s v="Meals"/>
    <s v="CardPaymentOut"/>
    <s v="Cleared"/>
    <m/>
    <m/>
    <x v="3"/>
  </r>
  <r>
    <n v="1185"/>
    <s v="SA23.24"/>
    <x v="0"/>
    <d v="2024-11-28T00:00:00"/>
    <d v="2024-11-28T07:30:19"/>
    <s v="SAINSBURYS S/MKTS - 116 BUCKINGHAM PALACE ROAD, LONDON  4065"/>
    <m/>
    <m/>
    <s v="SAINSBURYS S/MKTS - 116 BUCKINGHAM PALACE ROAD, LONDON  4065"/>
    <m/>
    <n v="-6.5"/>
    <n v="-6.5"/>
    <s v="Meals"/>
    <s v="CardPaymentOut"/>
    <s v="Cleared"/>
    <s v="lunch"/>
    <m/>
    <x v="3"/>
  </r>
  <r>
    <n v="1186"/>
    <s v="SA23.24"/>
    <x v="0"/>
    <d v="2024-11-28T00:00:00"/>
    <d v="2024-11-28T07:32:54"/>
    <s v="TRAINLINE - 120 HOLBORN, LONDON"/>
    <m/>
    <m/>
    <s v="TRAINLINE - 120 HOLBORN, LONDON"/>
    <m/>
    <n v="-32.9"/>
    <n v="-32.9"/>
    <s v="Travel"/>
    <s v="CardPaymentOut"/>
    <s v="Cleared"/>
    <m/>
    <m/>
    <x v="0"/>
  </r>
  <r>
    <n v="1187"/>
    <s v="SA23.24"/>
    <x v="0"/>
    <d v="2024-11-28T00:00:00"/>
    <d v="2024-11-28T07:36:22"/>
    <s v="CAFFE NERO 337 VICTORI - VICTORIA CENTRAL, LONDON"/>
    <m/>
    <m/>
    <s v="CAFFE NERO 337 VICTORI - VICTORIA CENTRAL, LONDON"/>
    <m/>
    <n v="-4.25"/>
    <n v="-4.25"/>
    <s v="Meals"/>
    <s v="CardPaymentOut"/>
    <s v="Cleared"/>
    <m/>
    <m/>
    <x v="3"/>
  </r>
  <r>
    <n v="1188"/>
    <s v="SA23.24"/>
    <x v="0"/>
    <d v="2024-11-28T00:00:00"/>
    <d v="2024-11-28T12:32:22"/>
    <s v="TFL TRAVEL CH - VICTORIA STREET, TFL.GOV.UK/CP"/>
    <m/>
    <m/>
    <s v="TFL TRAVEL CH - VICTORIA STREET, TFL.GOV.UK/CP"/>
    <m/>
    <n v="-7.55"/>
    <n v="-7.55"/>
    <s v="Travel"/>
    <s v="CardPaymentOut"/>
    <s v="Cleared"/>
    <m/>
    <m/>
    <x v="0"/>
  </r>
  <r>
    <n v="1189"/>
    <s v="SA23.24"/>
    <x v="0"/>
    <d v="2024-11-28T00:00:00"/>
    <d v="2024-11-28T14:13:55"/>
    <s v="SUBWAY 66717 Haywards - South Road 80, Haywards Heat"/>
    <m/>
    <m/>
    <s v="SUBWAY 66717 Haywards - South Road 80, Haywards Heat"/>
    <m/>
    <n v="-6.79"/>
    <n v="-6.79"/>
    <s v="Meals"/>
    <s v="CardPaymentOut"/>
    <s v="Cleared"/>
    <m/>
    <m/>
    <x v="3"/>
  </r>
  <r>
    <n v="1190"/>
    <s v="SA23.24"/>
    <x v="0"/>
    <d v="2024-11-29T00:00:00"/>
    <d v="2024-11-29T01:02:13"/>
    <s v="ABBEYFIELD VE LIMI ref: RG05570001140924"/>
    <s v="RG05570001140924"/>
    <s v="ABBEYFIELD VE LIMI"/>
    <m/>
    <n v="400"/>
    <m/>
    <n v="400"/>
    <s v="Income"/>
    <s v="FasterPaymentIn"/>
    <s v="Cleared"/>
    <m/>
    <m/>
    <x v="1"/>
  </r>
  <r>
    <n v="1191"/>
    <s v="SA23.24"/>
    <x v="0"/>
    <d v="2024-11-29T00:00:00"/>
    <d v="2024-11-29T01:02:33"/>
    <s v="COSTCO             ref: 1985312"/>
    <n v="1985312"/>
    <s v="COSTCO"/>
    <m/>
    <n v="2300"/>
    <m/>
    <n v="2300"/>
    <s v="Income"/>
    <s v="FasterPaymentIn"/>
    <s v="Cleared"/>
    <m/>
    <m/>
    <x v="1"/>
  </r>
  <r>
    <n v="1192"/>
    <s v="SA23.24"/>
    <x v="0"/>
    <d v="2024-11-29T00:00:00"/>
    <d v="2024-11-29T05:34:02"/>
    <s v="HMRC CUMBERLAND ref: 120PX02927477"/>
    <s v="120PX02927477"/>
    <m/>
    <s v="HMRC CUMBERLAND"/>
    <m/>
    <n v="-3000"/>
    <n v="-3000"/>
    <s v="Taxes"/>
    <s v="FasterPaymentOut"/>
    <s v="Cleared"/>
    <m/>
    <m/>
    <x v="15"/>
  </r>
  <r>
    <n v="1193"/>
    <s v="SA23.24"/>
    <x v="0"/>
    <d v="2024-11-29T00:00:00"/>
    <d v="2024-11-29T05:34:27"/>
    <s v="SHAIFA REMTULLA ref: Salary"/>
    <s v="Salary"/>
    <m/>
    <s v="SHAIFA REMTULLA"/>
    <m/>
    <n v="-3000"/>
    <n v="-3000"/>
    <m/>
    <s v="FasterPaymentOut"/>
    <s v="Cancelled"/>
    <m/>
    <m/>
    <x v="4"/>
  </r>
  <r>
    <n v="1055"/>
    <s v="SA23.24"/>
    <x v="0"/>
    <d v="2024-09-02T00:00:00"/>
    <d v="2024-09-02T09:30:53"/>
    <s v="APPLE.COM/BILL - Hollyhill Estate, APPLE.COM/BIL"/>
    <m/>
    <m/>
    <s v="APPLE.COM/BILL - Hollyhill Estate, APPLE.COM/BIL"/>
    <m/>
    <n v="-2.99"/>
    <n v="-2.99"/>
    <s v="Software and IT costs"/>
    <s v="CardPaymentOut"/>
    <s v="Cleared"/>
    <m/>
    <m/>
    <x v="17"/>
  </r>
  <r>
    <n v="1238"/>
    <s v="SA23.24"/>
    <x v="0"/>
    <d v="2024-12-13T00:00:00"/>
    <d v="2024-12-13T01:05:52"/>
    <s v="ABBEYFIELD VE LIMI ref: RG05570001229424"/>
    <s v="RG05570001229424"/>
    <s v="ABBEYFIELD VE LIMI"/>
    <m/>
    <n v="400"/>
    <m/>
    <n v="400"/>
    <s v="Income"/>
    <s v="FasterPaymentIn"/>
    <s v="Cleared"/>
    <m/>
    <m/>
    <x v="1"/>
  </r>
  <r>
    <n v="1196"/>
    <s v="SA23.24"/>
    <x v="0"/>
    <d v="2024-11-29T00:00:00"/>
    <d v="2024-11-29T12:27:56"/>
    <s v="TFL TRAVEL CH - VICTORIA STREET, TFL.GOV.UK/CP"/>
    <m/>
    <m/>
    <s v="TFL TRAVEL CH - VICTORIA STREET, TFL.GOV.UK/CP"/>
    <m/>
    <n v="-5.15"/>
    <n v="-5.15"/>
    <s v="Travel"/>
    <s v="CardPaymentOut"/>
    <s v="Cleared"/>
    <m/>
    <m/>
    <x v="0"/>
  </r>
  <r>
    <n v="1197"/>
    <s v="SA23.24"/>
    <x v="0"/>
    <d v="2024-11-30T00:00:00"/>
    <d v="2024-11-30T08:50:15"/>
    <s v="TESCO STORES 3389 - OLD TOWN HALL THE BROADWAY, LONDON"/>
    <m/>
    <m/>
    <s v="TESCO STORES 3389 - OLD TOWN HALL THE BROADWAY, LONDON"/>
    <m/>
    <n v="-1.9"/>
    <n v="-1.9"/>
    <s v="Meals"/>
    <s v="CardPaymentOut"/>
    <s v="Cleared"/>
    <m/>
    <m/>
    <x v="3"/>
  </r>
  <r>
    <n v="1198"/>
    <s v="SA23.24"/>
    <x v="0"/>
    <d v="2024-11-30T00:00:00"/>
    <d v="2024-11-30T08:53:19"/>
    <s v="CAFFE NERO 292 WIMBLED - 6 THE BROADWAY, LONDON"/>
    <m/>
    <m/>
    <s v="CAFFE NERO 292 WIMBLED - 6 THE BROADWAY, LONDON"/>
    <m/>
    <n v="-4.25"/>
    <n v="-4.25"/>
    <s v="Meals"/>
    <s v="CardPaymentOut"/>
    <s v="Cleared"/>
    <m/>
    <m/>
    <x v="3"/>
  </r>
  <r>
    <n v="1199"/>
    <s v="SA23.24"/>
    <x v="0"/>
    <d v="2024-11-30T00:00:00"/>
    <d v="2024-11-30T12:52:04"/>
    <s v="THIRD SPACE WIMBLEDON - WIMBLEDON QUARTER SHOPPING CENTRE, LONDON"/>
    <m/>
    <m/>
    <s v="THIRD SPACE WIMBLEDON - WIMBLEDON QUARTER SHOPPING CENTRE, LONDON"/>
    <m/>
    <n v="-5"/>
    <n v="-5"/>
    <s v="Meals"/>
    <s v="CardPaymentOut"/>
    <s v="Cleared"/>
    <m/>
    <m/>
    <x v="3"/>
  </r>
  <r>
    <n v="1200"/>
    <s v="SA23.24"/>
    <x v="0"/>
    <d v="2024-11-30T00:00:00"/>
    <d v="2024-11-30T13:04:23"/>
    <s v="HOLLAND &amp; BARRETT - CENTRE COURT SHOPPING CTR, WIMBLEDON"/>
    <m/>
    <m/>
    <s v="HOLLAND &amp; BARRETT - CENTRE COURT SHOPPING CTR, WIMBLEDON"/>
    <m/>
    <n v="-3.29"/>
    <n v="-3.29"/>
    <s v="Meals"/>
    <s v="CardPaymentOut"/>
    <s v="Cleared"/>
    <m/>
    <m/>
    <x v="3"/>
  </r>
  <r>
    <n v="1201"/>
    <s v="SA23.24"/>
    <x v="0"/>
    <d v="2024-11-30T00:00:00"/>
    <d v="2024-11-30T13:37:04"/>
    <s v="TFL TRAVEL CH - VICTORIA STREET, TFL.GOV.UK/CP"/>
    <m/>
    <m/>
    <s v="TFL TRAVEL CH - VICTORIA STREET, TFL.GOV.UK/CP"/>
    <m/>
    <n v="-1.75"/>
    <n v="-1.75"/>
    <s v="Travel"/>
    <s v="CardPaymentOut"/>
    <s v="Cleared"/>
    <m/>
    <m/>
    <x v="0"/>
  </r>
  <r>
    <n v="1202"/>
    <s v="SA23.24"/>
    <x v="0"/>
    <d v="2024-11-30T00:00:00"/>
    <d v="2024-11-30T21:29:02"/>
    <s v="TRAINLINE - 120 HOLBORN, LONDON"/>
    <m/>
    <m/>
    <s v="TRAINLINE - 120 HOLBORN, LONDON"/>
    <m/>
    <n v="-36.89"/>
    <n v="-36.89"/>
    <s v="Travel"/>
    <s v="CardPaymentOut"/>
    <s v="Cleared"/>
    <m/>
    <m/>
    <x v="0"/>
  </r>
  <r>
    <n v="1203"/>
    <s v="SA23.24"/>
    <x v="0"/>
    <d v="2024-12-01T00:00:00"/>
    <d v="2024-12-01T03:00:23"/>
    <s v="TFL TRAVEL CH - VICTORIA STREET, TFL.GOV.UK/CP"/>
    <m/>
    <m/>
    <s v="TFL TRAVEL CH - VICTORIA STREET, TFL.GOV.UK/CP"/>
    <m/>
    <n v="-3.8"/>
    <n v="-3.8"/>
    <s v="Travel"/>
    <s v="CardPaymentOut"/>
    <s v="Cleared"/>
    <m/>
    <m/>
    <x v="0"/>
  </r>
  <r>
    <n v="1204"/>
    <s v="SA23.24"/>
    <x v="0"/>
    <d v="2024-12-01T00:00:00"/>
    <d v="2024-12-01T08:00:53"/>
    <s v="SAINSBURYS S/MKTS - 14-20 ELIZABETH STREET, VICTORIA COAC"/>
    <m/>
    <m/>
    <s v="SAINSBURYS S/MKTS - 14-20 ELIZABETH STREET, VICTORIA COAC"/>
    <m/>
    <n v="-3.52"/>
    <n v="-3.52"/>
    <s v="Meals"/>
    <s v="CardPaymentOut"/>
    <s v="Cleared"/>
    <m/>
    <m/>
    <x v="3"/>
  </r>
  <r>
    <n v="1205"/>
    <s v="SA23.24"/>
    <x v="0"/>
    <d v="2024-12-01T00:00:00"/>
    <d v="2024-12-01T08:03:04"/>
    <s v="SHAIFA REMTULLA ref: Salary"/>
    <s v="Salary"/>
    <m/>
    <s v="SHAIFA REMTULLA"/>
    <m/>
    <n v="-400"/>
    <n v="-400"/>
    <m/>
    <s v="FasterPaymentOut"/>
    <s v="Cleared"/>
    <m/>
    <m/>
    <x v="4"/>
  </r>
  <r>
    <n v="1206"/>
    <s v="SA23.24"/>
    <x v="0"/>
    <d v="2024-12-01T00:00:00"/>
    <d v="2024-12-01T08:55:50"/>
    <s v="CAFFE NERO  551  BUCKI - UNIT 47, LONDON"/>
    <m/>
    <m/>
    <s v="CAFFE NERO  551  BUCKI - UNIT 47, LONDON"/>
    <m/>
    <n v="-3.75"/>
    <n v="-3.75"/>
    <s v="Meals"/>
    <s v="CardPaymentOut"/>
    <s v="Cleared"/>
    <m/>
    <m/>
    <x v="3"/>
  </r>
  <r>
    <n v="1207"/>
    <s v="SA23.24"/>
    <x v="0"/>
    <d v="2024-12-01T00:00:00"/>
    <d v="2024-12-01T11:51:10"/>
    <s v="Zettle_*Black Sheep Co - 81 Southwark Street  Black Sheep Coffee HQ, LONDON"/>
    <m/>
    <m/>
    <s v="Zettle_*Black Sheep Co - 81 Southwark Street  Black Sheep Coffee HQ, LONDON"/>
    <m/>
    <n v="-4.68"/>
    <n v="-4.68"/>
    <s v="Meals"/>
    <s v="CardPaymentOut"/>
    <s v="Cleared"/>
    <m/>
    <m/>
    <x v="3"/>
  </r>
  <r>
    <n v="1063"/>
    <s v="SA23.24"/>
    <x v="0"/>
    <d v="2024-09-05T00:00:00"/>
    <d v="2024-09-05T08:13:44"/>
    <s v="APPLE.COM/BILL - Hollyhill Estate, APPLE.COM/BIL"/>
    <m/>
    <m/>
    <s v="APPLE.COM/BILL - Hollyhill Estate, APPLE.COM/BIL"/>
    <m/>
    <n v="-9.99"/>
    <n v="-9.99"/>
    <s v="Software and IT costs"/>
    <s v="CardPaymentOut"/>
    <s v="Cleared"/>
    <m/>
    <m/>
    <x v="17"/>
  </r>
  <r>
    <n v="1209"/>
    <s v="SA23.24"/>
    <x v="0"/>
    <d v="2024-12-02T00:00:00"/>
    <d v="2024-12-02T13:44:41"/>
    <s v="TFL TRAVEL CH - VICTORIA STREET, TFL.GOV.UK/CP"/>
    <m/>
    <m/>
    <s v="TFL TRAVEL CH - VICTORIA STREET, TFL.GOV.UK/CP"/>
    <m/>
    <n v="-6.6"/>
    <n v="-6.6"/>
    <s v="Travel"/>
    <s v="CardPaymentOut"/>
    <s v="Cleared"/>
    <m/>
    <m/>
    <x v="0"/>
  </r>
  <r>
    <n v="1210"/>
    <s v="SA23.24"/>
    <x v="0"/>
    <d v="2024-12-02T00:00:00"/>
    <d v="2024-12-02T16:36:05"/>
    <s v="NYX*JOOS - Western Avenue, London"/>
    <m/>
    <m/>
    <s v="NYX*JOOS - Western Avenue, London"/>
    <m/>
    <n v="-9"/>
    <n v="-9"/>
    <s v="Meals"/>
    <s v="CardPaymentOut"/>
    <s v="Cleared"/>
    <m/>
    <m/>
    <x v="3"/>
  </r>
  <r>
    <n v="1211"/>
    <s v="SA23.24"/>
    <x v="0"/>
    <d v="2024-12-03T00:00:00"/>
    <d v="2024-12-03T03:03:51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242"/>
    <s v="SA23.24"/>
    <x v="0"/>
    <d v="2024-12-18T00:00:00"/>
    <d v="2024-12-18T01:01:26"/>
    <s v="HMRC PAYE          ref: 120PX02927477"/>
    <s v="120PX02927477"/>
    <s v="HMRC PAYE"/>
    <m/>
    <n v="3000"/>
    <m/>
    <n v="3000"/>
    <s v="Income"/>
    <s v="FasterPaymentIn"/>
    <s v="Cleared"/>
    <m/>
    <m/>
    <x v="15"/>
  </r>
  <r>
    <n v="1100"/>
    <s v="SA23.24"/>
    <x v="0"/>
    <d v="2024-10-01T00:00:00"/>
    <d v="2024-10-01T10:36:32"/>
    <s v="LIFE IN THE COCOON LTD ref: Work Bag"/>
    <s v="Work Bag"/>
    <m/>
    <s v="LIFE IN THE COCOON LTD"/>
    <m/>
    <n v="-980"/>
    <n v="-980"/>
    <s v="Office supplies"/>
    <s v="FasterPaymentOut"/>
    <s v="Cleared"/>
    <m/>
    <m/>
    <x v="12"/>
  </r>
  <r>
    <n v="1214"/>
    <s v="SA23.24"/>
    <x v="0"/>
    <d v="2024-12-04T00:00:00"/>
    <d v="2024-12-04T00:14:16"/>
    <s v="TIDE PLATFORM LTD ref: Charge of 7.19 for Invoice Advanced usage from 2024-12-01 to 2024-12-31"/>
    <s v="Charge of 7.19 for Invoice Advanced usage from 2024-12-01 to 2024-12-31"/>
    <m/>
    <s v="TIDE PLATFORM LTD"/>
    <m/>
    <n v="-7.19"/>
    <n v="-7.19"/>
    <m/>
    <s v="PaymentOut"/>
    <s v="Cleared"/>
    <m/>
    <m/>
    <x v="7"/>
  </r>
  <r>
    <n v="1215"/>
    <s v="SA23.24"/>
    <x v="0"/>
    <d v="2024-12-04T00:00:00"/>
    <d v="2024-12-04T12:24:31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317"/>
    <s v="SA23.24"/>
    <x v="0"/>
    <d v="2025-02-06T00:00:00"/>
    <d v="2025-02-06T18:13:01"/>
    <s v="JON OPTICAL LTD ref: EAST STREET"/>
    <s v="EAST STREET"/>
    <s v="JON OPTICAL LTD"/>
    <m/>
    <n v="2825"/>
    <m/>
    <n v="2825"/>
    <s v="Income"/>
    <s v="FasterPaymentIn"/>
    <s v="Cleared"/>
    <m/>
    <m/>
    <x v="1"/>
  </r>
  <r>
    <n v="1217"/>
    <s v="SA23.24"/>
    <x v="0"/>
    <d v="2024-12-05T00:00:00"/>
    <d v="2024-12-05T08:49:10"/>
    <s v="UBER* TRIP - 2 LEMAN STREET, LONDON"/>
    <m/>
    <m/>
    <s v="UBER* TRIP - 2 LEMAN STREET, LONDON"/>
    <m/>
    <n v="-7.93"/>
    <n v="-7.93"/>
    <s v="Travel"/>
    <s v="CardPaymentOut"/>
    <s v="Cleared"/>
    <m/>
    <m/>
    <x v="0"/>
  </r>
  <r>
    <n v="1218"/>
    <s v="SA23.24"/>
    <x v="0"/>
    <d v="2024-12-05T00:00:00"/>
    <d v="2024-12-05T13:12:34"/>
    <s v="TESCO STORES 2934 - 300 BEVERLEY WAY, NEW MALDEN"/>
    <m/>
    <m/>
    <s v="TESCO STORES 2934 - 300 BEVERLEY WAY, NEW MALDEN"/>
    <m/>
    <n v="-4.4000000000000004"/>
    <n v="-4.4000000000000004"/>
    <s v="Meals"/>
    <s v="CardPaymentOut"/>
    <s v="Cleared"/>
    <m/>
    <m/>
    <x v="3"/>
  </r>
  <r>
    <n v="1219"/>
    <s v="SA23.24"/>
    <x v="0"/>
    <d v="2024-12-05T00:00:00"/>
    <d v="2024-12-05T13:15:39"/>
    <s v="43050335 COSTA COFFEE - TESCO EXTRA, 300 BEVERLEY WAY, LONDON"/>
    <m/>
    <m/>
    <s v="43050335 COSTA COFFEE - TESCO EXTRA, 300 BEVERLEY WAY, LONDON"/>
    <m/>
    <n v="-3.95"/>
    <n v="-3.95"/>
    <s v="Meals"/>
    <s v="CardPaymentOut"/>
    <s v="Cleared"/>
    <m/>
    <m/>
    <x v="3"/>
  </r>
  <r>
    <n v="1220"/>
    <s v="SA23.24"/>
    <x v="0"/>
    <d v="2024-12-05T00:00:00"/>
    <d v="2024-12-05T14:04:00"/>
    <s v="TFL TRAVEL CH - VICTORIA STREET, TFL.GOV.UK/CP"/>
    <m/>
    <m/>
    <s v="TFL TRAVEL CH - VICTORIA STREET, TFL.GOV.UK/CP"/>
    <m/>
    <n v="-2.7"/>
    <n v="-2.7"/>
    <s v="Travel"/>
    <s v="CardPaymentOut"/>
    <s v="Cleared"/>
    <m/>
    <m/>
    <x v="0"/>
  </r>
  <r>
    <n v="1222"/>
    <s v="SA23.24"/>
    <x v="0"/>
    <d v="2024-12-06T00:00:00"/>
    <d v="2024-12-06T03:35:31"/>
    <s v="TFL TRAVEL CH - VICTORIA STREET, TFL.GOV.UK/CP"/>
    <m/>
    <m/>
    <s v="TFL TRAVEL CH - VICTORIA STREET, TFL.GOV.UK/CP"/>
    <m/>
    <n v="-3.8"/>
    <n v="-3.8"/>
    <s v="Travel"/>
    <s v="CardPaymentOut"/>
    <s v="Cleared"/>
    <m/>
    <m/>
    <x v="0"/>
  </r>
  <r>
    <n v="1223"/>
    <s v="SA23.24"/>
    <x v="0"/>
    <d v="2024-12-06T00:00:00"/>
    <d v="2024-12-06T08:54:48"/>
    <s v="Snax - Unit 1 Lower Concourse Wimbledon Underground St, London"/>
    <m/>
    <m/>
    <s v="Snax - Unit 1 Lower Concourse Wimbledon Underground St, London"/>
    <m/>
    <n v="-4.97"/>
    <n v="-4.97"/>
    <s v="Meals"/>
    <s v="CardPaymentOut"/>
    <s v="Cleared"/>
    <m/>
    <m/>
    <x v="3"/>
  </r>
  <r>
    <n v="1224"/>
    <s v="SA23.24"/>
    <x v="0"/>
    <d v="2024-12-06T00:00:00"/>
    <d v="2024-12-06T09:01:48"/>
    <s v="CAFFE NERO 292 WIMBLED - 6 THE BROADWAY, LONDON"/>
    <m/>
    <m/>
    <s v="CAFFE NERO 292 WIMBLED - 6 THE BROADWAY, LONDON"/>
    <m/>
    <n v="-4.25"/>
    <n v="-4.25"/>
    <s v="Meals"/>
    <s v="CardPaymentOut"/>
    <s v="Cleared"/>
    <m/>
    <m/>
    <x v="3"/>
  </r>
  <r>
    <n v="1225"/>
    <s v="SA23.24"/>
    <x v="0"/>
    <d v="2024-12-06T00:00:00"/>
    <d v="2024-12-06T13:20:33"/>
    <s v="SUBWAY 40540 WIMBLEDON - Hartfield Road 6, WIMBLEDON - L"/>
    <m/>
    <m/>
    <s v="SUBWAY 40540 WIMBLEDON - Hartfield Road 6, WIMBLEDON - L"/>
    <m/>
    <n v="-9.24"/>
    <n v="-9.24"/>
    <s v="Meals"/>
    <s v="CardPaymentOut"/>
    <s v="Cleared"/>
    <m/>
    <m/>
    <x v="3"/>
  </r>
  <r>
    <n v="1226"/>
    <s v="SA23.24"/>
    <x v="0"/>
    <d v="2024-12-06T00:00:00"/>
    <d v="2024-12-06T16:05:05"/>
    <s v="Tide fees: Smart plan payment"/>
    <s v="Tide fees: Smart plan payment"/>
    <m/>
    <s v="TIDE PLATFORM LTD"/>
    <m/>
    <n v="-14.99"/>
    <n v="-14.99"/>
    <m/>
    <s v="PaymentOut"/>
    <s v="Cleared"/>
    <m/>
    <m/>
    <x v="7"/>
  </r>
  <r>
    <n v="1227"/>
    <s v="SA23.24"/>
    <x v="0"/>
    <d v="2024-12-07T00:00:00"/>
    <d v="2024-12-07T08:46:29"/>
    <s v="CAFFE NERO EALING BROA - 34 THE BROADWAY,, LONDON"/>
    <m/>
    <m/>
    <s v="CAFFE NERO EALING BROA - 34 THE BROADWAY,, LONDON"/>
    <m/>
    <n v="-4.25"/>
    <n v="-4.25"/>
    <s v="Meals"/>
    <s v="CardPaymentOut"/>
    <s v="Cleared"/>
    <m/>
    <m/>
    <x v="3"/>
  </r>
  <r>
    <n v="1228"/>
    <s v="SA23.24"/>
    <x v="0"/>
    <d v="2024-12-07T00:00:00"/>
    <d v="2024-12-07T12:57:09"/>
    <s v="PRET EALING - 45 HIGH ST EALING, LONDON"/>
    <m/>
    <m/>
    <s v="PRET EALING - 45 HIGH ST EALING, LONDON"/>
    <m/>
    <n v="-4.5"/>
    <n v="-4.5"/>
    <s v="Meals"/>
    <s v="CardPaymentOut"/>
    <s v="Cleared"/>
    <m/>
    <m/>
    <x v="3"/>
  </r>
  <r>
    <n v="1229"/>
    <s v="SA23.24"/>
    <x v="0"/>
    <d v="2024-12-07T00:00:00"/>
    <d v="2024-12-07T15:32:21"/>
    <s v="TFL TRAVEL CH - VICTORIA STREET, TFL.GOV.UK/CP"/>
    <m/>
    <m/>
    <s v="TFL TRAVEL CH - VICTORIA STREET, TFL.GOV.UK/CP"/>
    <m/>
    <n v="-4.2"/>
    <n v="-4.2"/>
    <s v="Travel"/>
    <s v="CardPaymentOut"/>
    <s v="Cleared"/>
    <m/>
    <m/>
    <x v="0"/>
  </r>
  <r>
    <n v="1230"/>
    <s v="SA23.24"/>
    <x v="0"/>
    <d v="2024-12-07T00:00:00"/>
    <d v="2024-12-07T18:34:51"/>
    <s v="SumUp  *The Questors G - The Questors Theatre 12 Ma, Ealing"/>
    <m/>
    <m/>
    <s v="SumUp  *The Questors G - The Questors Theatre 12 Ma, Ealing"/>
    <m/>
    <n v="-4.3"/>
    <n v="-4.3"/>
    <s v="Meals"/>
    <s v="CardPaymentOut"/>
    <s v="Cleared"/>
    <m/>
    <m/>
    <x v="3"/>
  </r>
  <r>
    <n v="1231"/>
    <s v="SA23.24"/>
    <x v="0"/>
    <d v="2024-12-07T00:00:00"/>
    <d v="2024-12-07T22:11:10"/>
    <s v="UBR* PENDING.UBER.COM - Aldgate Tower First Floor, LONDON"/>
    <m/>
    <m/>
    <s v="UBR* PENDING.UBER.COM - Aldgate Tower First Floor, LONDON"/>
    <m/>
    <n v="-20.079999999999998"/>
    <n v="-20.079999999999998"/>
    <s v="Travel"/>
    <s v="CardPaymentOut"/>
    <s v="Cleared"/>
    <m/>
    <m/>
    <x v="0"/>
  </r>
  <r>
    <n v="1232"/>
    <s v="SA23.24"/>
    <x v="0"/>
    <d v="2024-12-08T00:00:00"/>
    <d v="2024-12-08T12:34:16"/>
    <s v="TFL TRAVEL CH - VICTORIA STREET, TFL.GOV.UK/CP"/>
    <m/>
    <m/>
    <s v="TFL TRAVEL CH - VICTORIA STREET, TFL.GOV.UK/CP"/>
    <m/>
    <n v="-3.65"/>
    <n v="-3.65"/>
    <s v="Travel"/>
    <s v="CardPaymentOut"/>
    <s v="Cleared"/>
    <m/>
    <m/>
    <x v="0"/>
  </r>
  <r>
    <n v="1233"/>
    <s v="SA23.24"/>
    <x v="0"/>
    <d v="2024-12-10T00:00:00"/>
    <d v="2024-12-10T03:17:43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234"/>
    <s v="SA23.24"/>
    <x v="0"/>
    <d v="2024-12-10T00:00:00"/>
    <d v="2024-12-10T14:04:50"/>
    <s v="NISA LOCAL - 105A-107 DAWES ROAD, LONDON"/>
    <m/>
    <m/>
    <s v="NISA LOCAL - 105A-107 DAWES ROAD, LONDON"/>
    <m/>
    <n v="-2.5"/>
    <n v="-2.5"/>
    <s v="Other expenses"/>
    <s v="CardPaymentOut"/>
    <s v="Cleared"/>
    <m/>
    <m/>
    <x v="3"/>
  </r>
  <r>
    <n v="1235"/>
    <s v="SA23.24"/>
    <x v="0"/>
    <d v="2024-12-11T00:00:00"/>
    <d v="2024-12-11T03:15:28"/>
    <s v="EE LIMITED         ref: T15253570574444630"/>
    <s v="T15253570574444630"/>
    <m/>
    <s v="EE LIMITED"/>
    <m/>
    <n v="-86.97"/>
    <n v="-86.97"/>
    <s v="Phone and internet"/>
    <s v="DirectDebit"/>
    <s v="Cleared"/>
    <m/>
    <m/>
    <x v="2"/>
  </r>
  <r>
    <n v="1236"/>
    <s v="SA23.24"/>
    <x v="0"/>
    <d v="2024-12-11T00:00:00"/>
    <d v="2024-12-11T14:49:09"/>
    <s v="TFL TRAVEL CH - VICTORIA STREET, TFL.GOV.UK/CP"/>
    <m/>
    <m/>
    <s v="TFL TRAVEL CH - VICTORIA STREET, TFL.GOV.UK/CP"/>
    <m/>
    <n v="-2.8"/>
    <n v="-2.8"/>
    <s v="Travel"/>
    <s v="CardPaymentOut"/>
    <s v="Cleared"/>
    <m/>
    <m/>
    <x v="0"/>
  </r>
  <r>
    <n v="1237"/>
    <s v="SA23.24"/>
    <x v="0"/>
    <d v="2024-12-12T00:00:00"/>
    <d v="2024-12-12T15:26:14"/>
    <s v="TFL TRAVEL CH - VICTORIA STREET, TFL.GOV.UK/CP"/>
    <m/>
    <m/>
    <s v="TFL TRAVEL CH - VICTORIA STREET, TFL.GOV.UK/CP"/>
    <m/>
    <n v="-5.15"/>
    <n v="-5.15"/>
    <s v="Travel"/>
    <s v="CardPaymentOut"/>
    <s v="Cleared"/>
    <m/>
    <m/>
    <x v="0"/>
  </r>
  <r>
    <n v="1272"/>
    <s v="SA23.24"/>
    <x v="0"/>
    <d v="2025-01-10T00:00:00"/>
    <d v="2025-01-10T01:02:38"/>
    <s v="LUXOTTICA RETAIL U ref: 2000108293202511-2"/>
    <s v="2000108293202511-2"/>
    <s v="LUXOTTICA RETAIL U"/>
    <m/>
    <n v="1775"/>
    <m/>
    <n v="1775"/>
    <s v="Income"/>
    <s v="FasterPaymentIn"/>
    <s v="Cleared"/>
    <m/>
    <m/>
    <x v="1"/>
  </r>
  <r>
    <n v="1239"/>
    <s v="SA23.24"/>
    <x v="0"/>
    <d v="2024-12-13T00:00:00"/>
    <d v="2024-12-13T04:38:49"/>
    <s v="UBER   *TRIP - 706 MISSION ST, 8005928996"/>
    <m/>
    <m/>
    <s v="UBER   *TRIP - 706 MISSION ST, 8005928996"/>
    <m/>
    <n v="-69.12"/>
    <n v="-69.12"/>
    <s v="Travel"/>
    <s v="CardPaymentOut"/>
    <s v="Cleared"/>
    <m/>
    <m/>
    <x v="0"/>
  </r>
  <r>
    <n v="1240"/>
    <s v="SA23.24"/>
    <x v="0"/>
    <d v="2024-12-13T00:00:00"/>
    <d v="2024-12-13T12:51:50"/>
    <s v="SHAIFA REMTULLA ref: Salary"/>
    <s v="Salary"/>
    <m/>
    <s v="SHAIFA REMTULLA"/>
    <m/>
    <n v="-500"/>
    <n v="-500"/>
    <m/>
    <s v="FasterPaymentOut"/>
    <s v="Cleared"/>
    <m/>
    <m/>
    <x v="4"/>
  </r>
  <r>
    <n v="1241"/>
    <s v="SA23.24"/>
    <x v="0"/>
    <d v="2024-12-17T00:00:00"/>
    <d v="2024-12-17T12:25:10"/>
    <s v="SHAIFA REMTULLA ref: Salary"/>
    <s v="Salary"/>
    <m/>
    <s v="SHAIFA REMTULLA"/>
    <m/>
    <n v="-42"/>
    <n v="-42"/>
    <m/>
    <s v="FasterPaymentOut"/>
    <s v="Cleared"/>
    <m/>
    <m/>
    <x v="4"/>
  </r>
  <r>
    <n v="1278"/>
    <s v="SA23.24"/>
    <x v="0"/>
    <d v="2025-01-17T00:00:00"/>
    <d v="2025-01-17T01:04:58"/>
    <s v="LUXOTTICA RETAIL U ref: 2000108744202512-2"/>
    <s v="2000108744202512-2"/>
    <s v="LUXOTTICA RETAIL U"/>
    <m/>
    <n v="600"/>
    <m/>
    <n v="600"/>
    <s v="Income"/>
    <s v="FasterPaymentIn"/>
    <s v="Cleared"/>
    <m/>
    <m/>
    <x v="1"/>
  </r>
  <r>
    <n v="1243"/>
    <s v="SA23.24"/>
    <x v="0"/>
    <d v="2024-12-19T00:00:00"/>
    <d v="2024-12-19T09:07:29"/>
    <s v="Charge of 2.40 for Bank Transfers usage from 2024-11-01 to 2024-11-29"/>
    <s v="Charge of 2.40 for Bank Transfers usage from 2024-11-01 to 2024-11-29"/>
    <m/>
    <m/>
    <m/>
    <n v="-2.4"/>
    <n v="-2.4"/>
    <s v="Bank fees"/>
    <s v="Fee"/>
    <s v="Cleared"/>
    <m/>
    <m/>
    <x v="7"/>
  </r>
  <r>
    <n v="1244"/>
    <s v="SA23.24"/>
    <x v="0"/>
    <d v="2024-12-19T00:00:00"/>
    <d v="2024-12-19T20:29:33"/>
    <s v="SHAIFA REMTULLA ref: Salary"/>
    <s v="Salary"/>
    <m/>
    <s v="SHAIFA REMTULLA"/>
    <m/>
    <n v="-2500"/>
    <n v="-2500"/>
    <m/>
    <s v="FasterPaymentOut"/>
    <s v="Cleared"/>
    <m/>
    <m/>
    <x v="4"/>
  </r>
  <r>
    <n v="1245"/>
    <s v="SA23.24"/>
    <x v="0"/>
    <d v="2024-12-21T00:00:00"/>
    <d v="2024-12-21T05:29:17"/>
    <s v="Microsoft*Microsoft 36 - Microsoft Campus, Thames Valley Park, msbill.info"/>
    <m/>
    <m/>
    <s v="Microsoft*Microsoft 36 - Microsoft Campus, Thames Valley Park, msbill.info"/>
    <m/>
    <n v="-59.99"/>
    <n v="-59.99"/>
    <s v="Operational equipment"/>
    <s v="CardPaymentOut"/>
    <s v="Cleared"/>
    <m/>
    <m/>
    <x v="9"/>
  </r>
  <r>
    <n v="1102"/>
    <s v="SA23.24"/>
    <x v="0"/>
    <d v="2024-10-02T00:00:00"/>
    <d v="2024-10-02T09:30:49"/>
    <s v="APPLE.COM/BILL - Hollyhill Estate, APPLE.COM/BIL"/>
    <m/>
    <m/>
    <s v="APPLE.COM/BILL - Hollyhill Estate, APPLE.COM/BIL"/>
    <m/>
    <n v="-2.99"/>
    <n v="-2.99"/>
    <s v="Software and IT costs"/>
    <s v="CardPaymentOut"/>
    <s v="Cleared"/>
    <m/>
    <m/>
    <x v="17"/>
  </r>
  <r>
    <n v="1247"/>
    <s v="SA23.24"/>
    <x v="0"/>
    <d v="2024-12-24T00:00:00"/>
    <d v="2024-12-24T01:09:03"/>
    <s v="ABBEYFIELD VE LIMI ref: RG05570001278924"/>
    <s v="RG05570001278924"/>
    <s v="ABBEYFIELD VE LIMI"/>
    <m/>
    <n v="1050"/>
    <m/>
    <n v="1050"/>
    <s v="Income"/>
    <s v="FasterPaymentIn"/>
    <s v="Cleared"/>
    <m/>
    <m/>
    <x v="1"/>
  </r>
  <r>
    <n v="1248"/>
    <s v="SA23.24"/>
    <x v="0"/>
    <d v="2024-12-24T00:00:00"/>
    <d v="2024-12-24T01:09:03"/>
    <s v="ABBEYFIELD VE LIMI ref: RG05570001294224"/>
    <s v="RG05570001294224"/>
    <s v="ABBEYFIELD VE LIMI"/>
    <m/>
    <n v="650"/>
    <m/>
    <n v="650"/>
    <s v="Income"/>
    <s v="FasterPaymentIn"/>
    <s v="Cleared"/>
    <m/>
    <m/>
    <x v="1"/>
  </r>
  <r>
    <n v="1250"/>
    <s v="SA23.24"/>
    <x v="0"/>
    <d v="2025-01-02T00:00:00"/>
    <d v="2025-01-02T03:32:53"/>
    <s v="EE LIMITED         ref: T15253570582817153"/>
    <s v="T15253570582817153"/>
    <m/>
    <s v="EE LIMITED"/>
    <m/>
    <n v="-144.9"/>
    <n v="-144.9"/>
    <s v="Phone and internet"/>
    <s v="DirectDebit"/>
    <s v="Cleared"/>
    <m/>
    <m/>
    <x v="2"/>
  </r>
  <r>
    <n v="1147"/>
    <s v="SA23.24"/>
    <x v="0"/>
    <d v="2024-11-02T00:00:00"/>
    <d v="2024-11-02T08:30:08"/>
    <s v="APPLE.COM/BILL - Hollyhill Estate, APPLE.COM/BIL"/>
    <m/>
    <m/>
    <s v="APPLE.COM/BILL - Hollyhill Estate, APPLE.COM/BIL"/>
    <m/>
    <n v="-2.99"/>
    <n v="-2.99"/>
    <s v="Software and IT costs"/>
    <s v="CardPaymentOut"/>
    <s v="Cleared"/>
    <m/>
    <m/>
    <x v="17"/>
  </r>
  <r>
    <n v="1252"/>
    <s v="SA23.24"/>
    <x v="0"/>
    <d v="2025-01-03T00:00:00"/>
    <d v="2025-01-03T07:34:52"/>
    <s v="TFL TRAVEL CH - VICTORIA STREET, TFL.GOV.UK/CP"/>
    <m/>
    <m/>
    <s v="TFL TRAVEL CH - VICTORIA STREET, TFL.GOV.UK/CP"/>
    <m/>
    <n v="-7.25"/>
    <n v="-7.25"/>
    <s v="Travel"/>
    <s v="CardPaymentOut"/>
    <s v="Cleared"/>
    <m/>
    <m/>
    <x v="0"/>
  </r>
  <r>
    <n v="1194"/>
    <s v="SA23.24"/>
    <x v="0"/>
    <d v="2024-11-29T00:00:00"/>
    <d v="2024-11-29T05:57:03"/>
    <s v="Tide fees: Plus plan payment"/>
    <s v="Tide fees: Plus plan payment"/>
    <m/>
    <s v="TIDE PLATFORM LTD"/>
    <m/>
    <n v="-0.8"/>
    <n v="-0.8"/>
    <m/>
    <s v="PaymentOut"/>
    <s v="Cleared"/>
    <m/>
    <m/>
    <x v="7"/>
  </r>
  <r>
    <n v="1254"/>
    <s v="SA23.24"/>
    <x v="0"/>
    <d v="2025-01-03T00:00:00"/>
    <d v="2025-01-03T13:31:07"/>
    <s v="HMRC CUMBERLAND ref: 1689273383K"/>
    <s v="1689273383K"/>
    <m/>
    <s v="HMRC CUMBERLAND"/>
    <m/>
    <n v="-1584.7"/>
    <n v="-1584.7"/>
    <s v="Taxes"/>
    <s v="FasterPaymentOut"/>
    <s v="Cleared"/>
    <m/>
    <m/>
    <x v="20"/>
  </r>
  <r>
    <n v="1255"/>
    <s v="SA23.24"/>
    <x v="0"/>
    <d v="2025-01-03T00:00:00"/>
    <d v="2025-01-03T13:31:41"/>
    <s v="SHAIFA REMTULLA ref: Salary"/>
    <s v="Salary"/>
    <m/>
    <s v="SHAIFA REMTULLA"/>
    <m/>
    <n v="-600"/>
    <n v="-600"/>
    <m/>
    <s v="FasterPaymentOut"/>
    <s v="Cleared"/>
    <m/>
    <m/>
    <x v="4"/>
  </r>
  <r>
    <n v="1256"/>
    <s v="SA23.24"/>
    <x v="0"/>
    <d v="2025-01-03T00:00:00"/>
    <d v="2025-01-03T18:04:11"/>
    <s v="TRAINLINE - 120 HOLBORN, LONDON"/>
    <m/>
    <m/>
    <s v="TRAINLINE - 120 HOLBORN, LONDON"/>
    <m/>
    <n v="-17.23"/>
    <n v="-17.23"/>
    <s v="Travel"/>
    <s v="CardPaymentOut"/>
    <s v="Cleared"/>
    <m/>
    <m/>
    <x v="0"/>
  </r>
  <r>
    <n v="1257"/>
    <s v="SA23.24"/>
    <x v="0"/>
    <d v="2025-01-04T00:00:00"/>
    <d v="2025-01-04T00:15:29"/>
    <s v="TIDE PLATFORM LTD ref: Charge of 7.19 for Invoice Advanced usage from 2025-01-01 to 2025-01-31"/>
    <s v="Charge of 7.19 for Invoice Advanced usage from 2025-01-01 to 2025-01-31"/>
    <m/>
    <s v="TIDE PLATFORM LTD"/>
    <m/>
    <n v="-7.19"/>
    <n v="-7.19"/>
    <m/>
    <s v="PaymentOut"/>
    <s v="Cleared"/>
    <m/>
    <m/>
    <x v="7"/>
  </r>
  <r>
    <n v="1258"/>
    <s v="SA23.24"/>
    <x v="0"/>
    <d v="2025-01-04T00:00:00"/>
    <d v="2025-01-04T07:19:25"/>
    <s v="SAINSBURYS S/MKTS - 20 ST JOHNS HILL, CLAPHAM JUNCT"/>
    <m/>
    <m/>
    <s v="SAINSBURYS S/MKTS - 20 ST JOHNS HILL, CLAPHAM JUNCT"/>
    <m/>
    <n v="-2.9"/>
    <n v="-2.9"/>
    <s v="Meals"/>
    <s v="CardPaymentOut"/>
    <s v="Cleared"/>
    <m/>
    <m/>
    <x v="3"/>
  </r>
  <r>
    <n v="1259"/>
    <s v="SA23.24"/>
    <x v="0"/>
    <d v="2025-01-04T00:00:00"/>
    <d v="2025-01-04T07:23:06"/>
    <s v="M&amp;S SIMPLY FOOD - SSP - UNIT 4 SHOPSTOP SHOPPING CTR, CLAPHAM JNCTN"/>
    <m/>
    <m/>
    <s v="M&amp;S SIMPLY FOOD - SSP - UNIT 4 SHOPSTOP SHOPPING CTR, CLAPHAM JNCTN"/>
    <m/>
    <n v="-3.75"/>
    <n v="-3.75"/>
    <s v="Meals"/>
    <s v="CardPaymentOut"/>
    <s v="Cleared"/>
    <m/>
    <m/>
    <x v="3"/>
  </r>
  <r>
    <n v="1260"/>
    <s v="SA23.24"/>
    <x v="0"/>
    <d v="2025-01-04T00:00:00"/>
    <d v="2025-01-04T13:42:01"/>
    <s v="Flint Owl Bakery - 5 Middle Row, East Grinste"/>
    <m/>
    <m/>
    <s v="Flint Owl Bakery - 5 Middle Row, East Grinste"/>
    <m/>
    <n v="-4.0999999999999996"/>
    <n v="-4.0999999999999996"/>
    <s v="Meals"/>
    <s v="CardPaymentOut"/>
    <s v="Cleared"/>
    <m/>
    <m/>
    <x v="3"/>
  </r>
  <r>
    <n v="1261"/>
    <s v="SA23.24"/>
    <x v="0"/>
    <d v="2025-01-05T00:00:00"/>
    <d v="2025-01-05T10:39:24"/>
    <s v="Snax - Unit 1 Lower Concourse Wimbledon Underground St, London"/>
    <m/>
    <m/>
    <s v="Snax - Unit 1 Lower Concourse Wimbledon Underground St, London"/>
    <m/>
    <n v="-3.98"/>
    <n v="-3.98"/>
    <s v="Meals"/>
    <s v="CardPaymentOut"/>
    <s v="Cleared"/>
    <m/>
    <m/>
    <x v="3"/>
  </r>
  <r>
    <n v="1262"/>
    <s v="SA23.24"/>
    <x v="0"/>
    <d v="2025-01-05T00:00:00"/>
    <d v="2025-01-05T12:55:05"/>
    <s v="TFL TRAVEL CH - VICTORIA STREET, TFL.GOV.UK/CP"/>
    <m/>
    <m/>
    <s v="TFL TRAVEL CH - VICTORIA STREET, TFL.GOV.UK/CP"/>
    <m/>
    <n v="-3.5"/>
    <n v="-3.5"/>
    <s v="Travel"/>
    <s v="CardPaymentOut"/>
    <s v="Cleared"/>
    <m/>
    <m/>
    <x v="0"/>
  </r>
  <r>
    <n v="1263"/>
    <s v="SA23.24"/>
    <x v="0"/>
    <d v="2025-01-06T00:00:00"/>
    <d v="2025-01-06T01:50:16"/>
    <s v="TFL TRAVEL CH - VICTORIA STREET, TFL.GOV.UK/CP"/>
    <m/>
    <m/>
    <s v="TFL TRAVEL CH - VICTORIA STREET, TFL.GOV.UK/CP"/>
    <m/>
    <n v="-7.3"/>
    <n v="-7.3"/>
    <s v="Travel"/>
    <s v="CardPaymentOut"/>
    <s v="Cleared"/>
    <m/>
    <m/>
    <x v="0"/>
  </r>
  <r>
    <n v="1208"/>
    <s v="SA23.24"/>
    <x v="0"/>
    <d v="2024-12-02T00:00:00"/>
    <d v="2024-12-02T09:29:59"/>
    <s v="APPLE.COM/BILL - HOLLYHILL INDUSTRIAL ESTATE, CORK"/>
    <m/>
    <m/>
    <s v="APPLE.COM/BILL - HOLLYHILL INDUSTRIAL ESTATE, CORK"/>
    <m/>
    <n v="-2.99"/>
    <n v="-2.99"/>
    <s v="Software and IT costs"/>
    <s v="CardPaymentOut"/>
    <s v="Cleared"/>
    <m/>
    <m/>
    <x v="17"/>
  </r>
  <r>
    <n v="1265"/>
    <s v="SA23.24"/>
    <x v="0"/>
    <d v="2025-01-06T00:00:00"/>
    <d v="2025-01-06T17:31:07"/>
    <s v="SHAIFA REMTULLA ref: Salary"/>
    <s v="Salary"/>
    <m/>
    <s v="SHAIFA REMTULLA"/>
    <m/>
    <n v="-100"/>
    <n v="-100"/>
    <m/>
    <s v="FasterPaymentOut"/>
    <s v="Cleared"/>
    <m/>
    <m/>
    <x v="4"/>
  </r>
  <r>
    <n v="1266"/>
    <s v="SA23.24"/>
    <x v="0"/>
    <d v="2025-01-07T00:00:00"/>
    <d v="2025-01-07T12:17:59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251"/>
    <s v="SA23.24"/>
    <x v="0"/>
    <d v="2025-01-02T00:00:00"/>
    <d v="2025-01-02T09:30:18"/>
    <s v="APPLE.COM/BILL - Hollyhill Estate, APPLE.COM/BIL"/>
    <m/>
    <m/>
    <s v="APPLE.COM/BILL - Hollyhill Estate, APPLE.COM/BIL"/>
    <m/>
    <n v="-2.99"/>
    <n v="-2.99"/>
    <s v="Software and IT costs"/>
    <s v="CardPaymentOut"/>
    <s v="Cleared"/>
    <m/>
    <m/>
    <x v="17"/>
  </r>
  <r>
    <n v="1253"/>
    <s v="SA23.24"/>
    <x v="0"/>
    <d v="2025-01-03T00:00:00"/>
    <d v="2025-01-03T12:02:12"/>
    <s v="PHONE X VAPE - 14 Fulham Broadway, London"/>
    <m/>
    <m/>
    <s v="PHONE X VAPE - 14 Fulham Broadway, London"/>
    <m/>
    <n v="-15"/>
    <n v="-15"/>
    <s v="Office supplies"/>
    <s v="CardPaymentOut"/>
    <s v="Cleared"/>
    <m/>
    <m/>
    <x v="2"/>
  </r>
  <r>
    <n v="1268"/>
    <s v="SA23.24"/>
    <x v="0"/>
    <d v="2025-01-08T00:00:00"/>
    <d v="2025-01-08T17:48:00"/>
    <s v="SP SMARTPACKAGING.DI - 10 Ryknild Street, LICHFIELD"/>
    <m/>
    <m/>
    <s v="SP SMARTPACKAGING.DI - 10 Ryknild Street, LICHFIELD"/>
    <m/>
    <n v="-27.65"/>
    <n v="-27.65"/>
    <s v="Software and IT costs"/>
    <s v="CardPaymentOut"/>
    <s v="Cleared"/>
    <m/>
    <m/>
    <x v="13"/>
  </r>
  <r>
    <n v="1270"/>
    <s v="SA23.24"/>
    <x v="0"/>
    <d v="2025-01-09T00:00:00"/>
    <d v="2025-01-09T13:14:19"/>
    <s v="TFL TRAVEL CH - VICTORIA STREET, TFL.GOV.UK/CP"/>
    <m/>
    <m/>
    <s v="TFL TRAVEL CH - VICTORIA STREET, TFL.GOV.UK/CP"/>
    <m/>
    <n v="-2.7"/>
    <n v="-2.7"/>
    <s v="Travel"/>
    <s v="CardPaymentOut"/>
    <s v="Cleared"/>
    <m/>
    <m/>
    <x v="0"/>
  </r>
  <r>
    <n v="1271"/>
    <s v="SA23.24"/>
    <x v="0"/>
    <d v="2025-01-10T00:00:00"/>
    <d v="2025-01-10T01:01:20"/>
    <s v="SCRIVENS LTD       ref: No Reference"/>
    <s v="No Reference"/>
    <s v="SCRIVENS LTD"/>
    <m/>
    <n v="400"/>
    <m/>
    <n v="400"/>
    <s v="Income"/>
    <s v="FasterPaymentIn"/>
    <s v="Cleared"/>
    <m/>
    <m/>
    <x v="1"/>
  </r>
  <r>
    <n v="1195"/>
    <s v="SA23.24"/>
    <x v="0"/>
    <d v="2024-11-29T00:00:00"/>
    <d v="2024-11-29T09:53:55"/>
    <s v="MISP HOLDINGS LIMITED ref: INV-0028"/>
    <s v="INV-0028"/>
    <s v="MISP HOLDINGS LIMITED"/>
    <m/>
    <n v="325"/>
    <m/>
    <n v="325"/>
    <s v="Income"/>
    <s v="FasterPaymentIn"/>
    <s v="Cleared"/>
    <m/>
    <m/>
    <x v="1"/>
  </r>
  <r>
    <n v="1273"/>
    <s v="SA23.24"/>
    <x v="0"/>
    <d v="2025-01-10T00:00:00"/>
    <d v="2025-01-10T08:05:47"/>
    <s v="HMRC CUMBERLAND ref: 120PX02927477"/>
    <s v="120PX02927477"/>
    <m/>
    <s v="HMRC CUMBERLAND"/>
    <m/>
    <n v="-45.19"/>
    <n v="-45.19"/>
    <s v="Taxes"/>
    <s v="FasterPaymentOut"/>
    <s v="Cleared"/>
    <m/>
    <m/>
    <x v="15"/>
  </r>
  <r>
    <n v="1274"/>
    <s v="SA23.24"/>
    <x v="0"/>
    <d v="2025-01-10T00:00:00"/>
    <d v="2025-01-10T08:11:11"/>
    <s v="Mo chaudhry ref: Accounting"/>
    <s v="Accounting"/>
    <m/>
    <s v="Mo chaudhry"/>
    <m/>
    <n v="-613"/>
    <n v="-613"/>
    <s v="Payment to subcontractors"/>
    <s v="FasterPaymentOut"/>
    <s v="Cleared"/>
    <m/>
    <m/>
    <x v="21"/>
  </r>
  <r>
    <n v="1275"/>
    <s v="SA23.24"/>
    <x v="0"/>
    <d v="2025-01-11T00:00:00"/>
    <d v="2025-01-11T02:51:58"/>
    <s v="TFL TRAVEL CH - VICTORIA STREET, TFL.GOV.UK/CP"/>
    <m/>
    <m/>
    <s v="TFL TRAVEL CH - VICTORIA STREET, TFL.GOV.UK/CP"/>
    <m/>
    <n v="-8.5"/>
    <n v="-8.5"/>
    <s v="Travel"/>
    <s v="CardPaymentOut"/>
    <s v="Cleared"/>
    <m/>
    <m/>
    <x v="0"/>
  </r>
  <r>
    <n v="1276"/>
    <s v="SA23.24"/>
    <x v="0"/>
    <d v="2025-01-13T00:00:00"/>
    <d v="2025-01-13T10:44:27"/>
    <s v="TFL TRAVEL CH - VICTORIA STREET, TFL.GOV.UK/CP"/>
    <m/>
    <m/>
    <s v="TFL TRAVEL CH - VICTORIA STREET, TFL.GOV.UK/CP"/>
    <m/>
    <n v="-7.35"/>
    <n v="-7.35"/>
    <s v="Travel"/>
    <s v="CardPaymentOut"/>
    <s v="Cleared"/>
    <m/>
    <m/>
    <x v="0"/>
  </r>
  <r>
    <n v="1277"/>
    <s v="SA23.24"/>
    <x v="0"/>
    <d v="2025-01-16T00:00:00"/>
    <d v="2025-01-16T09:58:06"/>
    <s v="WM MORRISONS STORE - 264 WALWORTH ROAD, LONDON"/>
    <m/>
    <m/>
    <s v="WM MORRISONS STORE - 264 WALWORTH ROAD, LONDON"/>
    <m/>
    <n v="-4"/>
    <n v="-4"/>
    <s v="Meals"/>
    <s v="CardPaymentOut"/>
    <s v="Cleared"/>
    <m/>
    <m/>
    <x v="3"/>
  </r>
  <r>
    <n v="1212"/>
    <s v="SA23.24"/>
    <x v="0"/>
    <d v="2024-12-03T00:00:00"/>
    <d v="2024-12-03T17:13:25"/>
    <s v="REMTULLA ref: loan repaymemt"/>
    <s v="loan repaymemt"/>
    <s v="REMTULLA"/>
    <m/>
    <n v="100"/>
    <m/>
    <n v="100"/>
    <s v="Income"/>
    <s v="FasterPaymentIn"/>
    <s v="Cleared"/>
    <m/>
    <m/>
    <x v="4"/>
  </r>
  <r>
    <n v="1279"/>
    <s v="SA23.24"/>
    <x v="0"/>
    <d v="2025-01-17T00:00:00"/>
    <d v="2025-01-17T06:27:43"/>
    <s v="SHAIFA REMTULLA ref: Salary"/>
    <s v="Salary"/>
    <m/>
    <s v="SHAIFA REMTULLA"/>
    <m/>
    <n v="-2100"/>
    <n v="-2100"/>
    <m/>
    <s v="FasterPaymentOut"/>
    <s v="Cleared"/>
    <m/>
    <m/>
    <x v="4"/>
  </r>
  <r>
    <n v="1280"/>
    <s v="SA23.24"/>
    <x v="0"/>
    <d v="2025-01-17T00:00:00"/>
    <d v="2025-01-17T10:36:16"/>
    <s v="TRAINLINE - 120 HOLBORN, LONDON"/>
    <m/>
    <m/>
    <s v="TRAINLINE - 120 HOLBORN, LONDON"/>
    <m/>
    <n v="-25.49"/>
    <n v="-25.49"/>
    <s v="Travel"/>
    <s v="CardPaymentOut"/>
    <s v="Cleared"/>
    <m/>
    <m/>
    <x v="0"/>
  </r>
  <r>
    <n v="1281"/>
    <s v="SA23.24"/>
    <x v="0"/>
    <d v="2025-01-17T00:00:00"/>
    <d v="2025-01-17T16:06:15"/>
    <s v="TRAINLINE - 120 HOLBORN, LONDON"/>
    <m/>
    <m/>
    <s v="TRAINLINE - 120 HOLBORN, LONDON"/>
    <m/>
    <n v="-20.39"/>
    <n v="-20.39"/>
    <s v="Travel"/>
    <s v="CardPaymentOut"/>
    <s v="Cleared"/>
    <m/>
    <m/>
    <x v="0"/>
  </r>
  <r>
    <n v="1282"/>
    <s v="SA23.24"/>
    <x v="0"/>
    <d v="2025-01-18T00:00:00"/>
    <d v="2025-01-18T13:24:18"/>
    <s v="HOLLAND &amp; BARRETT - 25 LONDON ROAD, EAST GRINSTEA"/>
    <m/>
    <m/>
    <s v="HOLLAND &amp; BARRETT - 25 LONDON ROAD, EAST GRINSTEA"/>
    <m/>
    <n v="-5.09"/>
    <n v="-5.09"/>
    <s v="Meals"/>
    <s v="CardPaymentOut"/>
    <s v="Cleared"/>
    <m/>
    <m/>
    <x v="3"/>
  </r>
  <r>
    <n v="1283"/>
    <s v="SA23.24"/>
    <x v="0"/>
    <d v="2025-01-19T00:00:00"/>
    <d v="2025-01-19T11:00:19"/>
    <s v="CAFFE NERO 510 WIMBLED - HIGH STREET,, LONDON"/>
    <m/>
    <m/>
    <s v="CAFFE NERO 510 WIMBLED - HIGH STREET,, LONDON"/>
    <m/>
    <n v="-4.75"/>
    <n v="-4.75"/>
    <s v="Meals"/>
    <s v="CardPaymentOut"/>
    <s v="Cleared"/>
    <m/>
    <m/>
    <x v="3"/>
  </r>
  <r>
    <n v="1284"/>
    <s v="SA23.24"/>
    <x v="0"/>
    <d v="2025-01-20T00:00:00"/>
    <d v="2025-01-20T02:02:37"/>
    <s v="TFL TRAVEL CH - VICTORIA STREET, TFL.GOV.UK/CP"/>
    <m/>
    <m/>
    <s v="TFL TRAVEL CH - VICTORIA STREET, TFL.GOV.UK/CP"/>
    <m/>
    <n v="-10"/>
    <n v="-10"/>
    <s v="Travel"/>
    <s v="CardPaymentOut"/>
    <s v="Cleared"/>
    <m/>
    <m/>
    <x v="0"/>
  </r>
  <r>
    <n v="1285"/>
    <s v="SA23.24"/>
    <x v="0"/>
    <d v="2025-01-20T00:00:00"/>
    <d v="2025-01-20T13:33:29"/>
    <s v="CANARY WHARF LEON - PROMENADE LEVEL, LONDON"/>
    <m/>
    <m/>
    <s v="CANARY WHARF LEON - PROMENADE LEVEL, LONDON"/>
    <m/>
    <n v="-3.99"/>
    <n v="-3.99"/>
    <s v="Meals"/>
    <s v="CardPaymentOut"/>
    <s v="Cleared"/>
    <m/>
    <m/>
    <x v="3"/>
  </r>
  <r>
    <n v="1286"/>
    <s v="SA23.24"/>
    <x v="0"/>
    <d v="2025-01-21T00:00:00"/>
    <d v="2025-01-21T12:03:36"/>
    <s v="TFL TRAVEL CH - VICTORIA STREET, TFL.GOV.UK/CP"/>
    <m/>
    <m/>
    <s v="TFL TRAVEL CH - VICTORIA STREET, TFL.GOV.UK/CP"/>
    <m/>
    <n v="-6.2"/>
    <n v="-6.2"/>
    <s v="Travel"/>
    <s v="CardPaymentOut"/>
    <s v="Cleared"/>
    <m/>
    <m/>
    <x v="0"/>
  </r>
  <r>
    <n v="1287"/>
    <s v="SA23.24"/>
    <x v="0"/>
    <d v="2025-01-23T00:00:00"/>
    <d v="2025-01-23T09:53:53"/>
    <s v="CENTRAL NEWS - CENTRAL NEWS, WALWORTH ROAD"/>
    <m/>
    <m/>
    <s v="CENTRAL NEWS - CENTRAL NEWS, WALWORTH ROAD"/>
    <m/>
    <n v="-2.15"/>
    <n v="-2.15"/>
    <s v="Meals"/>
    <s v="CardPaymentOut"/>
    <s v="Cleared"/>
    <m/>
    <m/>
    <x v="3"/>
  </r>
  <r>
    <n v="1288"/>
    <s v="SA23.24"/>
    <x v="0"/>
    <d v="2025-01-23T00:00:00"/>
    <d v="2025-01-23T13:25:09"/>
    <s v="HOLLAND &amp; BARRETT - 303 WALWORTH ROAD, WALWORTH ROAD"/>
    <m/>
    <m/>
    <s v="HOLLAND &amp; BARRETT - 303 WALWORTH ROAD, WALWORTH ROAD"/>
    <m/>
    <n v="-2.79"/>
    <n v="-2.79"/>
    <s v="Meals"/>
    <s v="CardPaymentOut"/>
    <s v="Cleared"/>
    <m/>
    <m/>
    <x v="3"/>
  </r>
  <r>
    <n v="1289"/>
    <s v="SA23.24"/>
    <x v="0"/>
    <d v="2025-01-24T00:00:00"/>
    <d v="2025-01-24T13:10:49"/>
    <s v="TFL TRAVEL CH - VICTORIA STREET, TFL.GOV.UK/CP"/>
    <m/>
    <m/>
    <s v="TFL TRAVEL CH - VICTORIA STREET, TFL.GOV.UK/CP"/>
    <m/>
    <n v="-4.45"/>
    <n v="-4.45"/>
    <s v="Travel"/>
    <s v="CardPaymentOut"/>
    <s v="Cleared"/>
    <m/>
    <m/>
    <x v="0"/>
  </r>
  <r>
    <n v="1290"/>
    <s v="SA23.24"/>
    <x v="0"/>
    <d v="2025-01-24T00:00:00"/>
    <d v="2025-01-24T13:22:52"/>
    <s v="Subway 37992-0 Walwort - WALWORTH ROAD 242, London"/>
    <m/>
    <m/>
    <s v="Subway 37992-0 Walwort - WALWORTH ROAD 242, London"/>
    <m/>
    <n v="-7.59"/>
    <n v="-7.59"/>
    <s v="Meals"/>
    <s v="CardPaymentOut"/>
    <s v="Cleared"/>
    <m/>
    <m/>
    <x v="3"/>
  </r>
  <r>
    <n v="1291"/>
    <s v="SA23.24"/>
    <x v="0"/>
    <d v="2025-01-25T00:00:00"/>
    <d v="2025-01-25T08:20:06"/>
    <s v="M&amp;S SIMPLY FOOD-SSP - SU15 WESTERN CONCOURSE., LONDON BRIDGE"/>
    <m/>
    <m/>
    <s v="M&amp;S SIMPLY FOOD-SSP - SU15 WESTERN CONCOURSE., LONDON BRIDGE"/>
    <m/>
    <n v="-3.75"/>
    <n v="-3.75"/>
    <s v="Meals"/>
    <s v="CardPaymentOut"/>
    <s v="Cleared"/>
    <m/>
    <m/>
    <x v="3"/>
  </r>
  <r>
    <n v="1292"/>
    <s v="SA23.24"/>
    <x v="0"/>
    <d v="2025-01-25T00:00:00"/>
    <d v="2025-01-25T08:55:35"/>
    <s v="CAFFE NERO ISLINGTON - 75 UPPER ST,, LONDON"/>
    <m/>
    <m/>
    <s v="CAFFE NERO ISLINGTON - 75 UPPER ST,, LONDON"/>
    <m/>
    <n v="-4.25"/>
    <n v="-4.25"/>
    <s v="Meals"/>
    <s v="CardPaymentOut"/>
    <s v="Cleared"/>
    <m/>
    <m/>
    <x v="3"/>
  </r>
  <r>
    <n v="1293"/>
    <s v="SA23.24"/>
    <x v="0"/>
    <d v="2025-01-25T00:00:00"/>
    <d v="2025-01-25T13:15:34"/>
    <s v="HOLLAND AND BARRETT - 21-22 UPPER STREET, ANGEL ISLINGT"/>
    <m/>
    <m/>
    <s v="HOLLAND AND BARRETT - 21-22 UPPER STREET, ANGEL ISLINGT"/>
    <m/>
    <n v="-6.23"/>
    <n v="-6.23"/>
    <s v="Meals"/>
    <s v="CardPaymentOut"/>
    <s v="Cleared"/>
    <m/>
    <m/>
    <x v="3"/>
  </r>
  <r>
    <n v="1294"/>
    <s v="SA23.24"/>
    <x v="0"/>
    <d v="2025-01-26T00:00:00"/>
    <d v="2025-01-26T02:42:56"/>
    <s v="TFL TRAVEL CH - VICTORIA STREET, TFL.GOV.UK/CP"/>
    <m/>
    <m/>
    <s v="TFL TRAVEL CH - VICTORIA STREET, TFL.GOV.UK/CP"/>
    <m/>
    <n v="-8.1"/>
    <n v="-8.1"/>
    <s v="Travel"/>
    <s v="CardPaymentOut"/>
    <s v="Cleared"/>
    <m/>
    <m/>
    <x v="0"/>
  </r>
  <r>
    <n v="1295"/>
    <s v="SA23.24"/>
    <x v="0"/>
    <d v="2025-01-26T00:00:00"/>
    <d v="2025-01-26T08:41:09"/>
    <s v="SAINSBURYS S/MKTS - 171 LONG LANE, BOROUGH LONG"/>
    <m/>
    <m/>
    <s v="SAINSBURYS S/MKTS - 171 LONG LANE, BOROUGH LONG"/>
    <m/>
    <n v="-3.47"/>
    <n v="-3.47"/>
    <s v="Meals"/>
    <s v="CardPaymentOut"/>
    <s v="Cleared"/>
    <m/>
    <m/>
    <x v="3"/>
  </r>
  <r>
    <n v="1296"/>
    <s v="SA23.24"/>
    <x v="0"/>
    <d v="2025-01-26T00:00:00"/>
    <d v="2025-01-26T11:23:58"/>
    <s v="JOE THE JUICE UK LTD - 46 Dean Street, London"/>
    <m/>
    <m/>
    <s v="JOE THE JUICE UK LTD - 46 Dean Street, London"/>
    <m/>
    <n v="-9.8000000000000007"/>
    <n v="-9.8000000000000007"/>
    <s v="Meals"/>
    <s v="CardPaymentOut"/>
    <s v="Cleared"/>
    <m/>
    <m/>
    <x v="3"/>
  </r>
  <r>
    <n v="1297"/>
    <s v="SA23.24"/>
    <x v="0"/>
    <d v="2025-01-27T00:00:00"/>
    <d v="2025-01-27T08:35:59"/>
    <s v="TFL TRAVEL CH - VICTORIA STREET, TFL.GOV.UK/CP"/>
    <m/>
    <m/>
    <s v="TFL TRAVEL CH - VICTORIA STREET, TFL.GOV.UK/CP"/>
    <m/>
    <n v="-5.4"/>
    <n v="-5.4"/>
    <s v="Travel"/>
    <s v="CardPaymentOut"/>
    <s v="Cleared"/>
    <m/>
    <m/>
    <x v="0"/>
  </r>
  <r>
    <n v="1298"/>
    <s v="SA23.24"/>
    <x v="0"/>
    <d v="2025-01-27T00:00:00"/>
    <d v="2025-01-27T13:08:39"/>
    <s v="Subway 37992-0 Walwort - WALWORTH ROAD 242, London"/>
    <m/>
    <m/>
    <s v="Subway 37992-0 Walwort - WALWORTH ROAD 242, London"/>
    <m/>
    <n v="-9.09"/>
    <n v="-9.09"/>
    <s v="Meals"/>
    <s v="CardPaymentOut"/>
    <s v="Cleared"/>
    <m/>
    <m/>
    <x v="3"/>
  </r>
  <r>
    <n v="1299"/>
    <s v="SA23.24"/>
    <x v="0"/>
    <d v="2025-01-28T00:00:00"/>
    <d v="2025-01-28T11:48:35"/>
    <s v="TFL TRAVEL CH - VICTORIA STREET, TFL.GOV.UK/CP"/>
    <m/>
    <m/>
    <s v="TFL TRAVEL CH - VICTORIA STREET, TFL.GOV.UK/CP"/>
    <m/>
    <n v="-1.75"/>
    <n v="-1.75"/>
    <s v="Travel"/>
    <s v="CardPaymentOut"/>
    <s v="Cleared"/>
    <m/>
    <m/>
    <x v="0"/>
  </r>
  <r>
    <n v="1300"/>
    <s v="SA23.24"/>
    <x v="0"/>
    <d v="2025-01-29T00:00:00"/>
    <d v="2025-01-29T03:14:47"/>
    <s v="TFL TRAVEL CH - VICTORIA STREET, TFL.GOV.UK/CP"/>
    <m/>
    <m/>
    <s v="TFL TRAVEL CH - VICTORIA STREET, TFL.GOV.UK/CP"/>
    <m/>
    <n v="-8.1999999999999993"/>
    <n v="-8.1999999999999993"/>
    <s v="Travel"/>
    <s v="CardPaymentOut"/>
    <s v="Cleared"/>
    <m/>
    <m/>
    <x v="0"/>
  </r>
  <r>
    <n v="1301"/>
    <s v="SA23.24"/>
    <x v="0"/>
    <d v="2025-01-30T00:00:00"/>
    <d v="2025-01-30T09:24:40"/>
    <s v="TESCO STORES 5518 - 34 LONGLANE, LONDON"/>
    <m/>
    <m/>
    <s v="TESCO STORES 5518 - 34 LONGLANE, LONDON"/>
    <m/>
    <n v="-1.45"/>
    <n v="-1.45"/>
    <s v="Meals"/>
    <s v="CardPaymentOut"/>
    <s v="Cleared"/>
    <m/>
    <m/>
    <x v="3"/>
  </r>
  <r>
    <n v="1302"/>
    <s v="SA23.24"/>
    <x v="0"/>
    <d v="2025-01-30T00:00:00"/>
    <d v="2025-01-30T09:25:12"/>
    <s v="TESCO STORES 5518 - 34 LONGLANE, LONDON"/>
    <m/>
    <m/>
    <s v="TESCO STORES 5518 - 34 LONGLANE, LONDON"/>
    <m/>
    <n v="-1.6"/>
    <n v="-1.6"/>
    <s v="Meals"/>
    <s v="CardPaymentOut"/>
    <s v="Cleared"/>
    <m/>
    <m/>
    <x v="3"/>
  </r>
  <r>
    <n v="1303"/>
    <s v="SA23.24"/>
    <x v="0"/>
    <d v="2025-01-30T00:00:00"/>
    <d v="2025-01-30T13:10:43"/>
    <s v="TESCO STORES 5784 - 224 WALWORTH ROAD, WALWORTH"/>
    <m/>
    <m/>
    <s v="TESCO STORES 5784 - 224 WALWORTH ROAD, WALWORTH"/>
    <m/>
    <n v="-2.85"/>
    <n v="-2.85"/>
    <s v="Meals"/>
    <s v="CardPaymentOut"/>
    <s v="Cleared"/>
    <m/>
    <m/>
    <x v="3"/>
  </r>
  <r>
    <n v="1304"/>
    <s v="SA23.24"/>
    <x v="0"/>
    <d v="2025-01-31T00:00:00"/>
    <d v="2025-01-31T13:00:20"/>
    <s v="HOLLAND &amp; BARRETT - 303 WALWORTH ROAD, WALWORTH ROAD"/>
    <m/>
    <m/>
    <s v="HOLLAND &amp; BARRETT - 303 WALWORTH ROAD, WALWORTH ROAD"/>
    <m/>
    <n v="-2.2599999999999998"/>
    <n v="-2.2599999999999998"/>
    <s v="Meals"/>
    <s v="CardPaymentOut"/>
    <s v="Cleared"/>
    <m/>
    <m/>
    <x v="3"/>
  </r>
  <r>
    <n v="1305"/>
    <s v="SA23.24"/>
    <x v="0"/>
    <d v="2025-01-31T00:00:00"/>
    <d v="2025-01-31T13:04:35"/>
    <s v="TESCO STORES 5784 - 224 WALWORTH ROAD, WALWORTH"/>
    <m/>
    <m/>
    <s v="TESCO STORES 5784 - 224 WALWORTH ROAD, WALWORTH"/>
    <m/>
    <n v="-3.55"/>
    <n v="-3.55"/>
    <s v="Meals"/>
    <s v="CardPaymentOut"/>
    <s v="Cleared"/>
    <m/>
    <m/>
    <x v="3"/>
  </r>
  <r>
    <n v="1306"/>
    <s v="SA23.24"/>
    <x v="0"/>
    <d v="2025-02-01T00:00:00"/>
    <d v="2025-02-01T13:26:19"/>
    <s v="BOOTS 0985 - 40-46 LONDON ROAD, EAST GRINSTEA"/>
    <m/>
    <m/>
    <s v="BOOTS 0985 - 40-46 LONDON ROAD, EAST GRINSTEA"/>
    <m/>
    <n v="-18.100000000000001"/>
    <n v="-18.100000000000001"/>
    <s v="Other expenses"/>
    <s v="CardPaymentOut"/>
    <s v="Cleared"/>
    <m/>
    <m/>
    <x v="8"/>
  </r>
  <r>
    <n v="1307"/>
    <s v="SA23.24"/>
    <x v="0"/>
    <d v="2025-02-02T00:00:00"/>
    <d v="2025-02-02T09:30:42"/>
    <s v="APPLE.COM/BILL - Hollyhill Estate, APPLE.COM/BIL"/>
    <m/>
    <m/>
    <s v="APPLE.COM/BILL - Hollyhill Estate, APPLE.COM/BIL"/>
    <m/>
    <n v="-2.99"/>
    <n v="-2.99"/>
    <s v="Software and IT costs"/>
    <s v="CardPaymentOut"/>
    <s v="Cleared"/>
    <m/>
    <m/>
    <x v="17"/>
  </r>
  <r>
    <n v="1308"/>
    <s v="SA23.24"/>
    <x v="0"/>
    <d v="2025-02-04T00:00:00"/>
    <d v="2025-02-04T08:09:06"/>
    <s v="TIDE PLATFORM LTD ref: Charge of 7.19 for Invoice Advanced usage from 2025-02-01 to 2025-02-28"/>
    <s v="Charge of 7.19 for Invoice Advanced usage from 2025-02-01 to 2025-02-28"/>
    <m/>
    <s v="TIDE PLATFORM LTD"/>
    <m/>
    <n v="-7.19"/>
    <n v="-7.19"/>
    <m/>
    <s v="PaymentOut"/>
    <s v="Cleared"/>
    <m/>
    <m/>
    <x v="7"/>
  </r>
  <r>
    <n v="1309"/>
    <s v="SA23.24"/>
    <x v="0"/>
    <d v="2025-02-04T00:00:00"/>
    <d v="2025-02-04T09:22:25"/>
    <s v="SUPER SAVE EXPRESS - 223-227 BOROUGH HIGH, LONDON"/>
    <m/>
    <m/>
    <s v="SUPER SAVE EXPRESS - 223-227 BOROUGH HIGH, LONDON"/>
    <m/>
    <n v="-1.8"/>
    <n v="-1.8"/>
    <s v="Meals"/>
    <s v="CardPaymentOut"/>
    <s v="Cleared"/>
    <m/>
    <m/>
    <x v="3"/>
  </r>
  <r>
    <n v="1310"/>
    <s v="SA23.24"/>
    <x v="0"/>
    <d v="2025-02-04T00:00:00"/>
    <d v="2025-02-04T09:43:22"/>
    <s v="COSTA COFFEE 43011758 - 269-271 WALWORTH ROAD, LONDON"/>
    <m/>
    <m/>
    <s v="COSTA COFFEE 43011758 - 269-271 WALWORTH ROAD, LONDON"/>
    <m/>
    <n v="-4.2"/>
    <n v="-4.2"/>
    <s v="Meals"/>
    <s v="CardPaymentOut"/>
    <s v="Cleared"/>
    <m/>
    <m/>
    <x v="3"/>
  </r>
  <r>
    <n v="1311"/>
    <s v="SA23.24"/>
    <x v="0"/>
    <d v="2025-02-04T00:00:00"/>
    <d v="2025-02-04T13:11:59"/>
    <s v="WM MORRISONS STORE - 264 WALWORTH ROAD, LONDON"/>
    <m/>
    <m/>
    <s v="WM MORRISONS STORE - 264 WALWORTH ROAD, LONDON"/>
    <m/>
    <n v="-6.45"/>
    <n v="-6.45"/>
    <s v="Meals"/>
    <s v="CardPaymentOut"/>
    <s v="Cleared"/>
    <m/>
    <m/>
    <x v="3"/>
  </r>
  <r>
    <n v="1312"/>
    <s v="SA23.24"/>
    <x v="0"/>
    <d v="2025-02-05T00:00:00"/>
    <d v="2025-02-05T09:51:28"/>
    <s v="TESCO STORES -6172 - 67-69 TOWER BRIDGE, LONDON"/>
    <m/>
    <m/>
    <s v="TESCO STORES -6172 - 67-69 TOWER BRIDGE, LONDON"/>
    <m/>
    <n v="-2.95"/>
    <n v="-2.95"/>
    <s v="Meals"/>
    <s v="CardPaymentOut"/>
    <s v="Cleared"/>
    <s v="lunch"/>
    <m/>
    <x v="3"/>
  </r>
  <r>
    <n v="1313"/>
    <s v="SA23.24"/>
    <x v="0"/>
    <d v="2025-02-05T00:00:00"/>
    <d v="2025-02-05T13:23:56"/>
    <s v="WM MORRISONS STORE - 264 WALWORTH ROAD, LONDON"/>
    <m/>
    <m/>
    <s v="WM MORRISONS STORE - 264 WALWORTH ROAD, LONDON"/>
    <m/>
    <n v="-4.99"/>
    <n v="-4.99"/>
    <s v="Meals"/>
    <s v="CardPaymentOut"/>
    <s v="Cleared"/>
    <s v="lunch"/>
    <m/>
    <x v="3"/>
  </r>
  <r>
    <n v="1314"/>
    <s v="SA23.24"/>
    <x v="0"/>
    <d v="2025-02-05T00:00:00"/>
    <d v="2025-02-05T14:27:44"/>
    <s v="TFL TRAVEL CH - VICTORIA STREET, TFL.GOV.UK/CP"/>
    <m/>
    <m/>
    <s v="TFL TRAVEL CH - VICTORIA STREET, TFL.GOV.UK/CP"/>
    <m/>
    <n v="-1.75"/>
    <n v="-1.75"/>
    <s v="Travel"/>
    <s v="CardPaymentOut"/>
    <s v="Cleared"/>
    <m/>
    <m/>
    <x v="0"/>
  </r>
  <r>
    <n v="1315"/>
    <s v="SA23.24"/>
    <x v="0"/>
    <d v="2025-02-06T00:00:00"/>
    <d v="2025-02-06T09:29:14"/>
    <s v="MCDONALDS - 198 WALWORTH ROAD, LONDON  SE17"/>
    <m/>
    <m/>
    <s v="MCDONALDS - 198 WALWORTH ROAD, LONDON  SE17"/>
    <m/>
    <n v="-1.29"/>
    <n v="-1.29"/>
    <s v="Meals"/>
    <s v="CardPaymentOut"/>
    <s v="Cleared"/>
    <m/>
    <m/>
    <x v="3"/>
  </r>
  <r>
    <n v="1316"/>
    <s v="SA23.24"/>
    <x v="0"/>
    <d v="2025-02-06T00:00:00"/>
    <d v="2025-02-06T15:05:52"/>
    <s v="TFL TRAVEL CH - VICTORIA STREET, TFL.GOV.UK/CP"/>
    <m/>
    <m/>
    <s v="TFL TRAVEL CH - VICTORIA STREET, TFL.GOV.UK/CP"/>
    <m/>
    <n v="-5.5"/>
    <n v="-5.5"/>
    <s v="Travel"/>
    <s v="CardPaymentOut"/>
    <s v="Cleared"/>
    <m/>
    <m/>
    <x v="0"/>
  </r>
  <r>
    <n v="1221"/>
    <s v="SA23.24"/>
    <x v="0"/>
    <d v="2024-12-06T00:00:00"/>
    <d v="2024-12-06T01:07:08"/>
    <s v="SCRIVENS LTD       ref: No Reference"/>
    <s v="No Reference"/>
    <s v="SCRIVENS LTD"/>
    <m/>
    <n v="400"/>
    <m/>
    <n v="400"/>
    <s v="Income"/>
    <s v="FasterPaymentIn"/>
    <s v="Cleared"/>
    <m/>
    <m/>
    <x v="1"/>
  </r>
  <r>
    <n v="1318"/>
    <s v="SA23.24"/>
    <x v="0"/>
    <d v="2025-02-06T00:00:00"/>
    <d v="2025-02-06T19:23:48"/>
    <s v="SHAIFA REMTULLA ref: Salary"/>
    <s v="Salary"/>
    <m/>
    <s v="SHAIFA REMTULLA"/>
    <m/>
    <n v="-1200"/>
    <n v="-1200"/>
    <m/>
    <s v="FasterPaymentOut"/>
    <s v="Cleared"/>
    <m/>
    <m/>
    <x v="4"/>
  </r>
  <r>
    <n v="1319"/>
    <s v="SA23.24"/>
    <x v="0"/>
    <d v="2025-02-07T00:00:00"/>
    <d v="2025-02-07T13:57:27"/>
    <s v="SHAIFA REMTULLA ref: Salary"/>
    <s v="Salary"/>
    <m/>
    <s v="SHAIFA REMTULLA"/>
    <m/>
    <n v="-1500"/>
    <n v="-1500"/>
    <m/>
    <s v="FasterPaymentOut"/>
    <s v="Cleared"/>
    <m/>
    <m/>
    <x v="4"/>
  </r>
  <r>
    <n v="1320"/>
    <s v="SA23.24"/>
    <x v="0"/>
    <d v="2025-02-07T00:00:00"/>
    <d v="2025-02-07T14:07:41"/>
    <s v="TFL TRAVEL CH - VICTORIA STREET, TFL.GOV.UK/CP"/>
    <m/>
    <m/>
    <s v="TFL TRAVEL CH - VICTORIA STREET, TFL.GOV.UK/CP"/>
    <m/>
    <n v="-7.25"/>
    <n v="-7.25"/>
    <s v="Travel"/>
    <s v="CardPaymentOut"/>
    <s v="Cleared"/>
    <m/>
    <m/>
    <x v="0"/>
  </r>
  <r>
    <n v="1321"/>
    <s v="SA23.24"/>
    <x v="0"/>
    <d v="2025-02-08T00:00:00"/>
    <d v="2025-02-08T03:06:50"/>
    <s v="TFL TRAVEL CH - VICTORIA STREET, TFL.GOV.UK/CP"/>
    <m/>
    <m/>
    <s v="TFL TRAVEL CH - VICTORIA STREET, TFL.GOV.UK/CP"/>
    <m/>
    <n v="-3"/>
    <n v="-3"/>
    <s v="Travel"/>
    <s v="CardPaymentOut"/>
    <s v="Cleared"/>
    <m/>
    <m/>
    <x v="0"/>
  </r>
  <r>
    <n v="1322"/>
    <s v="SA23.24"/>
    <x v="0"/>
    <d v="2025-02-10T00:00:00"/>
    <d v="2025-02-10T08:24:10"/>
    <s v="TESCO STORES 5518 - 34 LONGLANE, LONDON"/>
    <m/>
    <m/>
    <s v="TESCO STORES 5518 - 34 LONGLANE, LONDON"/>
    <m/>
    <n v="-4.45"/>
    <n v="-4.45"/>
    <s v="Meals"/>
    <s v="CardPaymentOut"/>
    <s v="Cleared"/>
    <m/>
    <m/>
    <x v="3"/>
  </r>
  <r>
    <n v="1323"/>
    <s v="SA23.24"/>
    <x v="0"/>
    <d v="2025-02-10T00:00:00"/>
    <d v="2025-02-10T09:23:17"/>
    <s v="MAISON ST CASSIEN - 71 HIGH STREET, WIMBLEDON"/>
    <m/>
    <m/>
    <s v="MAISON ST CASSIEN - 71 HIGH STREET, WIMBLEDON"/>
    <m/>
    <n v="-3.9"/>
    <n v="-3.9"/>
    <s v="Meals"/>
    <s v="CardPaymentOut"/>
    <s v="Cleared"/>
    <m/>
    <m/>
    <x v="3"/>
  </r>
  <r>
    <n v="1324"/>
    <s v="SA23.24"/>
    <x v="0"/>
    <d v="2025-02-11T00:00:00"/>
    <d v="2025-02-11T03:00:54"/>
    <s v="EE LIMITED         ref: T15253570591098743"/>
    <s v="T15253570591098743"/>
    <m/>
    <s v="EE LIMITED"/>
    <m/>
    <n v="-78.59"/>
    <n v="-78.59"/>
    <s v="Phone and internet"/>
    <s v="DirectDebit"/>
    <s v="Cleared"/>
    <m/>
    <m/>
    <x v="2"/>
  </r>
  <r>
    <n v="1325"/>
    <s v="SA23.24"/>
    <x v="0"/>
    <d v="2025-02-11T00:00:00"/>
    <d v="2025-02-11T12:18:07"/>
    <s v="TFL TRAVEL CH - VICTORIA STREET, TFL.GOV.UK/CP"/>
    <m/>
    <m/>
    <s v="TFL TRAVEL CH - VICTORIA STREET, TFL.GOV.UK/CP"/>
    <m/>
    <n v="-10"/>
    <n v="-10"/>
    <s v="Travel"/>
    <s v="CardPaymentOut"/>
    <s v="Cleared"/>
    <m/>
    <m/>
    <x v="0"/>
  </r>
  <r>
    <n v="1326"/>
    <s v="SA23.24"/>
    <x v="0"/>
    <d v="2025-02-12T00:00:00"/>
    <d v="2025-02-12T09:28:25"/>
    <s v="TESCO STORES -6172 - 67-69 TOWER BRIDGE, LONDON"/>
    <m/>
    <m/>
    <s v="TESCO STORES -6172 - 67-69 TOWER BRIDGE, LONDON"/>
    <m/>
    <n v="-2.95"/>
    <n v="-2.95"/>
    <s v="Meals"/>
    <s v="CardPaymentOut"/>
    <s v="Cleared"/>
    <m/>
    <m/>
    <x v="3"/>
  </r>
  <r>
    <n v="1327"/>
    <s v="SA23.24"/>
    <x v="0"/>
    <d v="2025-02-12T00:00:00"/>
    <d v="2025-02-12T13:31:02"/>
    <s v="WM MORRISONS STORE - 264 WALWORTH ROAD, LONDON"/>
    <m/>
    <m/>
    <s v="WM MORRISONS STORE - 264 WALWORTH ROAD, LONDON"/>
    <m/>
    <n v="-6.3"/>
    <n v="-6.3"/>
    <s v="Meals"/>
    <s v="CardPaymentOut"/>
    <s v="Cleared"/>
    <m/>
    <m/>
    <x v="3"/>
  </r>
  <r>
    <n v="1328"/>
    <s v="SA23.24"/>
    <x v="0"/>
    <d v="2025-02-13T00:00:00"/>
    <d v="2025-02-13T15:21:09"/>
    <s v="TFL TRAVEL CH - VICTORIA STREET, TFL.GOV.UK/CP"/>
    <m/>
    <m/>
    <s v="TFL TRAVEL CH - VICTORIA STREET, TFL.GOV.UK/CP"/>
    <m/>
    <n v="-1.75"/>
    <n v="-1.75"/>
    <s v="Travel"/>
    <s v="CardPaymentOut"/>
    <s v="Cleared"/>
    <m/>
    <m/>
    <x v="0"/>
  </r>
  <r>
    <n v="1329"/>
    <s v="SA23.24"/>
    <x v="0"/>
    <d v="2025-02-14T00:00:00"/>
    <d v="2025-02-14T01:05:16"/>
    <s v="LUXOTTICA RETAIL U ref: 2000110099202501-2"/>
    <s v="2000110099202501-2"/>
    <s v="LUXOTTICA RETAIL U"/>
    <m/>
    <n v="1450"/>
    <m/>
    <n v="1450"/>
    <s v="Income"/>
    <s v="FasterPaymentIn"/>
    <s v="Cleared"/>
    <m/>
    <m/>
    <x v="1"/>
  </r>
  <r>
    <n v="1216"/>
    <s v="SA23.24"/>
    <x v="0"/>
    <d v="2024-12-05T00:00:00"/>
    <d v="2024-12-05T07:21:29"/>
    <s v="Tide Payout"/>
    <s v="TX46267992100XT Ti"/>
    <m/>
    <m/>
    <n v="0.98"/>
    <m/>
    <n v="0.98"/>
    <s v="Income"/>
    <s v="AcquirerSettlement"/>
    <s v="Cleared"/>
    <m/>
    <m/>
    <x v="7"/>
  </r>
  <r>
    <n v="1331"/>
    <s v="SA23.24"/>
    <x v="0"/>
    <d v="2025-02-18T00:00:00"/>
    <d v="2025-02-18T13:25:55"/>
    <s v="WM MORRISONS STORE - 264 WALWORTH ROAD, LONDON"/>
    <m/>
    <m/>
    <s v="WM MORRISONS STORE - 264 WALWORTH ROAD, LONDON"/>
    <m/>
    <n v="-3.93"/>
    <n v="-3.93"/>
    <s v="Meals"/>
    <s v="CardPaymentOut"/>
    <s v="Cleared"/>
    <m/>
    <m/>
    <x v="3"/>
  </r>
  <r>
    <n v="1332"/>
    <s v="SA23.24"/>
    <x v="0"/>
    <d v="2025-02-18T00:00:00"/>
    <d v="2025-02-18T13:28:00"/>
    <s v="COSTA COFFEE 43011758 - 269-271 WALWORTH ROAD, LONDON"/>
    <m/>
    <m/>
    <s v="COSTA COFFEE 43011758 - 269-271 WALWORTH ROAD, LONDON"/>
    <m/>
    <n v="-4.6500000000000004"/>
    <n v="-4.6500000000000004"/>
    <s v="Meals"/>
    <s v="CardPaymentOut"/>
    <s v="Cleared"/>
    <m/>
    <m/>
    <x v="3"/>
  </r>
  <r>
    <n v="1333"/>
    <s v="SA23.24"/>
    <x v="0"/>
    <d v="2025-02-19T00:00:00"/>
    <d v="2025-02-19T10:26:06"/>
    <s v="Charge of 2.00 for Bank Transfers usage from 2025-01-01 to 2025-01-31"/>
    <s v="Charge of 2.00 for Bank Transfers usage from 2025-01-01 to 2025-01-31"/>
    <m/>
    <s v="Tide"/>
    <m/>
    <n v="-2"/>
    <n v="-2"/>
    <s v="Bank fees"/>
    <s v="Fee"/>
    <s v="Cleared"/>
    <m/>
    <m/>
    <x v="7"/>
  </r>
  <r>
    <n v="1334"/>
    <s v="SA23.24"/>
    <x v="0"/>
    <d v="2025-02-21T00:00:00"/>
    <d v="2025-02-21T13:30:09"/>
    <s v="COSTA COFFEE 43011758 - 269-271 WALWORTH ROAD, LONDON"/>
    <m/>
    <m/>
    <s v="COSTA COFFEE 43011758 - 269-271 WALWORTH ROAD, LONDON"/>
    <m/>
    <n v="-4.4000000000000004"/>
    <n v="-4.4000000000000004"/>
    <s v="Meals"/>
    <s v="CardPaymentOut"/>
    <s v="Cleared"/>
    <m/>
    <m/>
    <x v="3"/>
  </r>
  <r>
    <n v="1335"/>
    <s v="SA23.24"/>
    <x v="0"/>
    <d v="2025-02-22T00:00:00"/>
    <d v="2025-02-22T06:49:14"/>
    <s v="TFL TRAVEL CH - VICTORIA STREET, TFL.GOV.UK/CP"/>
    <m/>
    <m/>
    <s v="TFL TRAVEL CH - VICTORIA STREET, TFL.GOV.UK/CP"/>
    <m/>
    <n v="-6.2"/>
    <n v="-6.2"/>
    <s v="Travel"/>
    <s v="CardPaymentOut"/>
    <s v="Cleared"/>
    <m/>
    <m/>
    <x v="0"/>
  </r>
  <r>
    <n v="1336"/>
    <s v="SA23.24"/>
    <x v="0"/>
    <d v="2025-02-22T00:00:00"/>
    <d v="2025-02-22T07:04:37"/>
    <s v="SAINSBURYS S/MKTS - 116 BUCKINGHAM PALACE ROAD, LONDON  4065"/>
    <m/>
    <m/>
    <s v="SAINSBURYS S/MKTS - 116 BUCKINGHAM PALACE ROAD, LONDON  4065"/>
    <m/>
    <n v="-1.17"/>
    <n v="-1.17"/>
    <s v="Meals"/>
    <s v="CardPaymentOut"/>
    <s v="Cleared"/>
    <m/>
    <m/>
    <x v="3"/>
  </r>
  <r>
    <n v="1337"/>
    <s v="SA23.24"/>
    <x v="0"/>
    <d v="2025-02-22T00:00:00"/>
    <d v="2025-02-22T09:12:53"/>
    <s v="BOOTS,0811 - UNIT 6 VICTORIA PLACE, LONDON"/>
    <m/>
    <m/>
    <s v="BOOTS,0811 - UNIT 6 VICTORIA PLACE, LONDON"/>
    <m/>
    <n v="-3.75"/>
    <n v="-3.75"/>
    <s v="Other expenses"/>
    <s v="CardPaymentOut"/>
    <s v="Cleared"/>
    <m/>
    <m/>
    <x v="3"/>
  </r>
  <r>
    <n v="1338"/>
    <s v="SA23.24"/>
    <x v="0"/>
    <d v="2025-02-22T00:00:00"/>
    <d v="2025-02-22T14:16:28"/>
    <s v="BATTERSEA LEON - UNIT B1, G, 04, ELEC, LONDON"/>
    <m/>
    <m/>
    <s v="BATTERSEA LEON - UNIT B1, G, 04, ELEC, LONDON"/>
    <m/>
    <n v="-12.38"/>
    <n v="-12.38"/>
    <s v="Meals"/>
    <s v="CardPaymentOut"/>
    <s v="Cleared"/>
    <m/>
    <m/>
    <x v="3"/>
  </r>
  <r>
    <n v="1339"/>
    <s v="SA23.24"/>
    <x v="0"/>
    <d v="2025-02-23T00:00:00"/>
    <d v="2025-02-23T07:47:42"/>
    <s v="CAFFE NERO 10 STRAND - UNIT 1 65-72 THE STR, LONDON"/>
    <m/>
    <m/>
    <s v="CAFFE NERO 10 STRAND - UNIT 1 65-72 THE STR, LONDON"/>
    <m/>
    <n v="-4.8499999999999996"/>
    <n v="-4.8499999999999996"/>
    <s v="Meals"/>
    <s v="CardPaymentOut"/>
    <s v="Cleared"/>
    <m/>
    <m/>
    <x v="3"/>
  </r>
  <r>
    <n v="1340"/>
    <s v="SA23.24"/>
    <x v="0"/>
    <d v="2025-02-23T00:00:00"/>
    <d v="2025-02-23T15:11:12"/>
    <s v="SQ *BATTERSEA POWER ST - Circus Road West, London"/>
    <m/>
    <m/>
    <s v="SQ *BATTERSEA POWER ST - Circus Road West, London"/>
    <m/>
    <n v="-6.8"/>
    <n v="-6.8"/>
    <s v="Meals"/>
    <s v="CardPaymentOut"/>
    <s v="Cleared"/>
    <m/>
    <m/>
    <x v="3"/>
  </r>
  <r>
    <n v="1341"/>
    <s v="SA23.24"/>
    <x v="0"/>
    <d v="2025-02-24T00:00:00"/>
    <d v="2025-02-24T08:29:44"/>
    <s v="TFL TRAVEL CH - VICTORIA STREET, TFL.GOV.UK/CP"/>
    <m/>
    <m/>
    <s v="TFL TRAVEL CH - VICTORIA STREET, TFL.GOV.UK/CP"/>
    <m/>
    <n v="-8.1"/>
    <n v="-8.1"/>
    <s v="Travel"/>
    <s v="CardPaymentOut"/>
    <s v="Cleared"/>
    <m/>
    <m/>
    <x v="0"/>
  </r>
  <r>
    <n v="1342"/>
    <s v="SA23.24"/>
    <x v="0"/>
    <d v="2025-02-24T00:00:00"/>
    <d v="2025-02-24T09:25:38"/>
    <s v="TESCO STORES 5518 - 34 LONGLANE, LONDON"/>
    <m/>
    <m/>
    <s v="TESCO STORES 5518 - 34 LONGLANE, LONDON"/>
    <m/>
    <n v="-5.05"/>
    <n v="-5.05"/>
    <s v="Meals"/>
    <s v="CardPaymentOut"/>
    <s v="Cleared"/>
    <m/>
    <m/>
    <x v="3"/>
  </r>
  <r>
    <n v="1343"/>
    <s v="SA23.24"/>
    <x v="0"/>
    <d v="2025-02-24T00:00:00"/>
    <d v="2025-02-24T13:17:53"/>
    <s v="WM MORRISONS STORE - 264 WALWORTH ROAD, LONDON"/>
    <m/>
    <m/>
    <s v="WM MORRISONS STORE - 264 WALWORTH ROAD, LONDON"/>
    <m/>
    <n v="-2.9"/>
    <n v="-2.9"/>
    <s v="Meals"/>
    <s v="CardPaymentOut"/>
    <s v="Cleared"/>
    <m/>
    <m/>
    <x v="3"/>
  </r>
  <r>
    <n v="1344"/>
    <s v="SA23.24"/>
    <x v="0"/>
    <d v="2025-02-25T00:00:00"/>
    <d v="2025-02-25T02:04:31"/>
    <s v="TFL TRAVEL CH - VICTORIA STREET, TFL.GOV.UK/CP"/>
    <m/>
    <m/>
    <s v="TFL TRAVEL CH - VICTORIA STREET, TFL.GOV.UK/CP"/>
    <m/>
    <n v="-1.75"/>
    <n v="-1.75"/>
    <s v="Travel"/>
    <s v="CardPaymentOut"/>
    <s v="Cleared"/>
    <m/>
    <m/>
    <x v="0"/>
  </r>
  <r>
    <n v="1345"/>
    <s v="SA23.24"/>
    <x v="0"/>
    <d v="2025-02-25T00:00:00"/>
    <d v="2025-02-25T13:29:23"/>
    <s v="COSTA COFFEE 43011758 - 269-271 WALWORTH ROAD, LONDON"/>
    <m/>
    <m/>
    <s v="COSTA COFFEE 43011758 - 269-271 WALWORTH ROAD, LONDON"/>
    <m/>
    <n v="-4.2"/>
    <n v="-4.2"/>
    <s v="Meals"/>
    <s v="CardPaymentOut"/>
    <s v="Cleared"/>
    <m/>
    <m/>
    <x v="3"/>
  </r>
  <r>
    <n v="1346"/>
    <s v="SA23.24"/>
    <x v="0"/>
    <d v="2025-02-26T00:00:00"/>
    <d v="2025-02-26T09:07:00"/>
    <s v="CAFFE NERO LONDON BRID - UNIT SU39, 39 ST THO, LONDON"/>
    <m/>
    <m/>
    <s v="CAFFE NERO LONDON BRID - UNIT SU39, 39 ST THO, LONDON"/>
    <m/>
    <n v="-4.25"/>
    <n v="-4.25"/>
    <s v="Meals"/>
    <s v="CardPaymentOut"/>
    <s v="Cleared"/>
    <m/>
    <m/>
    <x v="3"/>
  </r>
  <r>
    <n v="1347"/>
    <s v="SA23.24"/>
    <x v="0"/>
    <d v="2025-02-26T00:00:00"/>
    <d v="2025-02-26T13:06:11"/>
    <s v="HOLLAND &amp; BARRETT - 303 WALWORTH ROAD, WALWORTH ROAD"/>
    <m/>
    <m/>
    <s v="HOLLAND &amp; BARRETT - 303 WALWORTH ROAD, WALWORTH ROAD"/>
    <m/>
    <n v="-2.78"/>
    <n v="-2.78"/>
    <s v="Meals"/>
    <s v="CardPaymentOut"/>
    <s v="Cleared"/>
    <m/>
    <m/>
    <x v="3"/>
  </r>
  <r>
    <n v="1348"/>
    <s v="SA23.24"/>
    <x v="0"/>
    <d v="2025-02-27T00:00:00"/>
    <d v="2025-02-27T13:46:59"/>
    <s v="TFL TRAVEL CH - VICTORIA STREET, TFL.GOV.UK/CP"/>
    <m/>
    <m/>
    <s v="TFL TRAVEL CH - VICTORIA STREET, TFL.GOV.UK/CP"/>
    <m/>
    <n v="-2.7"/>
    <n v="-2.7"/>
    <s v="Travel"/>
    <s v="CardPaymentOut"/>
    <s v="Cleared"/>
    <m/>
    <m/>
    <x v="0"/>
  </r>
  <r>
    <n v="1349"/>
    <s v="SA23.24"/>
    <x v="0"/>
    <d v="2025-02-27T00:00:00"/>
    <d v="2025-02-27T16:32:14"/>
    <s v="SHAIFA REMTULLA ref: Salary"/>
    <s v="Salary"/>
    <m/>
    <s v="SHAIFA REMTULLA"/>
    <m/>
    <n v="-900"/>
    <n v="-900"/>
    <m/>
    <s v="FasterPaymentOut"/>
    <s v="Cleared"/>
    <m/>
    <m/>
    <x v="4"/>
  </r>
  <r>
    <n v="1350"/>
    <s v="SA23.24"/>
    <x v="0"/>
    <d v="2025-02-28T00:00:00"/>
    <d v="2025-02-28T08:46:53"/>
    <s v="WH Smith Bexleyheath - 89 The Broadway Bexleyheath, Bexleyheath"/>
    <m/>
    <m/>
    <s v="WH Smith Bexleyheath - 89 The Broadway Bexleyheath, Bexleyheath"/>
    <m/>
    <n v="-1.5"/>
    <n v="-1.5"/>
    <s v="Meals"/>
    <s v="CardPaymentOut"/>
    <s v="Cleared"/>
    <m/>
    <m/>
    <x v="3"/>
  </r>
  <r>
    <n v="1351"/>
    <s v="SA23.24"/>
    <x v="0"/>
    <d v="2025-02-28T00:00:00"/>
    <d v="2025-02-28T13:54:14"/>
    <s v="TFL TRAVEL CH - VICTORIA STREET, TFL.GOV.UK/CP"/>
    <m/>
    <m/>
    <s v="TFL TRAVEL CH - VICTORIA STREET, TFL.GOV.UK/CP"/>
    <m/>
    <n v="-8.3000000000000007"/>
    <n v="-8.3000000000000007"/>
    <s v="Travel"/>
    <s v="CardPaymentOut"/>
    <s v="Cleared"/>
    <m/>
    <m/>
    <x v="0"/>
  </r>
  <r>
    <n v="1352"/>
    <s v="SA23.24"/>
    <x v="0"/>
    <d v="2025-02-28T00:00:00"/>
    <d v="2025-02-28T15:10:15"/>
    <s v="BOOTS 0846 - 31 THE MALL BROADWAY S/C, BEXLEYHEATH"/>
    <m/>
    <m/>
    <s v="BOOTS 0846 - 31 THE MALL BROADWAY S/C, BEXLEYHEATH"/>
    <m/>
    <n v="-2.8"/>
    <n v="-2.8"/>
    <s v="Other expenses"/>
    <s v="CardPaymentOut"/>
    <s v="Cleared"/>
    <m/>
    <m/>
    <x v="3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n v="1330"/>
    <s v="SA23.24"/>
    <x v="0"/>
    <d v="2025-02-14T00:00:00"/>
    <d v="2025-02-14T01:07:20"/>
    <s v="VISION EXPRESS UK  ref: RG50570000394425"/>
    <s v="RG50570000394425"/>
    <s v="VISION EXPRESS UK"/>
    <m/>
    <n v="375"/>
    <m/>
    <n v="375"/>
    <s v="Income"/>
    <s v="FasterPaymentIn"/>
    <s v="Cleared"/>
    <m/>
    <m/>
    <x v="1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n v="1249"/>
    <s v="SA23.24"/>
    <x v="0"/>
    <d v="2024-12-24T00:00:00"/>
    <d v="2024-12-24T01:09:04"/>
    <s v="VISION EXPRESS UK  ref: RG50570003136324"/>
    <s v="RG50570003136324"/>
    <s v="VISION EXPRESS UK"/>
    <m/>
    <n v="700"/>
    <m/>
    <n v="700"/>
    <s v="Income"/>
    <s v="FasterPaymentIn"/>
    <s v="Cleared"/>
    <m/>
    <m/>
    <x v="1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  <r>
    <m/>
    <m/>
    <x v="1"/>
    <m/>
    <m/>
    <m/>
    <m/>
    <m/>
    <m/>
    <m/>
    <m/>
    <m/>
    <m/>
    <m/>
    <m/>
    <m/>
    <m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8" indent="0" outline="1" outlineData="1" multipleFieldFilters="0">
  <location ref="A3:B27" firstHeaderRow="1" firstDataRow="2" firstDataCol="1"/>
  <pivotFields count="18">
    <pivotField showAll="0"/>
    <pivotField showAll="0"/>
    <pivotField axis="axisCol" showAll="0">
      <items count="5">
        <item m="1" x="3"/>
        <item x="0"/>
        <item h="1" m="1" x="2"/>
        <item h="1" x="1"/>
        <item t="default"/>
      </items>
    </pivotField>
    <pivotField numFmtId="14" showAll="0"/>
    <pivotField numFmtId="22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35">
        <item m="1" x="23"/>
        <item x="21"/>
        <item x="7"/>
        <item x="4"/>
        <item x="13"/>
        <item m="1" x="32"/>
        <item m="1" x="33"/>
        <item x="18"/>
        <item m="1" x="24"/>
        <item x="19"/>
        <item x="15"/>
        <item x="20"/>
        <item m="1" x="26"/>
        <item x="1"/>
        <item m="1" x="28"/>
        <item x="3"/>
        <item x="14"/>
        <item x="2"/>
        <item x="10"/>
        <item m="1" x="27"/>
        <item x="5"/>
        <item x="11"/>
        <item m="1" x="25"/>
        <item x="9"/>
        <item x="0"/>
        <item m="1" x="30"/>
        <item m="1" x="31"/>
        <item x="22"/>
        <item m="1" x="29"/>
        <item x="12"/>
        <item x="16"/>
        <item x="17"/>
        <item x="6"/>
        <item x="8"/>
        <item t="default"/>
      </items>
    </pivotField>
  </pivotFields>
  <rowFields count="1">
    <field x="17"/>
  </rowFields>
  <rowItems count="23">
    <i>
      <x v="1"/>
    </i>
    <i>
      <x v="2"/>
    </i>
    <i>
      <x v="3"/>
    </i>
    <i>
      <x v="4"/>
    </i>
    <i>
      <x v="7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>
      <x v="21"/>
    </i>
    <i>
      <x v="23"/>
    </i>
    <i>
      <x v="24"/>
    </i>
    <i>
      <x v="29"/>
    </i>
    <i>
      <x v="30"/>
    </i>
    <i>
      <x v="31"/>
    </i>
    <i>
      <x v="32"/>
    </i>
    <i>
      <x v="33"/>
    </i>
    <i t="grand">
      <x/>
    </i>
  </rowItems>
  <colFields count="1">
    <field x="2"/>
  </colFields>
  <colItems count="1">
    <i>
      <x v="1"/>
    </i>
  </colItems>
  <dataFields count="1">
    <dataField name="Sum of Amount" fld="11" baseField="17" baseItem="0" numFmtId="164"/>
  </dataFields>
  <formats count="11">
    <format dxfId="21">
      <pivotArea collapsedLevelsAreSubtotals="1" fieldPosition="0">
        <references count="2">
          <reference field="2" count="1" selected="0">
            <x v="1"/>
          </reference>
          <reference field="17" count="1">
            <x v="13"/>
          </reference>
        </references>
      </pivotArea>
    </format>
    <format dxfId="20">
      <pivotArea collapsedLevelsAreSubtotals="1" fieldPosition="0">
        <references count="2">
          <reference field="2" count="1" selected="0">
            <x v="1"/>
          </reference>
          <reference field="17" count="1">
            <x v="10"/>
          </reference>
        </references>
      </pivotArea>
    </format>
    <format dxfId="19">
      <pivotArea collapsedLevelsAreSubtotals="1" fieldPosition="0">
        <references count="2">
          <reference field="2" count="1" selected="0">
            <x v="1"/>
          </reference>
          <reference field="17" count="1">
            <x v="15"/>
          </reference>
        </references>
      </pivotArea>
    </format>
    <format dxfId="18">
      <pivotArea collapsedLevelsAreSubtotals="1" fieldPosition="0">
        <references count="2">
          <reference field="2" count="1" selected="0">
            <x v="1"/>
          </reference>
          <reference field="17" count="1">
            <x v="16"/>
          </reference>
        </references>
      </pivotArea>
    </format>
    <format dxfId="17">
      <pivotArea collapsedLevelsAreSubtotals="1" fieldPosition="0">
        <references count="2">
          <reference field="2" count="1" selected="0">
            <x v="1"/>
          </reference>
          <reference field="17" count="1">
            <x v="24"/>
          </reference>
        </references>
      </pivotArea>
    </format>
    <format dxfId="16">
      <pivotArea collapsedLevelsAreSubtotals="1" fieldPosition="0">
        <references count="2">
          <reference field="2" count="1" selected="0">
            <x v="1"/>
          </reference>
          <reference field="17" count="1">
            <x v="17"/>
          </reference>
        </references>
      </pivotArea>
    </format>
    <format dxfId="15">
      <pivotArea collapsedLevelsAreSubtotals="1" fieldPosition="0">
        <references count="2">
          <reference field="2" count="1" selected="0">
            <x v="1"/>
          </reference>
          <reference field="17" count="1">
            <x v="21"/>
          </reference>
        </references>
      </pivotArea>
    </format>
    <format dxfId="14">
      <pivotArea collapsedLevelsAreSubtotals="1" fieldPosition="0">
        <references count="2">
          <reference field="2" count="1" selected="0">
            <x v="1"/>
          </reference>
          <reference field="17" count="1">
            <x v="23"/>
          </reference>
        </references>
      </pivotArea>
    </format>
    <format dxfId="13">
      <pivotArea collapsedLevelsAreSubtotals="1" fieldPosition="0">
        <references count="2">
          <reference field="2" count="1" selected="0">
            <x v="1"/>
          </reference>
          <reference field="17" count="1">
            <x v="2"/>
          </reference>
        </references>
      </pivotArea>
    </format>
    <format dxfId="12">
      <pivotArea collapsedLevelsAreSubtotals="1" fieldPosition="0">
        <references count="2">
          <reference field="2" count="1" selected="0">
            <x v="1"/>
          </reference>
          <reference field="17" count="1">
            <x v="19"/>
          </reference>
        </references>
      </pivotArea>
    </format>
    <format dxfId="11">
      <pivotArea collapsedLevelsAreSubtotals="1" fieldPosition="0">
        <references count="2">
          <reference field="2" count="1" selected="0">
            <x v="1"/>
          </reference>
          <reference field="17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756"/>
  <sheetViews>
    <sheetView workbookViewId="0">
      <pane ySplit="1" topLeftCell="A649" activePane="bottomLeft" state="frozen"/>
      <selection pane="bottomLeft" activeCell="C684" sqref="C684"/>
    </sheetView>
  </sheetViews>
  <sheetFormatPr defaultRowHeight="15" x14ac:dyDescent="0.25"/>
  <cols>
    <col min="4" max="4" width="11.140625" customWidth="1"/>
    <col min="5" max="5" width="19.85546875" customWidth="1"/>
    <col min="6" max="6" width="50.5703125" customWidth="1"/>
    <col min="7" max="7" width="18.28515625" customWidth="1"/>
    <col min="8" max="8" width="7.85546875" customWidth="1"/>
    <col min="9" max="9" width="80.85546875" bestFit="1" customWidth="1"/>
    <col min="10" max="10" width="13.7109375" customWidth="1"/>
    <col min="11" max="11" width="9.28515625" bestFit="1" customWidth="1"/>
    <col min="12" max="12" width="12.7109375" style="11" bestFit="1" customWidth="1"/>
    <col min="13" max="13" width="10.28515625" customWidth="1"/>
    <col min="14" max="14" width="22" bestFit="1" customWidth="1"/>
    <col min="15" max="15" width="11" bestFit="1" customWidth="1"/>
    <col min="16" max="16" width="11.140625" customWidth="1"/>
    <col min="17" max="17" width="12.42578125" bestFit="1" customWidth="1"/>
    <col min="18" max="18" width="16.42578125" bestFit="1" customWidth="1"/>
  </cols>
  <sheetData>
    <row r="1" spans="1:21" s="8" customFormat="1" x14ac:dyDescent="0.25">
      <c r="A1" s="8" t="s">
        <v>8</v>
      </c>
      <c r="B1" s="8" t="s">
        <v>2</v>
      </c>
      <c r="C1" s="8" t="s">
        <v>57</v>
      </c>
      <c r="D1" s="8" t="s">
        <v>0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10" t="s">
        <v>59</v>
      </c>
      <c r="K1" s="10" t="s">
        <v>60</v>
      </c>
      <c r="L1" s="10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1</v>
      </c>
      <c r="R1" s="8" t="s">
        <v>5</v>
      </c>
    </row>
    <row r="2" spans="1:21" x14ac:dyDescent="0.25">
      <c r="A2">
        <v>668</v>
      </c>
      <c r="B2" s="9" t="s">
        <v>58</v>
      </c>
      <c r="C2" s="19" t="s">
        <v>157</v>
      </c>
      <c r="D2" s="6">
        <v>45353</v>
      </c>
      <c r="E2" s="7">
        <v>45353.595138888886</v>
      </c>
      <c r="F2" t="s">
        <v>18</v>
      </c>
      <c r="J2" s="11"/>
      <c r="K2" s="11">
        <v>-3.7</v>
      </c>
      <c r="L2" s="4">
        <f t="shared" ref="L2:L10" si="0">J2+K2</f>
        <v>-3.7</v>
      </c>
      <c r="M2" t="s">
        <v>9</v>
      </c>
      <c r="N2" t="s">
        <v>36</v>
      </c>
      <c r="O2" t="s">
        <v>33</v>
      </c>
      <c r="Q2" s="5" t="e">
        <f>#REF!+L2</f>
        <v>#REF!</v>
      </c>
      <c r="R2" t="s">
        <v>9</v>
      </c>
      <c r="T2" t="s">
        <v>18</v>
      </c>
      <c r="U2" t="e">
        <f>VLOOKUP(A2,#REF!,6,FALSE)</f>
        <v>#REF!</v>
      </c>
    </row>
    <row r="3" spans="1:21" x14ac:dyDescent="0.25">
      <c r="A3">
        <v>669</v>
      </c>
      <c r="B3" s="9" t="s">
        <v>58</v>
      </c>
      <c r="C3" s="19" t="s">
        <v>157</v>
      </c>
      <c r="D3" s="6">
        <v>45356</v>
      </c>
      <c r="E3" s="7">
        <v>45356.045138888891</v>
      </c>
      <c r="F3" t="s">
        <v>82</v>
      </c>
      <c r="J3" s="11">
        <v>375</v>
      </c>
      <c r="K3" s="11"/>
      <c r="L3" s="4">
        <f t="shared" si="0"/>
        <v>375</v>
      </c>
      <c r="M3" t="s">
        <v>7</v>
      </c>
      <c r="N3" t="s">
        <v>37</v>
      </c>
      <c r="O3" t="s">
        <v>33</v>
      </c>
      <c r="Q3" s="5" t="e">
        <f t="shared" ref="Q3:Q10" si="1">Q2+L3</f>
        <v>#REF!</v>
      </c>
      <c r="R3" t="s">
        <v>7</v>
      </c>
      <c r="S3">
        <v>1947708</v>
      </c>
      <c r="U3" t="e">
        <f>VLOOKUP(A3,#REF!,6,FALSE)</f>
        <v>#REF!</v>
      </c>
    </row>
    <row r="4" spans="1:21" x14ac:dyDescent="0.25">
      <c r="A4">
        <v>670</v>
      </c>
      <c r="B4" s="9" t="s">
        <v>58</v>
      </c>
      <c r="C4" s="19" t="s">
        <v>157</v>
      </c>
      <c r="D4" s="6">
        <v>45356</v>
      </c>
      <c r="E4" s="7">
        <v>45356.260416666664</v>
      </c>
      <c r="F4" t="s">
        <v>19</v>
      </c>
      <c r="J4" s="11"/>
      <c r="K4" s="11">
        <v>-45.15</v>
      </c>
      <c r="L4" s="4">
        <f t="shared" si="0"/>
        <v>-45.15</v>
      </c>
      <c r="N4" t="s">
        <v>36</v>
      </c>
      <c r="O4" t="s">
        <v>33</v>
      </c>
      <c r="Q4" s="5" t="e">
        <f t="shared" si="1"/>
        <v>#REF!</v>
      </c>
      <c r="R4" t="s">
        <v>12</v>
      </c>
      <c r="T4" t="s">
        <v>19</v>
      </c>
      <c r="U4" t="e">
        <f>VLOOKUP(A4,#REF!,6,FALSE)</f>
        <v>#REF!</v>
      </c>
    </row>
    <row r="5" spans="1:21" x14ac:dyDescent="0.25">
      <c r="A5">
        <v>671</v>
      </c>
      <c r="B5" s="9" t="s">
        <v>58</v>
      </c>
      <c r="C5" s="19" t="s">
        <v>157</v>
      </c>
      <c r="D5" s="6">
        <v>45356</v>
      </c>
      <c r="E5" s="7">
        <v>45356.387499999997</v>
      </c>
      <c r="F5" t="s">
        <v>73</v>
      </c>
      <c r="J5" s="11"/>
      <c r="K5" s="11">
        <v>-4.5999999999999996</v>
      </c>
      <c r="L5" s="4">
        <f t="shared" si="0"/>
        <v>-4.5999999999999996</v>
      </c>
      <c r="M5" t="s">
        <v>38</v>
      </c>
      <c r="N5" t="s">
        <v>36</v>
      </c>
      <c r="O5" t="s">
        <v>33</v>
      </c>
      <c r="Q5" s="5" t="e">
        <f t="shared" si="1"/>
        <v>#REF!</v>
      </c>
      <c r="R5" t="s">
        <v>61</v>
      </c>
      <c r="T5" t="s">
        <v>73</v>
      </c>
      <c r="U5" t="e">
        <f>VLOOKUP(A5,#REF!,6,FALSE)</f>
        <v>#REF!</v>
      </c>
    </row>
    <row r="6" spans="1:21" x14ac:dyDescent="0.25">
      <c r="A6">
        <v>672</v>
      </c>
      <c r="B6" s="9" t="s">
        <v>58</v>
      </c>
      <c r="C6" s="19" t="s">
        <v>157</v>
      </c>
      <c r="D6" s="6">
        <v>45356</v>
      </c>
      <c r="E6" s="7">
        <v>45356.761805555558</v>
      </c>
      <c r="F6" t="s">
        <v>69</v>
      </c>
      <c r="J6" s="11"/>
      <c r="K6" s="11">
        <v>-10.92</v>
      </c>
      <c r="L6" s="4">
        <f t="shared" si="0"/>
        <v>-10.92</v>
      </c>
      <c r="M6" t="s">
        <v>9</v>
      </c>
      <c r="N6" t="s">
        <v>36</v>
      </c>
      <c r="O6" t="s">
        <v>33</v>
      </c>
      <c r="Q6" s="5" t="e">
        <f t="shared" si="1"/>
        <v>#REF!</v>
      </c>
      <c r="R6" t="s">
        <v>9</v>
      </c>
      <c r="T6" t="s">
        <v>69</v>
      </c>
      <c r="U6" t="e">
        <f>VLOOKUP(A6,#REF!,6,FALSE)</f>
        <v>#REF!</v>
      </c>
    </row>
    <row r="7" spans="1:21" x14ac:dyDescent="0.25">
      <c r="A7">
        <v>673</v>
      </c>
      <c r="B7" s="9" t="s">
        <v>58</v>
      </c>
      <c r="C7" s="19" t="s">
        <v>157</v>
      </c>
      <c r="D7" s="6">
        <v>45357</v>
      </c>
      <c r="E7" s="7">
        <v>45357.043749999997</v>
      </c>
      <c r="F7" t="s">
        <v>83</v>
      </c>
      <c r="J7" s="11">
        <v>1705</v>
      </c>
      <c r="K7" s="11"/>
      <c r="L7" s="4">
        <f t="shared" si="0"/>
        <v>1705</v>
      </c>
      <c r="M7" t="s">
        <v>7</v>
      </c>
      <c r="N7" t="s">
        <v>37</v>
      </c>
      <c r="O7" t="s">
        <v>33</v>
      </c>
      <c r="Q7" s="5" t="e">
        <f t="shared" si="1"/>
        <v>#REF!</v>
      </c>
      <c r="R7" t="s">
        <v>7</v>
      </c>
      <c r="S7" t="s">
        <v>84</v>
      </c>
      <c r="U7" t="e">
        <f>VLOOKUP(A7,#REF!,6,FALSE)</f>
        <v>#REF!</v>
      </c>
    </row>
    <row r="8" spans="1:21" x14ac:dyDescent="0.25">
      <c r="A8">
        <v>674</v>
      </c>
      <c r="B8" s="9" t="s">
        <v>58</v>
      </c>
      <c r="C8" s="19" t="s">
        <v>157</v>
      </c>
      <c r="D8" s="6">
        <v>45357</v>
      </c>
      <c r="E8" s="7">
        <v>45357.04583333333</v>
      </c>
      <c r="F8" t="s">
        <v>85</v>
      </c>
      <c r="J8" s="11">
        <v>750</v>
      </c>
      <c r="K8" s="11"/>
      <c r="L8" s="4">
        <f t="shared" si="0"/>
        <v>750</v>
      </c>
      <c r="M8" t="s">
        <v>7</v>
      </c>
      <c r="N8" t="s">
        <v>37</v>
      </c>
      <c r="O8" t="s">
        <v>33</v>
      </c>
      <c r="Q8" s="5" t="e">
        <f t="shared" si="1"/>
        <v>#REF!</v>
      </c>
      <c r="R8" t="s">
        <v>7</v>
      </c>
      <c r="S8">
        <v>1947961</v>
      </c>
      <c r="U8" t="e">
        <f>VLOOKUP(A8,#REF!,6,FALSE)</f>
        <v>#REF!</v>
      </c>
    </row>
    <row r="9" spans="1:21" x14ac:dyDescent="0.25">
      <c r="A9">
        <v>675</v>
      </c>
      <c r="B9" s="9" t="s">
        <v>58</v>
      </c>
      <c r="C9" s="19" t="s">
        <v>157</v>
      </c>
      <c r="D9" s="6">
        <v>45357</v>
      </c>
      <c r="E9" s="7">
        <v>45357.179166666669</v>
      </c>
      <c r="F9" t="s">
        <v>18</v>
      </c>
      <c r="J9" s="11"/>
      <c r="K9" s="11">
        <v>-8</v>
      </c>
      <c r="L9" s="4">
        <f t="shared" si="0"/>
        <v>-8</v>
      </c>
      <c r="M9" t="s">
        <v>9</v>
      </c>
      <c r="N9" t="s">
        <v>36</v>
      </c>
      <c r="O9" t="s">
        <v>33</v>
      </c>
      <c r="Q9" s="5" t="e">
        <f t="shared" si="1"/>
        <v>#REF!</v>
      </c>
      <c r="R9" t="s">
        <v>9</v>
      </c>
      <c r="T9" t="s">
        <v>18</v>
      </c>
      <c r="U9" t="e">
        <f>VLOOKUP(A9,#REF!,6,FALSE)</f>
        <v>#REF!</v>
      </c>
    </row>
    <row r="10" spans="1:21" x14ac:dyDescent="0.25">
      <c r="A10">
        <v>676</v>
      </c>
      <c r="B10" s="9" t="s">
        <v>58</v>
      </c>
      <c r="C10" s="19" t="s">
        <v>157</v>
      </c>
      <c r="D10" s="6">
        <v>45357</v>
      </c>
      <c r="E10" s="7">
        <v>45357.345833333333</v>
      </c>
      <c r="F10" t="s">
        <v>79</v>
      </c>
      <c r="J10" s="11"/>
      <c r="K10" s="11">
        <v>-4.5999999999999996</v>
      </c>
      <c r="L10" s="4">
        <f t="shared" si="0"/>
        <v>-4.5999999999999996</v>
      </c>
      <c r="M10" t="s">
        <v>38</v>
      </c>
      <c r="N10" t="s">
        <v>36</v>
      </c>
      <c r="O10" t="s">
        <v>33</v>
      </c>
      <c r="Q10" s="5" t="e">
        <f t="shared" si="1"/>
        <v>#REF!</v>
      </c>
      <c r="R10" t="s">
        <v>61</v>
      </c>
      <c r="T10" t="s">
        <v>79</v>
      </c>
      <c r="U10" t="e">
        <f>VLOOKUP(A10,#REF!,6,FALSE)</f>
        <v>#REF!</v>
      </c>
    </row>
    <row r="11" spans="1:21" x14ac:dyDescent="0.25">
      <c r="A11">
        <v>677</v>
      </c>
      <c r="B11" s="9" t="s">
        <v>58</v>
      </c>
      <c r="C11" s="19" t="s">
        <v>157</v>
      </c>
      <c r="D11" s="6">
        <v>45357</v>
      </c>
      <c r="E11" s="7">
        <v>45357.34652777778</v>
      </c>
      <c r="F11" t="s">
        <v>72</v>
      </c>
      <c r="J11" s="11"/>
      <c r="K11" s="11">
        <v>-2000</v>
      </c>
      <c r="L11" s="4">
        <f t="shared" ref="L11:L74" si="2">J11+K11</f>
        <v>-2000</v>
      </c>
      <c r="N11" t="s">
        <v>32</v>
      </c>
      <c r="O11" t="s">
        <v>33</v>
      </c>
      <c r="Q11" s="5" t="e">
        <f t="shared" ref="Q11:Q42" si="3">Q10+L11</f>
        <v>#REF!</v>
      </c>
      <c r="R11" t="s">
        <v>6</v>
      </c>
      <c r="S11" t="s">
        <v>30</v>
      </c>
      <c r="T11" t="s">
        <v>31</v>
      </c>
      <c r="U11" t="e">
        <f>VLOOKUP(A11,#REF!,6,FALSE)</f>
        <v>#REF!</v>
      </c>
    </row>
    <row r="12" spans="1:21" x14ac:dyDescent="0.25">
      <c r="A12">
        <v>678</v>
      </c>
      <c r="B12" s="9" t="s">
        <v>58</v>
      </c>
      <c r="C12" s="19" t="s">
        <v>157</v>
      </c>
      <c r="D12" s="6">
        <v>45357</v>
      </c>
      <c r="E12" s="7">
        <v>45357.390277777777</v>
      </c>
      <c r="F12" t="s">
        <v>69</v>
      </c>
      <c r="J12" s="11"/>
      <c r="K12" s="11">
        <v>-11.06</v>
      </c>
      <c r="L12" s="4">
        <f t="shared" si="2"/>
        <v>-11.06</v>
      </c>
      <c r="M12" t="s">
        <v>9</v>
      </c>
      <c r="N12" t="s">
        <v>36</v>
      </c>
      <c r="O12" t="s">
        <v>33</v>
      </c>
      <c r="Q12" s="5" t="e">
        <f t="shared" si="3"/>
        <v>#REF!</v>
      </c>
      <c r="R12" t="s">
        <v>9</v>
      </c>
      <c r="T12" t="s">
        <v>69</v>
      </c>
      <c r="U12" t="e">
        <f>VLOOKUP(A12,#REF!,6,FALSE)</f>
        <v>#REF!</v>
      </c>
    </row>
    <row r="13" spans="1:21" x14ac:dyDescent="0.25">
      <c r="A13">
        <v>679</v>
      </c>
      <c r="B13" s="9" t="s">
        <v>58</v>
      </c>
      <c r="C13" s="19" t="s">
        <v>157</v>
      </c>
      <c r="D13" s="6">
        <v>45357</v>
      </c>
      <c r="E13" s="7">
        <v>45357.628472222219</v>
      </c>
      <c r="F13" t="s">
        <v>18</v>
      </c>
      <c r="J13" s="11"/>
      <c r="K13" s="11">
        <v>-7.5</v>
      </c>
      <c r="L13" s="4">
        <f t="shared" si="2"/>
        <v>-7.5</v>
      </c>
      <c r="M13" t="s">
        <v>9</v>
      </c>
      <c r="N13" t="s">
        <v>36</v>
      </c>
      <c r="O13" t="s">
        <v>33</v>
      </c>
      <c r="Q13" s="5" t="e">
        <f t="shared" si="3"/>
        <v>#REF!</v>
      </c>
      <c r="R13" t="s">
        <v>9</v>
      </c>
      <c r="T13" t="s">
        <v>18</v>
      </c>
      <c r="U13" t="e">
        <f>VLOOKUP(A13,#REF!,6,FALSE)</f>
        <v>#REF!</v>
      </c>
    </row>
    <row r="14" spans="1:21" x14ac:dyDescent="0.25">
      <c r="A14">
        <v>680</v>
      </c>
      <c r="B14" s="9" t="s">
        <v>58</v>
      </c>
      <c r="C14" s="19" t="s">
        <v>157</v>
      </c>
      <c r="D14" s="6">
        <v>45357</v>
      </c>
      <c r="E14" s="7">
        <v>45357.758333333331</v>
      </c>
      <c r="F14" t="s">
        <v>69</v>
      </c>
      <c r="J14" s="11"/>
      <c r="K14" s="11">
        <v>-7.95</v>
      </c>
      <c r="L14" s="4">
        <f t="shared" si="2"/>
        <v>-7.95</v>
      </c>
      <c r="M14" t="s">
        <v>9</v>
      </c>
      <c r="N14" t="s">
        <v>36</v>
      </c>
      <c r="O14" t="s">
        <v>33</v>
      </c>
      <c r="Q14" s="5" t="e">
        <f t="shared" si="3"/>
        <v>#REF!</v>
      </c>
      <c r="R14" t="s">
        <v>9</v>
      </c>
      <c r="T14" t="s">
        <v>69</v>
      </c>
      <c r="U14" t="e">
        <f>VLOOKUP(A14,#REF!,6,FALSE)</f>
        <v>#REF!</v>
      </c>
    </row>
    <row r="15" spans="1:21" x14ac:dyDescent="0.25">
      <c r="A15">
        <v>681</v>
      </c>
      <c r="B15" s="9" t="s">
        <v>58</v>
      </c>
      <c r="C15" s="19" t="s">
        <v>157</v>
      </c>
      <c r="D15" s="6">
        <v>45358</v>
      </c>
      <c r="E15" s="7">
        <v>45358.22152777778</v>
      </c>
      <c r="F15" t="s">
        <v>86</v>
      </c>
      <c r="J15" s="11"/>
      <c r="K15" s="11">
        <v>-10.9</v>
      </c>
      <c r="L15" s="4">
        <f t="shared" si="2"/>
        <v>-10.9</v>
      </c>
      <c r="M15" t="s">
        <v>9</v>
      </c>
      <c r="N15" t="s">
        <v>36</v>
      </c>
      <c r="O15" t="s">
        <v>33</v>
      </c>
      <c r="Q15" s="5" t="e">
        <f t="shared" si="3"/>
        <v>#REF!</v>
      </c>
      <c r="R15" t="s">
        <v>9</v>
      </c>
      <c r="T15" t="s">
        <v>86</v>
      </c>
      <c r="U15" t="e">
        <f>VLOOKUP(A15,#REF!,6,FALSE)</f>
        <v>#REF!</v>
      </c>
    </row>
    <row r="16" spans="1:21" x14ac:dyDescent="0.25">
      <c r="A16">
        <v>682</v>
      </c>
      <c r="B16" s="9" t="s">
        <v>58</v>
      </c>
      <c r="C16" s="19" t="s">
        <v>157</v>
      </c>
      <c r="D16" s="6">
        <v>45358</v>
      </c>
      <c r="E16" s="7">
        <v>45358.32916666667</v>
      </c>
      <c r="F16" t="s">
        <v>87</v>
      </c>
      <c r="J16" s="11"/>
      <c r="K16" s="11">
        <v>-4.45</v>
      </c>
      <c r="L16" s="4">
        <f t="shared" si="2"/>
        <v>-4.45</v>
      </c>
      <c r="M16" t="s">
        <v>38</v>
      </c>
      <c r="N16" t="s">
        <v>36</v>
      </c>
      <c r="O16" t="s">
        <v>33</v>
      </c>
      <c r="Q16" s="5" t="e">
        <f t="shared" si="3"/>
        <v>#REF!</v>
      </c>
      <c r="R16" t="s">
        <v>61</v>
      </c>
      <c r="T16" t="s">
        <v>87</v>
      </c>
      <c r="U16" t="e">
        <f>VLOOKUP(A16,#REF!,6,FALSE)</f>
        <v>#REF!</v>
      </c>
    </row>
    <row r="17" spans="1:21" x14ac:dyDescent="0.25">
      <c r="A17">
        <v>683</v>
      </c>
      <c r="B17" s="9" t="s">
        <v>58</v>
      </c>
      <c r="C17" s="19" t="s">
        <v>157</v>
      </c>
      <c r="D17" s="6">
        <v>45358</v>
      </c>
      <c r="E17" s="7">
        <v>45358.730555555558</v>
      </c>
      <c r="F17" t="s">
        <v>18</v>
      </c>
      <c r="J17" s="11"/>
      <c r="K17" s="11">
        <v>-12.25</v>
      </c>
      <c r="L17" s="4">
        <f t="shared" si="2"/>
        <v>-12.25</v>
      </c>
      <c r="M17" t="s">
        <v>9</v>
      </c>
      <c r="N17" t="s">
        <v>36</v>
      </c>
      <c r="O17" t="s">
        <v>33</v>
      </c>
      <c r="Q17" s="5" t="e">
        <f t="shared" si="3"/>
        <v>#REF!</v>
      </c>
      <c r="R17" t="s">
        <v>9</v>
      </c>
      <c r="T17" t="s">
        <v>18</v>
      </c>
      <c r="U17" t="e">
        <f>VLOOKUP(A17,#REF!,6,FALSE)</f>
        <v>#REF!</v>
      </c>
    </row>
    <row r="18" spans="1:21" x14ac:dyDescent="0.25">
      <c r="A18">
        <v>684</v>
      </c>
      <c r="B18" s="9" t="s">
        <v>58</v>
      </c>
      <c r="C18" s="19" t="s">
        <v>157</v>
      </c>
      <c r="D18" s="6">
        <v>45358</v>
      </c>
      <c r="E18" s="7">
        <v>45358.761111111111</v>
      </c>
      <c r="F18" t="s">
        <v>69</v>
      </c>
      <c r="J18" s="11"/>
      <c r="K18" s="11">
        <v>-10.98</v>
      </c>
      <c r="L18" s="4">
        <f t="shared" si="2"/>
        <v>-10.98</v>
      </c>
      <c r="M18" t="s">
        <v>9</v>
      </c>
      <c r="N18" t="s">
        <v>36</v>
      </c>
      <c r="O18" t="s">
        <v>33</v>
      </c>
      <c r="Q18" s="5" t="e">
        <f t="shared" si="3"/>
        <v>#REF!</v>
      </c>
      <c r="R18" t="s">
        <v>9</v>
      </c>
      <c r="T18" t="s">
        <v>69</v>
      </c>
      <c r="U18" t="e">
        <f>VLOOKUP(A18,#REF!,6,FALSE)</f>
        <v>#REF!</v>
      </c>
    </row>
    <row r="19" spans="1:21" x14ac:dyDescent="0.25">
      <c r="A19">
        <v>685</v>
      </c>
      <c r="B19" s="9" t="s">
        <v>58</v>
      </c>
      <c r="C19" s="19" t="s">
        <v>157</v>
      </c>
      <c r="D19" s="6">
        <v>45358</v>
      </c>
      <c r="E19" s="7">
        <v>45358.949305555558</v>
      </c>
      <c r="F19" t="s">
        <v>69</v>
      </c>
      <c r="J19" s="11"/>
      <c r="K19" s="11">
        <v>-12.9</v>
      </c>
      <c r="L19" s="4">
        <f t="shared" si="2"/>
        <v>-12.9</v>
      </c>
      <c r="M19" t="s">
        <v>9</v>
      </c>
      <c r="N19" t="s">
        <v>36</v>
      </c>
      <c r="O19" t="s">
        <v>33</v>
      </c>
      <c r="Q19" s="5" t="e">
        <f t="shared" si="3"/>
        <v>#REF!</v>
      </c>
      <c r="R19" t="s">
        <v>9</v>
      </c>
      <c r="T19" t="s">
        <v>69</v>
      </c>
      <c r="U19" t="e">
        <f>VLOOKUP(A19,#REF!,6,FALSE)</f>
        <v>#REF!</v>
      </c>
    </row>
    <row r="20" spans="1:21" x14ac:dyDescent="0.25">
      <c r="A20">
        <v>686</v>
      </c>
      <c r="B20" s="9" t="s">
        <v>58</v>
      </c>
      <c r="C20" s="19" t="s">
        <v>157</v>
      </c>
      <c r="D20" s="6">
        <v>45359</v>
      </c>
      <c r="E20" s="7">
        <v>45359.043749999997</v>
      </c>
      <c r="F20" t="s">
        <v>88</v>
      </c>
      <c r="J20" s="11">
        <v>750</v>
      </c>
      <c r="K20" s="11"/>
      <c r="L20" s="4">
        <f t="shared" si="2"/>
        <v>750</v>
      </c>
      <c r="M20" t="s">
        <v>7</v>
      </c>
      <c r="N20" t="s">
        <v>37</v>
      </c>
      <c r="O20" t="s">
        <v>33</v>
      </c>
      <c r="Q20" s="5" t="e">
        <f t="shared" si="3"/>
        <v>#REF!</v>
      </c>
      <c r="R20" t="s">
        <v>7</v>
      </c>
      <c r="S20">
        <v>1948378</v>
      </c>
      <c r="U20" t="e">
        <f>VLOOKUP(A20,#REF!,6,FALSE)</f>
        <v>#REF!</v>
      </c>
    </row>
    <row r="21" spans="1:21" x14ac:dyDescent="0.25">
      <c r="A21">
        <v>687</v>
      </c>
      <c r="B21" s="9" t="s">
        <v>58</v>
      </c>
      <c r="C21" s="19" t="s">
        <v>157</v>
      </c>
      <c r="D21" s="6">
        <v>45359</v>
      </c>
      <c r="E21" s="7">
        <v>45359.06527777778</v>
      </c>
      <c r="F21" t="s">
        <v>18</v>
      </c>
      <c r="J21" s="11"/>
      <c r="K21" s="11">
        <v>-15.6</v>
      </c>
      <c r="L21" s="4">
        <f t="shared" si="2"/>
        <v>-15.6</v>
      </c>
      <c r="M21" t="s">
        <v>9</v>
      </c>
      <c r="N21" t="s">
        <v>36</v>
      </c>
      <c r="O21" t="s">
        <v>33</v>
      </c>
      <c r="Q21" s="5" t="e">
        <f t="shared" si="3"/>
        <v>#REF!</v>
      </c>
      <c r="R21" t="s">
        <v>9</v>
      </c>
      <c r="T21" t="s">
        <v>18</v>
      </c>
      <c r="U21" t="e">
        <f>VLOOKUP(A21,#REF!,6,FALSE)</f>
        <v>#REF!</v>
      </c>
    </row>
    <row r="22" spans="1:21" x14ac:dyDescent="0.25">
      <c r="A22">
        <v>688</v>
      </c>
      <c r="B22" s="9" t="s">
        <v>58</v>
      </c>
      <c r="C22" s="19" t="s">
        <v>157</v>
      </c>
      <c r="D22" s="6">
        <v>45359</v>
      </c>
      <c r="E22" s="7">
        <v>45359.392361111109</v>
      </c>
      <c r="F22" t="s">
        <v>73</v>
      </c>
      <c r="J22" s="11"/>
      <c r="K22" s="11">
        <v>-4.5999999999999996</v>
      </c>
      <c r="L22" s="4">
        <f t="shared" si="2"/>
        <v>-4.5999999999999996</v>
      </c>
      <c r="M22" t="s">
        <v>38</v>
      </c>
      <c r="N22" t="s">
        <v>36</v>
      </c>
      <c r="O22" t="s">
        <v>33</v>
      </c>
      <c r="Q22" s="5" t="e">
        <f t="shared" si="3"/>
        <v>#REF!</v>
      </c>
      <c r="R22" t="s">
        <v>61</v>
      </c>
      <c r="T22" t="s">
        <v>73</v>
      </c>
      <c r="U22" t="e">
        <f>VLOOKUP(A22,#REF!,6,FALSE)</f>
        <v>#REF!</v>
      </c>
    </row>
    <row r="23" spans="1:21" x14ac:dyDescent="0.25">
      <c r="A23">
        <v>689</v>
      </c>
      <c r="B23" s="9" t="s">
        <v>58</v>
      </c>
      <c r="C23" s="19" t="s">
        <v>157</v>
      </c>
      <c r="D23" s="6">
        <v>45359</v>
      </c>
      <c r="E23" s="7">
        <v>45359.775694444441</v>
      </c>
      <c r="F23" t="s">
        <v>69</v>
      </c>
      <c r="J23" s="11"/>
      <c r="K23" s="11">
        <v>-10.9</v>
      </c>
      <c r="L23" s="4">
        <f t="shared" si="2"/>
        <v>-10.9</v>
      </c>
      <c r="M23" t="s">
        <v>9</v>
      </c>
      <c r="N23" t="s">
        <v>36</v>
      </c>
      <c r="O23" t="s">
        <v>33</v>
      </c>
      <c r="Q23" s="5" t="e">
        <f t="shared" si="3"/>
        <v>#REF!</v>
      </c>
      <c r="R23" t="s">
        <v>9</v>
      </c>
      <c r="T23" t="s">
        <v>69</v>
      </c>
      <c r="U23" t="e">
        <f>VLOOKUP(A23,#REF!,6,FALSE)</f>
        <v>#REF!</v>
      </c>
    </row>
    <row r="24" spans="1:21" x14ac:dyDescent="0.25">
      <c r="A24">
        <v>690</v>
      </c>
      <c r="B24" s="9" t="s">
        <v>58</v>
      </c>
      <c r="C24" s="19" t="s">
        <v>157</v>
      </c>
      <c r="D24" s="6">
        <v>45360</v>
      </c>
      <c r="E24" s="7">
        <v>45360.379861111112</v>
      </c>
      <c r="F24" t="s">
        <v>69</v>
      </c>
      <c r="J24" s="11"/>
      <c r="K24" s="11">
        <v>-7.93</v>
      </c>
      <c r="L24" s="4">
        <f t="shared" si="2"/>
        <v>-7.93</v>
      </c>
      <c r="M24" t="s">
        <v>9</v>
      </c>
      <c r="N24" t="s">
        <v>36</v>
      </c>
      <c r="O24" t="s">
        <v>33</v>
      </c>
      <c r="Q24" s="5" t="e">
        <f t="shared" si="3"/>
        <v>#REF!</v>
      </c>
      <c r="R24" t="s">
        <v>9</v>
      </c>
      <c r="T24" t="s">
        <v>69</v>
      </c>
      <c r="U24" t="e">
        <f>VLOOKUP(A24,#REF!,6,FALSE)</f>
        <v>#REF!</v>
      </c>
    </row>
    <row r="25" spans="1:21" x14ac:dyDescent="0.25">
      <c r="A25">
        <v>691</v>
      </c>
      <c r="B25" s="9" t="s">
        <v>58</v>
      </c>
      <c r="C25" s="19" t="s">
        <v>157</v>
      </c>
      <c r="D25" s="6">
        <v>45360</v>
      </c>
      <c r="E25" s="7">
        <v>45360.38958333333</v>
      </c>
      <c r="F25" t="s">
        <v>73</v>
      </c>
      <c r="J25" s="11"/>
      <c r="K25" s="11">
        <v>-4.8</v>
      </c>
      <c r="L25" s="4">
        <f t="shared" si="2"/>
        <v>-4.8</v>
      </c>
      <c r="M25" t="s">
        <v>38</v>
      </c>
      <c r="N25" t="s">
        <v>36</v>
      </c>
      <c r="O25" t="s">
        <v>33</v>
      </c>
      <c r="Q25" s="5" t="e">
        <f t="shared" si="3"/>
        <v>#REF!</v>
      </c>
      <c r="R25" t="s">
        <v>61</v>
      </c>
      <c r="T25" t="s">
        <v>73</v>
      </c>
      <c r="U25" t="e">
        <f>VLOOKUP(A25,#REF!,6,FALSE)</f>
        <v>#REF!</v>
      </c>
    </row>
    <row r="26" spans="1:21" x14ac:dyDescent="0.25">
      <c r="A26">
        <v>692</v>
      </c>
      <c r="B26" s="9" t="s">
        <v>58</v>
      </c>
      <c r="C26" s="19" t="s">
        <v>157</v>
      </c>
      <c r="D26" s="6">
        <v>45360</v>
      </c>
      <c r="E26" s="7">
        <v>45360.71597222222</v>
      </c>
      <c r="F26" t="s">
        <v>18</v>
      </c>
      <c r="J26" s="11"/>
      <c r="K26" s="11">
        <v>-7.3</v>
      </c>
      <c r="L26" s="4">
        <f t="shared" si="2"/>
        <v>-7.3</v>
      </c>
      <c r="M26" t="s">
        <v>9</v>
      </c>
      <c r="N26" t="s">
        <v>36</v>
      </c>
      <c r="O26" t="s">
        <v>33</v>
      </c>
      <c r="Q26" s="5" t="e">
        <f t="shared" si="3"/>
        <v>#REF!</v>
      </c>
      <c r="R26" t="s">
        <v>9</v>
      </c>
      <c r="T26" t="s">
        <v>18</v>
      </c>
      <c r="U26" t="e">
        <f>VLOOKUP(A26,#REF!,6,FALSE)</f>
        <v>#REF!</v>
      </c>
    </row>
    <row r="27" spans="1:21" x14ac:dyDescent="0.25">
      <c r="A27">
        <v>693</v>
      </c>
      <c r="B27" s="9" t="s">
        <v>58</v>
      </c>
      <c r="C27" s="19" t="s">
        <v>157</v>
      </c>
      <c r="D27" s="6">
        <v>45360</v>
      </c>
      <c r="E27" s="7">
        <v>45360.804861111108</v>
      </c>
      <c r="F27" t="s">
        <v>89</v>
      </c>
      <c r="J27" s="11"/>
      <c r="K27" s="11">
        <v>-47.99</v>
      </c>
      <c r="L27" s="4">
        <f t="shared" si="2"/>
        <v>-47.99</v>
      </c>
      <c r="M27" t="s">
        <v>90</v>
      </c>
      <c r="N27" t="s">
        <v>36</v>
      </c>
      <c r="O27" t="s">
        <v>33</v>
      </c>
      <c r="Q27" s="5" t="e">
        <f t="shared" si="3"/>
        <v>#REF!</v>
      </c>
      <c r="R27" t="s">
        <v>92</v>
      </c>
      <c r="T27" t="s">
        <v>89</v>
      </c>
      <c r="U27" t="e">
        <f>VLOOKUP(A27,#REF!,6,FALSE)</f>
        <v>#REF!</v>
      </c>
    </row>
    <row r="28" spans="1:21" x14ac:dyDescent="0.25">
      <c r="A28">
        <v>694</v>
      </c>
      <c r="B28" s="9" t="s">
        <v>58</v>
      </c>
      <c r="C28" s="19" t="s">
        <v>157</v>
      </c>
      <c r="D28" s="6">
        <v>45361</v>
      </c>
      <c r="E28" s="7">
        <v>45361.058333333334</v>
      </c>
      <c r="F28" t="s">
        <v>18</v>
      </c>
      <c r="J28" s="11"/>
      <c r="K28" s="11">
        <v>-12.1</v>
      </c>
      <c r="L28" s="4">
        <f t="shared" si="2"/>
        <v>-12.1</v>
      </c>
      <c r="M28" t="s">
        <v>9</v>
      </c>
      <c r="N28" t="s">
        <v>36</v>
      </c>
      <c r="O28" t="s">
        <v>33</v>
      </c>
      <c r="Q28" s="5" t="e">
        <f t="shared" si="3"/>
        <v>#REF!</v>
      </c>
      <c r="R28" t="s">
        <v>9</v>
      </c>
      <c r="T28" t="s">
        <v>18</v>
      </c>
      <c r="U28" t="e">
        <f>VLOOKUP(A28,#REF!,6,FALSE)</f>
        <v>#REF!</v>
      </c>
    </row>
    <row r="29" spans="1:21" x14ac:dyDescent="0.25">
      <c r="A29">
        <v>695</v>
      </c>
      <c r="B29" s="9" t="s">
        <v>58</v>
      </c>
      <c r="C29" s="19" t="s">
        <v>157</v>
      </c>
      <c r="D29" s="6">
        <v>45361</v>
      </c>
      <c r="E29" s="7">
        <v>45361.802777777775</v>
      </c>
      <c r="F29" t="s">
        <v>91</v>
      </c>
      <c r="J29" s="11"/>
      <c r="K29" s="11">
        <v>-405</v>
      </c>
      <c r="L29" s="4">
        <f t="shared" si="2"/>
        <v>-405</v>
      </c>
      <c r="M29" t="s">
        <v>92</v>
      </c>
      <c r="N29" t="s">
        <v>36</v>
      </c>
      <c r="O29" t="s">
        <v>33</v>
      </c>
      <c r="P29" t="s">
        <v>93</v>
      </c>
      <c r="Q29" s="5" t="e">
        <f t="shared" si="3"/>
        <v>#REF!</v>
      </c>
      <c r="R29" t="s">
        <v>92</v>
      </c>
      <c r="T29" t="s">
        <v>91</v>
      </c>
      <c r="U29" t="e">
        <f>VLOOKUP(A29,#REF!,6,FALSE)</f>
        <v>#REF!</v>
      </c>
    </row>
    <row r="30" spans="1:21" x14ac:dyDescent="0.25">
      <c r="A30">
        <v>696</v>
      </c>
      <c r="B30" s="9" t="s">
        <v>58</v>
      </c>
      <c r="C30" s="19" t="s">
        <v>157</v>
      </c>
      <c r="D30" s="6">
        <v>45362</v>
      </c>
      <c r="E30" s="7">
        <v>45362.38958333333</v>
      </c>
      <c r="F30" t="s">
        <v>69</v>
      </c>
      <c r="J30" s="11"/>
      <c r="K30" s="11">
        <v>-8.9700000000000006</v>
      </c>
      <c r="L30" s="4">
        <f t="shared" si="2"/>
        <v>-8.9700000000000006</v>
      </c>
      <c r="M30" t="s">
        <v>9</v>
      </c>
      <c r="N30" t="s">
        <v>36</v>
      </c>
      <c r="O30" t="s">
        <v>33</v>
      </c>
      <c r="Q30" s="5" t="e">
        <f t="shared" si="3"/>
        <v>#REF!</v>
      </c>
      <c r="R30" t="s">
        <v>9</v>
      </c>
      <c r="T30" t="s">
        <v>69</v>
      </c>
      <c r="U30" t="e">
        <f>VLOOKUP(A30,#REF!,6,FALSE)</f>
        <v>#REF!</v>
      </c>
    </row>
    <row r="31" spans="1:21" x14ac:dyDescent="0.25">
      <c r="A31">
        <v>697</v>
      </c>
      <c r="B31" s="9" t="s">
        <v>58</v>
      </c>
      <c r="C31" s="19" t="s">
        <v>157</v>
      </c>
      <c r="D31" s="6">
        <v>45362</v>
      </c>
      <c r="E31" s="7">
        <v>45362.40347222222</v>
      </c>
      <c r="F31" t="s">
        <v>73</v>
      </c>
      <c r="J31" s="11"/>
      <c r="K31" s="11">
        <v>-4.5999999999999996</v>
      </c>
      <c r="L31" s="4">
        <f t="shared" si="2"/>
        <v>-4.5999999999999996</v>
      </c>
      <c r="M31" t="s">
        <v>38</v>
      </c>
      <c r="N31" t="s">
        <v>36</v>
      </c>
      <c r="O31" t="s">
        <v>33</v>
      </c>
      <c r="Q31" s="5" t="e">
        <f t="shared" si="3"/>
        <v>#REF!</v>
      </c>
      <c r="R31" t="s">
        <v>61</v>
      </c>
      <c r="T31" t="s">
        <v>73</v>
      </c>
      <c r="U31" t="e">
        <f>VLOOKUP(A31,#REF!,6,FALSE)</f>
        <v>#REF!</v>
      </c>
    </row>
    <row r="32" spans="1:21" x14ac:dyDescent="0.25">
      <c r="A32">
        <v>698</v>
      </c>
      <c r="B32" s="9" t="s">
        <v>58</v>
      </c>
      <c r="C32" s="19" t="s">
        <v>157</v>
      </c>
      <c r="D32" s="6">
        <v>45362</v>
      </c>
      <c r="E32" s="7">
        <v>45362.746527777781</v>
      </c>
      <c r="F32" t="s">
        <v>74</v>
      </c>
      <c r="J32" s="11"/>
      <c r="K32" s="11">
        <v>-11.95</v>
      </c>
      <c r="L32" s="4">
        <f t="shared" si="2"/>
        <v>-11.95</v>
      </c>
      <c r="M32" t="s">
        <v>9</v>
      </c>
      <c r="N32" t="s">
        <v>36</v>
      </c>
      <c r="O32" t="s">
        <v>33</v>
      </c>
      <c r="Q32" s="5" t="e">
        <f t="shared" si="3"/>
        <v>#REF!</v>
      </c>
      <c r="R32" t="s">
        <v>9</v>
      </c>
      <c r="T32" t="s">
        <v>74</v>
      </c>
      <c r="U32" t="e">
        <f>VLOOKUP(A32,#REF!,6,FALSE)</f>
        <v>#REF!</v>
      </c>
    </row>
    <row r="33" spans="1:21" x14ac:dyDescent="0.25">
      <c r="A33">
        <v>699</v>
      </c>
      <c r="B33" s="9" t="s">
        <v>58</v>
      </c>
      <c r="C33" s="19" t="s">
        <v>157</v>
      </c>
      <c r="D33" s="6">
        <v>45363</v>
      </c>
      <c r="E33" s="7">
        <v>45363.043749999997</v>
      </c>
      <c r="F33" t="s">
        <v>94</v>
      </c>
      <c r="J33" s="11">
        <v>1705</v>
      </c>
      <c r="K33" s="11"/>
      <c r="L33" s="4">
        <f t="shared" si="2"/>
        <v>1705</v>
      </c>
      <c r="M33" t="s">
        <v>7</v>
      </c>
      <c r="N33" t="s">
        <v>37</v>
      </c>
      <c r="O33" t="s">
        <v>33</v>
      </c>
      <c r="Q33" s="5" t="e">
        <f t="shared" si="3"/>
        <v>#REF!</v>
      </c>
      <c r="R33" t="s">
        <v>7</v>
      </c>
      <c r="S33" t="s">
        <v>95</v>
      </c>
      <c r="U33" t="e">
        <f>VLOOKUP(A33,#REF!,6,FALSE)</f>
        <v>#REF!</v>
      </c>
    </row>
    <row r="34" spans="1:21" x14ac:dyDescent="0.25">
      <c r="A34">
        <v>773</v>
      </c>
      <c r="B34" s="9" t="s">
        <v>58</v>
      </c>
      <c r="C34" s="19" t="s">
        <v>157</v>
      </c>
      <c r="D34" s="6">
        <v>45388</v>
      </c>
      <c r="E34" s="7">
        <v>45388.802083333336</v>
      </c>
      <c r="F34" t="s">
        <v>129</v>
      </c>
      <c r="J34" s="11"/>
      <c r="K34" s="11">
        <v>-81.900000000000006</v>
      </c>
      <c r="L34" s="4">
        <f t="shared" si="2"/>
        <v>-81.900000000000006</v>
      </c>
      <c r="M34" t="s">
        <v>47</v>
      </c>
      <c r="N34" t="s">
        <v>36</v>
      </c>
      <c r="O34" t="s">
        <v>33</v>
      </c>
      <c r="Q34" s="5" t="e">
        <f t="shared" si="3"/>
        <v>#REF!</v>
      </c>
      <c r="R34" t="s">
        <v>465</v>
      </c>
      <c r="T34" t="s">
        <v>129</v>
      </c>
      <c r="U34" t="e">
        <f>VLOOKUP(A34,#REF!,6,FALSE)</f>
        <v>#REF!</v>
      </c>
    </row>
    <row r="35" spans="1:21" x14ac:dyDescent="0.25">
      <c r="A35">
        <v>701</v>
      </c>
      <c r="B35" s="9" t="s">
        <v>58</v>
      </c>
      <c r="C35" s="19" t="s">
        <v>157</v>
      </c>
      <c r="D35" s="6">
        <v>45363</v>
      </c>
      <c r="E35" s="7">
        <v>45363.39166666667</v>
      </c>
      <c r="F35" t="s">
        <v>73</v>
      </c>
      <c r="J35" s="11"/>
      <c r="K35" s="11">
        <v>-6.05</v>
      </c>
      <c r="L35" s="4">
        <f t="shared" si="2"/>
        <v>-6.05</v>
      </c>
      <c r="M35" t="s">
        <v>38</v>
      </c>
      <c r="N35" t="s">
        <v>36</v>
      </c>
      <c r="O35" t="s">
        <v>33</v>
      </c>
      <c r="Q35" s="5" t="e">
        <f t="shared" si="3"/>
        <v>#REF!</v>
      </c>
      <c r="R35" t="s">
        <v>61</v>
      </c>
      <c r="T35" t="s">
        <v>73</v>
      </c>
      <c r="U35" t="e">
        <f>VLOOKUP(A35,#REF!,6,FALSE)</f>
        <v>#REF!</v>
      </c>
    </row>
    <row r="36" spans="1:21" x14ac:dyDescent="0.25">
      <c r="A36">
        <v>702</v>
      </c>
      <c r="B36" s="9" t="s">
        <v>58</v>
      </c>
      <c r="C36" s="19" t="s">
        <v>157</v>
      </c>
      <c r="D36" s="6">
        <v>45363</v>
      </c>
      <c r="E36" s="7">
        <v>45363.611805555556</v>
      </c>
      <c r="F36" t="s">
        <v>18</v>
      </c>
      <c r="J36" s="11"/>
      <c r="K36" s="11">
        <v>-11.6</v>
      </c>
      <c r="L36" s="4">
        <f t="shared" si="2"/>
        <v>-11.6</v>
      </c>
      <c r="M36" t="s">
        <v>9</v>
      </c>
      <c r="N36" t="s">
        <v>36</v>
      </c>
      <c r="O36" t="s">
        <v>33</v>
      </c>
      <c r="Q36" s="5" t="e">
        <f t="shared" si="3"/>
        <v>#REF!</v>
      </c>
      <c r="R36" t="s">
        <v>9</v>
      </c>
      <c r="T36" t="s">
        <v>18</v>
      </c>
      <c r="U36" t="e">
        <f>VLOOKUP(A36,#REF!,6,FALSE)</f>
        <v>#REF!</v>
      </c>
    </row>
    <row r="37" spans="1:21" x14ac:dyDescent="0.25">
      <c r="A37">
        <v>703</v>
      </c>
      <c r="B37" s="9" t="s">
        <v>58</v>
      </c>
      <c r="C37" s="19" t="s">
        <v>157</v>
      </c>
      <c r="D37" s="6">
        <v>45363</v>
      </c>
      <c r="E37" s="7">
        <v>45363.826388888891</v>
      </c>
      <c r="F37" t="s">
        <v>69</v>
      </c>
      <c r="J37" s="11"/>
      <c r="K37" s="11">
        <v>-6.99</v>
      </c>
      <c r="L37" s="4">
        <f t="shared" si="2"/>
        <v>-6.99</v>
      </c>
      <c r="M37" t="s">
        <v>9</v>
      </c>
      <c r="N37" t="s">
        <v>36</v>
      </c>
      <c r="O37" t="s">
        <v>33</v>
      </c>
      <c r="Q37" s="5" t="e">
        <f t="shared" si="3"/>
        <v>#REF!</v>
      </c>
      <c r="R37" t="s">
        <v>9</v>
      </c>
      <c r="T37" t="s">
        <v>69</v>
      </c>
      <c r="U37" t="e">
        <f>VLOOKUP(A37,#REF!,6,FALSE)</f>
        <v>#REF!</v>
      </c>
    </row>
    <row r="38" spans="1:21" x14ac:dyDescent="0.25">
      <c r="A38">
        <v>704</v>
      </c>
      <c r="B38" s="9" t="s">
        <v>58</v>
      </c>
      <c r="C38" s="19" t="s">
        <v>157</v>
      </c>
      <c r="D38" s="6">
        <v>45364</v>
      </c>
      <c r="E38" s="7">
        <v>45364.044444444444</v>
      </c>
      <c r="F38" t="s">
        <v>96</v>
      </c>
      <c r="J38" s="11">
        <v>375</v>
      </c>
      <c r="K38" s="11"/>
      <c r="L38" s="4">
        <f t="shared" si="2"/>
        <v>375</v>
      </c>
      <c r="M38" t="s">
        <v>7</v>
      </c>
      <c r="N38" t="s">
        <v>37</v>
      </c>
      <c r="O38" t="s">
        <v>33</v>
      </c>
      <c r="Q38" s="5" t="e">
        <f t="shared" si="3"/>
        <v>#REF!</v>
      </c>
      <c r="R38" t="s">
        <v>7</v>
      </c>
      <c r="S38">
        <v>1948865</v>
      </c>
      <c r="U38" t="e">
        <f>VLOOKUP(A38,#REF!,6,FALSE)</f>
        <v>#REF!</v>
      </c>
    </row>
    <row r="39" spans="1:21" x14ac:dyDescent="0.25">
      <c r="A39">
        <v>705</v>
      </c>
      <c r="B39" s="9" t="s">
        <v>58</v>
      </c>
      <c r="C39" s="19" t="s">
        <v>157</v>
      </c>
      <c r="D39" s="6">
        <v>45364</v>
      </c>
      <c r="E39" s="7">
        <v>45364.063194444447</v>
      </c>
      <c r="F39" t="s">
        <v>18</v>
      </c>
      <c r="J39" s="11"/>
      <c r="K39" s="11">
        <v>-7.5</v>
      </c>
      <c r="L39" s="4">
        <f t="shared" si="2"/>
        <v>-7.5</v>
      </c>
      <c r="M39" t="s">
        <v>9</v>
      </c>
      <c r="N39" t="s">
        <v>36</v>
      </c>
      <c r="O39" t="s">
        <v>33</v>
      </c>
      <c r="Q39" s="5" t="e">
        <f t="shared" si="3"/>
        <v>#REF!</v>
      </c>
      <c r="R39" t="s">
        <v>9</v>
      </c>
      <c r="T39" t="s">
        <v>18</v>
      </c>
      <c r="U39" t="e">
        <f>VLOOKUP(A39,#REF!,6,FALSE)</f>
        <v>#REF!</v>
      </c>
    </row>
    <row r="40" spans="1:21" x14ac:dyDescent="0.25">
      <c r="A40">
        <v>706</v>
      </c>
      <c r="B40" s="9" t="s">
        <v>58</v>
      </c>
      <c r="C40" s="19" t="s">
        <v>157</v>
      </c>
      <c r="D40" s="6">
        <v>45364</v>
      </c>
      <c r="E40" s="7">
        <v>45364.335416666669</v>
      </c>
      <c r="F40" t="s">
        <v>97</v>
      </c>
      <c r="J40" s="11"/>
      <c r="K40" s="11">
        <v>-2.8</v>
      </c>
      <c r="L40" s="4">
        <f t="shared" si="2"/>
        <v>-2.8</v>
      </c>
      <c r="N40" t="s">
        <v>36</v>
      </c>
      <c r="O40" t="s">
        <v>33</v>
      </c>
      <c r="Q40" s="5" t="e">
        <f t="shared" si="3"/>
        <v>#REF!</v>
      </c>
      <c r="R40" t="s">
        <v>61</v>
      </c>
      <c r="T40" t="s">
        <v>97</v>
      </c>
      <c r="U40" t="e">
        <f>VLOOKUP(A40,#REF!,6,FALSE)</f>
        <v>#REF!</v>
      </c>
    </row>
    <row r="41" spans="1:21" x14ac:dyDescent="0.25">
      <c r="A41">
        <v>707</v>
      </c>
      <c r="B41" s="9" t="s">
        <v>58</v>
      </c>
      <c r="C41" s="19" t="s">
        <v>157</v>
      </c>
      <c r="D41" s="6">
        <v>45364</v>
      </c>
      <c r="E41" s="7">
        <v>45364.386805555558</v>
      </c>
      <c r="F41" t="s">
        <v>73</v>
      </c>
      <c r="J41" s="11"/>
      <c r="K41" s="11">
        <v>-4.8</v>
      </c>
      <c r="L41" s="4">
        <f t="shared" si="2"/>
        <v>-4.8</v>
      </c>
      <c r="M41" t="s">
        <v>38</v>
      </c>
      <c r="N41" t="s">
        <v>36</v>
      </c>
      <c r="O41" t="s">
        <v>33</v>
      </c>
      <c r="Q41" s="5" t="e">
        <f t="shared" si="3"/>
        <v>#REF!</v>
      </c>
      <c r="R41" t="s">
        <v>61</v>
      </c>
      <c r="T41" t="s">
        <v>73</v>
      </c>
      <c r="U41" t="e">
        <f>VLOOKUP(A41,#REF!,6,FALSE)</f>
        <v>#REF!</v>
      </c>
    </row>
    <row r="42" spans="1:21" x14ac:dyDescent="0.25">
      <c r="A42">
        <v>708</v>
      </c>
      <c r="B42" s="9" t="s">
        <v>58</v>
      </c>
      <c r="C42" s="19" t="s">
        <v>157</v>
      </c>
      <c r="D42" s="6">
        <v>45364</v>
      </c>
      <c r="E42" s="7">
        <v>45364.759722222225</v>
      </c>
      <c r="F42" t="s">
        <v>69</v>
      </c>
      <c r="J42" s="11"/>
      <c r="K42" s="11">
        <v>-9.9499999999999993</v>
      </c>
      <c r="L42" s="4">
        <f t="shared" si="2"/>
        <v>-9.9499999999999993</v>
      </c>
      <c r="M42" t="s">
        <v>9</v>
      </c>
      <c r="N42" t="s">
        <v>36</v>
      </c>
      <c r="O42" t="s">
        <v>33</v>
      </c>
      <c r="Q42" s="5" t="e">
        <f t="shared" si="3"/>
        <v>#REF!</v>
      </c>
      <c r="R42" t="s">
        <v>9</v>
      </c>
      <c r="T42" t="s">
        <v>69</v>
      </c>
      <c r="U42" t="e">
        <f>VLOOKUP(A42,#REF!,6,FALSE)</f>
        <v>#REF!</v>
      </c>
    </row>
    <row r="43" spans="1:21" x14ac:dyDescent="0.25">
      <c r="A43">
        <v>709</v>
      </c>
      <c r="B43" s="9" t="s">
        <v>58</v>
      </c>
      <c r="C43" s="19" t="s">
        <v>157</v>
      </c>
      <c r="D43" s="6">
        <v>45365</v>
      </c>
      <c r="E43" s="7">
        <v>45365.345138888886</v>
      </c>
      <c r="F43" t="s">
        <v>87</v>
      </c>
      <c r="J43" s="11"/>
      <c r="K43" s="11">
        <v>-8.15</v>
      </c>
      <c r="L43" s="4">
        <f t="shared" si="2"/>
        <v>-8.15</v>
      </c>
      <c r="N43" t="s">
        <v>36</v>
      </c>
      <c r="O43" t="s">
        <v>33</v>
      </c>
      <c r="Q43" s="5" t="e">
        <f t="shared" ref="Q43:Q74" si="4">Q42+L43</f>
        <v>#REF!</v>
      </c>
      <c r="R43" t="s">
        <v>61</v>
      </c>
      <c r="T43" t="s">
        <v>87</v>
      </c>
      <c r="U43" t="e">
        <f>VLOOKUP(A43,#REF!,6,FALSE)</f>
        <v>#REF!</v>
      </c>
    </row>
    <row r="44" spans="1:21" x14ac:dyDescent="0.25">
      <c r="A44">
        <v>710</v>
      </c>
      <c r="B44" s="9" t="s">
        <v>58</v>
      </c>
      <c r="C44" s="19" t="s">
        <v>157</v>
      </c>
      <c r="D44" s="6">
        <v>45365</v>
      </c>
      <c r="E44" s="7">
        <v>45365.578472222223</v>
      </c>
      <c r="F44" t="s">
        <v>18</v>
      </c>
      <c r="J44" s="11"/>
      <c r="K44" s="11">
        <v>-5.95</v>
      </c>
      <c r="L44" s="4">
        <f t="shared" si="2"/>
        <v>-5.95</v>
      </c>
      <c r="M44" t="s">
        <v>9</v>
      </c>
      <c r="N44" t="s">
        <v>36</v>
      </c>
      <c r="O44" t="s">
        <v>33</v>
      </c>
      <c r="Q44" s="5" t="e">
        <f t="shared" si="4"/>
        <v>#REF!</v>
      </c>
      <c r="R44" t="s">
        <v>9</v>
      </c>
      <c r="T44" t="s">
        <v>18</v>
      </c>
      <c r="U44" t="e">
        <f>VLOOKUP(A44,#REF!,6,FALSE)</f>
        <v>#REF!</v>
      </c>
    </row>
    <row r="45" spans="1:21" x14ac:dyDescent="0.25">
      <c r="A45">
        <v>711</v>
      </c>
      <c r="B45" s="9" t="s">
        <v>58</v>
      </c>
      <c r="C45" s="19" t="s">
        <v>157</v>
      </c>
      <c r="D45" s="6">
        <v>45366</v>
      </c>
      <c r="E45" s="7">
        <v>45366.043749999997</v>
      </c>
      <c r="F45" t="s">
        <v>98</v>
      </c>
      <c r="J45" s="11">
        <v>750</v>
      </c>
      <c r="K45" s="11"/>
      <c r="L45" s="4">
        <f t="shared" si="2"/>
        <v>750</v>
      </c>
      <c r="M45" t="s">
        <v>7</v>
      </c>
      <c r="N45" t="s">
        <v>37</v>
      </c>
      <c r="O45" t="s">
        <v>33</v>
      </c>
      <c r="Q45" s="5" t="e">
        <f t="shared" si="4"/>
        <v>#REF!</v>
      </c>
      <c r="R45" t="s">
        <v>7</v>
      </c>
      <c r="S45">
        <v>1949304</v>
      </c>
      <c r="U45" t="e">
        <f>VLOOKUP(A45,#REF!,6,FALSE)</f>
        <v>#REF!</v>
      </c>
    </row>
    <row r="46" spans="1:21" x14ac:dyDescent="0.25">
      <c r="A46">
        <v>712</v>
      </c>
      <c r="B46" s="9" t="s">
        <v>58</v>
      </c>
      <c r="C46" s="19" t="s">
        <v>157</v>
      </c>
      <c r="D46" s="6">
        <v>45366</v>
      </c>
      <c r="E46" s="7">
        <v>45366.064583333333</v>
      </c>
      <c r="F46" t="s">
        <v>18</v>
      </c>
      <c r="J46" s="11"/>
      <c r="K46" s="11">
        <v>-11.55</v>
      </c>
      <c r="L46" s="4">
        <f t="shared" si="2"/>
        <v>-11.55</v>
      </c>
      <c r="M46" t="s">
        <v>9</v>
      </c>
      <c r="N46" t="s">
        <v>36</v>
      </c>
      <c r="O46" t="s">
        <v>33</v>
      </c>
      <c r="Q46" s="5" t="e">
        <f t="shared" si="4"/>
        <v>#REF!</v>
      </c>
      <c r="R46" t="s">
        <v>9</v>
      </c>
      <c r="T46" t="s">
        <v>18</v>
      </c>
      <c r="U46" t="e">
        <f>VLOOKUP(A46,#REF!,6,FALSE)</f>
        <v>#REF!</v>
      </c>
    </row>
    <row r="47" spans="1:21" x14ac:dyDescent="0.25">
      <c r="A47">
        <v>713</v>
      </c>
      <c r="B47" s="9" t="s">
        <v>58</v>
      </c>
      <c r="C47" s="19" t="s">
        <v>157</v>
      </c>
      <c r="D47" s="6">
        <v>45367</v>
      </c>
      <c r="E47" s="7">
        <v>45367.367361111108</v>
      </c>
      <c r="F47" t="s">
        <v>99</v>
      </c>
      <c r="J47" s="11"/>
      <c r="K47" s="11">
        <v>-4.8</v>
      </c>
      <c r="L47" s="4">
        <f t="shared" si="2"/>
        <v>-4.8</v>
      </c>
      <c r="M47" t="s">
        <v>38</v>
      </c>
      <c r="N47" t="s">
        <v>36</v>
      </c>
      <c r="O47" t="s">
        <v>33</v>
      </c>
      <c r="Q47" s="5" t="e">
        <f t="shared" si="4"/>
        <v>#REF!</v>
      </c>
      <c r="R47" t="s">
        <v>61</v>
      </c>
      <c r="T47" t="s">
        <v>99</v>
      </c>
      <c r="U47" t="e">
        <f>VLOOKUP(A47,#REF!,6,FALSE)</f>
        <v>#REF!</v>
      </c>
    </row>
    <row r="48" spans="1:21" x14ac:dyDescent="0.25">
      <c r="A48">
        <v>714</v>
      </c>
      <c r="B48" s="9" t="s">
        <v>58</v>
      </c>
      <c r="C48" s="19" t="s">
        <v>157</v>
      </c>
      <c r="D48" s="6">
        <v>45367</v>
      </c>
      <c r="E48" s="7">
        <v>45367.583333333336</v>
      </c>
      <c r="F48" t="s">
        <v>18</v>
      </c>
      <c r="J48" s="11"/>
      <c r="K48" s="11">
        <v>-8.5</v>
      </c>
      <c r="L48" s="4">
        <f t="shared" si="2"/>
        <v>-8.5</v>
      </c>
      <c r="M48" t="s">
        <v>9</v>
      </c>
      <c r="N48" t="s">
        <v>36</v>
      </c>
      <c r="O48" t="s">
        <v>33</v>
      </c>
      <c r="Q48" s="5" t="e">
        <f t="shared" si="4"/>
        <v>#REF!</v>
      </c>
      <c r="R48" t="s">
        <v>9</v>
      </c>
      <c r="T48" t="s">
        <v>18</v>
      </c>
      <c r="U48" t="e">
        <f>VLOOKUP(A48,#REF!,6,FALSE)</f>
        <v>#REF!</v>
      </c>
    </row>
    <row r="49" spans="1:21" x14ac:dyDescent="0.25">
      <c r="A49">
        <v>715</v>
      </c>
      <c r="B49" s="9" t="s">
        <v>58</v>
      </c>
      <c r="C49" s="19" t="s">
        <v>157</v>
      </c>
      <c r="D49" s="6">
        <v>45368</v>
      </c>
      <c r="E49" s="7">
        <v>45368.522916666669</v>
      </c>
      <c r="F49" t="s">
        <v>18</v>
      </c>
      <c r="J49" s="11"/>
      <c r="K49" s="11">
        <v>-5.55</v>
      </c>
      <c r="L49" s="4">
        <f t="shared" si="2"/>
        <v>-5.55</v>
      </c>
      <c r="M49" t="s">
        <v>9</v>
      </c>
      <c r="N49" t="s">
        <v>36</v>
      </c>
      <c r="O49" t="s">
        <v>33</v>
      </c>
      <c r="Q49" s="5" t="e">
        <f t="shared" si="4"/>
        <v>#REF!</v>
      </c>
      <c r="R49" t="s">
        <v>9</v>
      </c>
      <c r="T49" t="s">
        <v>18</v>
      </c>
      <c r="U49" t="e">
        <f>VLOOKUP(A49,#REF!,6,FALSE)</f>
        <v>#REF!</v>
      </c>
    </row>
    <row r="50" spans="1:21" x14ac:dyDescent="0.25">
      <c r="A50">
        <v>716</v>
      </c>
      <c r="B50" s="9" t="s">
        <v>58</v>
      </c>
      <c r="C50" s="19" t="s">
        <v>157</v>
      </c>
      <c r="D50" s="6">
        <v>45369</v>
      </c>
      <c r="E50" s="7">
        <v>45369.384722222225</v>
      </c>
      <c r="F50" t="s">
        <v>100</v>
      </c>
      <c r="J50" s="11"/>
      <c r="K50" s="11">
        <v>-4.9000000000000004</v>
      </c>
      <c r="L50" s="4">
        <f t="shared" si="2"/>
        <v>-4.9000000000000004</v>
      </c>
      <c r="N50" t="s">
        <v>36</v>
      </c>
      <c r="O50" t="s">
        <v>33</v>
      </c>
      <c r="Q50" s="5" t="e">
        <f t="shared" si="4"/>
        <v>#REF!</v>
      </c>
      <c r="R50" t="s">
        <v>61</v>
      </c>
      <c r="T50" t="s">
        <v>100</v>
      </c>
      <c r="U50" t="e">
        <f>VLOOKUP(A50,#REF!,6,FALSE)</f>
        <v>#REF!</v>
      </c>
    </row>
    <row r="51" spans="1:21" x14ac:dyDescent="0.25">
      <c r="A51">
        <v>717</v>
      </c>
      <c r="B51" s="9" t="s">
        <v>58</v>
      </c>
      <c r="C51" s="19" t="s">
        <v>157</v>
      </c>
      <c r="D51" s="6">
        <v>45369</v>
      </c>
      <c r="E51" s="7">
        <v>45369.583333333336</v>
      </c>
      <c r="F51" t="s">
        <v>101</v>
      </c>
      <c r="J51" s="11"/>
      <c r="K51" s="11">
        <v>-600</v>
      </c>
      <c r="L51" s="4">
        <f t="shared" si="2"/>
        <v>-600</v>
      </c>
      <c r="N51" t="s">
        <v>32</v>
      </c>
      <c r="O51" t="s">
        <v>33</v>
      </c>
      <c r="Q51" s="5" t="e">
        <f t="shared" si="4"/>
        <v>#REF!</v>
      </c>
      <c r="R51" t="s">
        <v>6</v>
      </c>
      <c r="S51" t="s">
        <v>102</v>
      </c>
      <c r="T51" t="s">
        <v>31</v>
      </c>
      <c r="U51" t="e">
        <f>VLOOKUP(A51,#REF!,6,FALSE)</f>
        <v>#REF!</v>
      </c>
    </row>
    <row r="52" spans="1:21" x14ac:dyDescent="0.25">
      <c r="A52">
        <v>718</v>
      </c>
      <c r="B52" s="9" t="s">
        <v>58</v>
      </c>
      <c r="C52" s="19" t="s">
        <v>157</v>
      </c>
      <c r="D52" s="6">
        <v>45369</v>
      </c>
      <c r="E52" s="7">
        <v>45369.92083333333</v>
      </c>
      <c r="F52" t="s">
        <v>103</v>
      </c>
      <c r="J52" s="11"/>
      <c r="K52" s="11">
        <v>-3</v>
      </c>
      <c r="L52" s="4">
        <f t="shared" si="2"/>
        <v>-3</v>
      </c>
      <c r="N52" t="s">
        <v>17</v>
      </c>
      <c r="O52" t="s">
        <v>33</v>
      </c>
      <c r="Q52" s="5" t="e">
        <f t="shared" si="4"/>
        <v>#REF!</v>
      </c>
      <c r="R52" t="s">
        <v>63</v>
      </c>
      <c r="S52" t="s">
        <v>103</v>
      </c>
      <c r="U52" t="e">
        <f>VLOOKUP(A52,#REF!,6,FALSE)</f>
        <v>#REF!</v>
      </c>
    </row>
    <row r="53" spans="1:21" x14ac:dyDescent="0.25">
      <c r="A53">
        <v>719</v>
      </c>
      <c r="B53" s="9" t="s">
        <v>58</v>
      </c>
      <c r="C53" s="19" t="s">
        <v>157</v>
      </c>
      <c r="D53" s="6">
        <v>45370</v>
      </c>
      <c r="E53" s="7">
        <v>45370.043055555558</v>
      </c>
      <c r="F53" t="s">
        <v>104</v>
      </c>
      <c r="J53" s="11">
        <v>375</v>
      </c>
      <c r="K53" s="11"/>
      <c r="L53" s="4">
        <f t="shared" si="2"/>
        <v>375</v>
      </c>
      <c r="M53" t="s">
        <v>7</v>
      </c>
      <c r="N53" t="s">
        <v>37</v>
      </c>
      <c r="O53" t="s">
        <v>33</v>
      </c>
      <c r="Q53" s="5" t="e">
        <f t="shared" si="4"/>
        <v>#REF!</v>
      </c>
      <c r="R53" t="s">
        <v>7</v>
      </c>
      <c r="S53">
        <v>1949495</v>
      </c>
      <c r="U53" t="e">
        <f>VLOOKUP(A53,#REF!,6,FALSE)</f>
        <v>#REF!</v>
      </c>
    </row>
    <row r="54" spans="1:21" x14ac:dyDescent="0.25">
      <c r="A54">
        <v>720</v>
      </c>
      <c r="B54" s="9" t="s">
        <v>58</v>
      </c>
      <c r="C54" s="19" t="s">
        <v>157</v>
      </c>
      <c r="D54" s="6">
        <v>45370</v>
      </c>
      <c r="E54" s="7">
        <v>45370.397916666669</v>
      </c>
      <c r="F54" t="s">
        <v>105</v>
      </c>
      <c r="J54" s="11"/>
      <c r="K54" s="11">
        <v>-3.7</v>
      </c>
      <c r="L54" s="4">
        <f t="shared" si="2"/>
        <v>-3.7</v>
      </c>
      <c r="M54" t="s">
        <v>38</v>
      </c>
      <c r="N54" t="s">
        <v>36</v>
      </c>
      <c r="O54" t="s">
        <v>33</v>
      </c>
      <c r="Q54" s="5" t="e">
        <f t="shared" si="4"/>
        <v>#REF!</v>
      </c>
      <c r="R54" t="s">
        <v>61</v>
      </c>
      <c r="T54" t="s">
        <v>105</v>
      </c>
      <c r="U54" t="e">
        <f>VLOOKUP(A54,#REF!,6,FALSE)</f>
        <v>#REF!</v>
      </c>
    </row>
    <row r="55" spans="1:21" x14ac:dyDescent="0.25">
      <c r="A55">
        <v>721</v>
      </c>
      <c r="B55" s="9" t="s">
        <v>58</v>
      </c>
      <c r="C55" s="19" t="s">
        <v>157</v>
      </c>
      <c r="D55" s="6">
        <v>45370</v>
      </c>
      <c r="E55" s="7">
        <v>45370.563194444447</v>
      </c>
      <c r="F55" t="s">
        <v>106</v>
      </c>
      <c r="J55" s="11"/>
      <c r="K55" s="11">
        <v>-4.7</v>
      </c>
      <c r="L55" s="4">
        <f t="shared" si="2"/>
        <v>-4.7</v>
      </c>
      <c r="N55" t="s">
        <v>36</v>
      </c>
      <c r="O55" t="s">
        <v>33</v>
      </c>
      <c r="Q55" s="5" t="e">
        <f t="shared" si="4"/>
        <v>#REF!</v>
      </c>
      <c r="R55" t="s">
        <v>61</v>
      </c>
      <c r="T55" t="s">
        <v>106</v>
      </c>
      <c r="U55" t="e">
        <f>VLOOKUP(A55,#REF!,6,FALSE)</f>
        <v>#REF!</v>
      </c>
    </row>
    <row r="56" spans="1:21" x14ac:dyDescent="0.25">
      <c r="A56">
        <v>722</v>
      </c>
      <c r="B56" s="9" t="s">
        <v>58</v>
      </c>
      <c r="C56" s="19" t="s">
        <v>157</v>
      </c>
      <c r="D56" s="6">
        <v>45371</v>
      </c>
      <c r="E56" s="7">
        <v>45371.042361111111</v>
      </c>
      <c r="F56" t="s">
        <v>107</v>
      </c>
      <c r="J56" s="11">
        <v>750</v>
      </c>
      <c r="K56" s="11"/>
      <c r="L56" s="4">
        <f t="shared" si="2"/>
        <v>750</v>
      </c>
      <c r="M56" t="s">
        <v>7</v>
      </c>
      <c r="N56" t="s">
        <v>37</v>
      </c>
      <c r="O56" t="s">
        <v>33</v>
      </c>
      <c r="Q56" s="5" t="e">
        <f t="shared" si="4"/>
        <v>#REF!</v>
      </c>
      <c r="R56" t="s">
        <v>7</v>
      </c>
      <c r="S56">
        <v>1949771</v>
      </c>
      <c r="U56" t="e">
        <f>VLOOKUP(A56,#REF!,6,FALSE)</f>
        <v>#REF!</v>
      </c>
    </row>
    <row r="57" spans="1:21" x14ac:dyDescent="0.25">
      <c r="A57">
        <v>723</v>
      </c>
      <c r="B57" s="9" t="s">
        <v>58</v>
      </c>
      <c r="C57" s="19" t="s">
        <v>157</v>
      </c>
      <c r="D57" s="6">
        <v>45371</v>
      </c>
      <c r="E57" s="7">
        <v>45371.063888888886</v>
      </c>
      <c r="F57" t="s">
        <v>18</v>
      </c>
      <c r="J57" s="11"/>
      <c r="K57" s="11">
        <v>-7.95</v>
      </c>
      <c r="L57" s="4">
        <f t="shared" si="2"/>
        <v>-7.95</v>
      </c>
      <c r="M57" t="s">
        <v>9</v>
      </c>
      <c r="N57" t="s">
        <v>36</v>
      </c>
      <c r="O57" t="s">
        <v>33</v>
      </c>
      <c r="Q57" s="5" t="e">
        <f t="shared" si="4"/>
        <v>#REF!</v>
      </c>
      <c r="R57" t="s">
        <v>9</v>
      </c>
      <c r="T57" t="s">
        <v>18</v>
      </c>
      <c r="U57" t="e">
        <f>VLOOKUP(A57,#REF!,6,FALSE)</f>
        <v>#REF!</v>
      </c>
    </row>
    <row r="58" spans="1:21" x14ac:dyDescent="0.25">
      <c r="A58">
        <v>724</v>
      </c>
      <c r="B58" s="9" t="s">
        <v>58</v>
      </c>
      <c r="C58" s="19" t="s">
        <v>157</v>
      </c>
      <c r="D58" s="6">
        <v>45371</v>
      </c>
      <c r="E58" s="7">
        <v>45371.205555555556</v>
      </c>
      <c r="F58" t="s">
        <v>108</v>
      </c>
      <c r="J58" s="11">
        <v>600</v>
      </c>
      <c r="K58" s="11"/>
      <c r="L58" s="4">
        <f t="shared" si="2"/>
        <v>600</v>
      </c>
      <c r="M58" t="s">
        <v>109</v>
      </c>
      <c r="N58" t="s">
        <v>37</v>
      </c>
      <c r="O58" t="s">
        <v>33</v>
      </c>
      <c r="Q58" s="5" t="e">
        <f t="shared" si="4"/>
        <v>#REF!</v>
      </c>
      <c r="R58" t="s">
        <v>6</v>
      </c>
      <c r="S58" t="s">
        <v>110</v>
      </c>
      <c r="U58" t="e">
        <f>VLOOKUP(A58,#REF!,6,FALSE)</f>
        <v>#REF!</v>
      </c>
    </row>
    <row r="59" spans="1:21" x14ac:dyDescent="0.25">
      <c r="A59">
        <v>725</v>
      </c>
      <c r="B59" s="9" t="s">
        <v>58</v>
      </c>
      <c r="C59" s="19" t="s">
        <v>157</v>
      </c>
      <c r="D59" s="6">
        <v>45371</v>
      </c>
      <c r="E59" s="7">
        <v>45371.385416666664</v>
      </c>
      <c r="F59" t="s">
        <v>73</v>
      </c>
      <c r="J59" s="11"/>
      <c r="K59" s="11">
        <v>-4.5999999999999996</v>
      </c>
      <c r="L59" s="4">
        <f t="shared" si="2"/>
        <v>-4.5999999999999996</v>
      </c>
      <c r="M59" t="s">
        <v>38</v>
      </c>
      <c r="N59" t="s">
        <v>36</v>
      </c>
      <c r="O59" t="s">
        <v>33</v>
      </c>
      <c r="Q59" s="5" t="e">
        <f t="shared" si="4"/>
        <v>#REF!</v>
      </c>
      <c r="R59" t="s">
        <v>61</v>
      </c>
      <c r="T59" t="s">
        <v>73</v>
      </c>
      <c r="U59" t="e">
        <f>VLOOKUP(A59,#REF!,6,FALSE)</f>
        <v>#REF!</v>
      </c>
    </row>
    <row r="60" spans="1:21" x14ac:dyDescent="0.25">
      <c r="A60">
        <v>726</v>
      </c>
      <c r="B60" s="9" t="s">
        <v>58</v>
      </c>
      <c r="C60" s="19" t="s">
        <v>157</v>
      </c>
      <c r="D60" s="6">
        <v>45371</v>
      </c>
      <c r="E60" s="7">
        <v>45371.552083333336</v>
      </c>
      <c r="F60" t="s">
        <v>111</v>
      </c>
      <c r="J60" s="11"/>
      <c r="K60" s="11">
        <v>-2600</v>
      </c>
      <c r="L60" s="4">
        <f t="shared" si="2"/>
        <v>-2600</v>
      </c>
      <c r="N60" t="s">
        <v>32</v>
      </c>
      <c r="O60" t="s">
        <v>33</v>
      </c>
      <c r="Q60" s="5" t="e">
        <f t="shared" si="4"/>
        <v>#REF!</v>
      </c>
      <c r="R60" t="s">
        <v>6</v>
      </c>
      <c r="S60" t="s">
        <v>112</v>
      </c>
      <c r="T60" t="s">
        <v>31</v>
      </c>
      <c r="U60" t="e">
        <f>VLOOKUP(A60,#REF!,6,FALSE)</f>
        <v>#REF!</v>
      </c>
    </row>
    <row r="61" spans="1:21" x14ac:dyDescent="0.25">
      <c r="A61">
        <v>727</v>
      </c>
      <c r="B61" s="9" t="s">
        <v>58</v>
      </c>
      <c r="C61" s="19" t="s">
        <v>157</v>
      </c>
      <c r="D61" s="6">
        <v>45373</v>
      </c>
      <c r="E61" s="7">
        <v>45373.04583333333</v>
      </c>
      <c r="F61" t="s">
        <v>113</v>
      </c>
      <c r="J61" s="11">
        <v>1150</v>
      </c>
      <c r="K61" s="11"/>
      <c r="L61" s="4">
        <f t="shared" si="2"/>
        <v>1150</v>
      </c>
      <c r="M61" t="s">
        <v>7</v>
      </c>
      <c r="N61" t="s">
        <v>37</v>
      </c>
      <c r="O61" t="s">
        <v>33</v>
      </c>
      <c r="Q61" s="5" t="e">
        <f t="shared" si="4"/>
        <v>#REF!</v>
      </c>
      <c r="R61" t="s">
        <v>7</v>
      </c>
      <c r="S61">
        <v>1950194</v>
      </c>
      <c r="U61" t="e">
        <f>VLOOKUP(A61,#REF!,6,FALSE)</f>
        <v>#REF!</v>
      </c>
    </row>
    <row r="62" spans="1:21" x14ac:dyDescent="0.25">
      <c r="A62">
        <v>728</v>
      </c>
      <c r="B62" s="9" t="s">
        <v>58</v>
      </c>
      <c r="C62" s="19" t="s">
        <v>157</v>
      </c>
      <c r="D62" s="6">
        <v>45373</v>
      </c>
      <c r="E62" s="7">
        <v>45373.352083333331</v>
      </c>
      <c r="F62" t="s">
        <v>114</v>
      </c>
      <c r="J62" s="11"/>
      <c r="K62" s="11">
        <v>-2.99</v>
      </c>
      <c r="L62" s="4">
        <f t="shared" si="2"/>
        <v>-2.99</v>
      </c>
      <c r="M62" t="s">
        <v>38</v>
      </c>
      <c r="N62" t="s">
        <v>36</v>
      </c>
      <c r="O62" t="s">
        <v>33</v>
      </c>
      <c r="P62" t="s">
        <v>48</v>
      </c>
      <c r="Q62" s="5" t="e">
        <f t="shared" si="4"/>
        <v>#REF!</v>
      </c>
      <c r="R62" t="s">
        <v>61</v>
      </c>
      <c r="T62" t="s">
        <v>114</v>
      </c>
      <c r="U62" t="e">
        <f>VLOOKUP(A62,#REF!,6,FALSE)</f>
        <v>#REF!</v>
      </c>
    </row>
    <row r="63" spans="1:21" x14ac:dyDescent="0.25">
      <c r="A63">
        <v>729</v>
      </c>
      <c r="B63" s="9" t="s">
        <v>58</v>
      </c>
      <c r="C63" s="19" t="s">
        <v>157</v>
      </c>
      <c r="D63" s="6">
        <v>45373</v>
      </c>
      <c r="E63" s="7">
        <v>45373.384027777778</v>
      </c>
      <c r="F63" t="s">
        <v>73</v>
      </c>
      <c r="J63" s="11"/>
      <c r="K63" s="11">
        <v>-4.5999999999999996</v>
      </c>
      <c r="L63" s="4">
        <f t="shared" si="2"/>
        <v>-4.5999999999999996</v>
      </c>
      <c r="M63" t="s">
        <v>38</v>
      </c>
      <c r="N63" t="s">
        <v>36</v>
      </c>
      <c r="O63" t="s">
        <v>33</v>
      </c>
      <c r="Q63" s="5" t="e">
        <f t="shared" si="4"/>
        <v>#REF!</v>
      </c>
      <c r="R63" t="s">
        <v>61</v>
      </c>
      <c r="T63" t="s">
        <v>73</v>
      </c>
      <c r="U63" t="e">
        <f>VLOOKUP(A63,#REF!,6,FALSE)</f>
        <v>#REF!</v>
      </c>
    </row>
    <row r="64" spans="1:21" x14ac:dyDescent="0.25">
      <c r="A64">
        <v>730</v>
      </c>
      <c r="B64" s="9" t="s">
        <v>58</v>
      </c>
      <c r="C64" s="19" t="s">
        <v>157</v>
      </c>
      <c r="D64" s="6">
        <v>45373</v>
      </c>
      <c r="E64" s="7">
        <v>45373.534722222219</v>
      </c>
      <c r="F64" t="s">
        <v>18</v>
      </c>
      <c r="J64" s="11"/>
      <c r="K64" s="11">
        <v>-12.3</v>
      </c>
      <c r="L64" s="4">
        <f t="shared" si="2"/>
        <v>-12.3</v>
      </c>
      <c r="M64" t="s">
        <v>9</v>
      </c>
      <c r="N64" t="s">
        <v>36</v>
      </c>
      <c r="O64" t="s">
        <v>33</v>
      </c>
      <c r="Q64" s="5" t="e">
        <f t="shared" si="4"/>
        <v>#REF!</v>
      </c>
      <c r="R64" t="s">
        <v>9</v>
      </c>
      <c r="T64" t="s">
        <v>18</v>
      </c>
      <c r="U64" t="e">
        <f>VLOOKUP(A64,#REF!,6,FALSE)</f>
        <v>#REF!</v>
      </c>
    </row>
    <row r="65" spans="1:21" x14ac:dyDescent="0.25">
      <c r="A65">
        <v>731</v>
      </c>
      <c r="B65" s="9" t="s">
        <v>58</v>
      </c>
      <c r="C65" s="19" t="s">
        <v>157</v>
      </c>
      <c r="D65" s="6">
        <v>45374</v>
      </c>
      <c r="E65" s="7">
        <v>45374.063194444447</v>
      </c>
      <c r="F65" t="s">
        <v>18</v>
      </c>
      <c r="J65" s="11"/>
      <c r="K65" s="11">
        <v>-7.3</v>
      </c>
      <c r="L65" s="4">
        <f t="shared" si="2"/>
        <v>-7.3</v>
      </c>
      <c r="M65" t="s">
        <v>9</v>
      </c>
      <c r="N65" t="s">
        <v>36</v>
      </c>
      <c r="O65" t="s">
        <v>33</v>
      </c>
      <c r="Q65" s="5" t="e">
        <f t="shared" si="4"/>
        <v>#REF!</v>
      </c>
      <c r="R65" t="s">
        <v>9</v>
      </c>
      <c r="T65" t="s">
        <v>18</v>
      </c>
      <c r="U65" t="e">
        <f>VLOOKUP(A65,#REF!,6,FALSE)</f>
        <v>#REF!</v>
      </c>
    </row>
    <row r="66" spans="1:21" x14ac:dyDescent="0.25">
      <c r="A66">
        <v>732</v>
      </c>
      <c r="B66" s="9" t="s">
        <v>58</v>
      </c>
      <c r="C66" s="19" t="s">
        <v>157</v>
      </c>
      <c r="D66" s="6">
        <v>45376</v>
      </c>
      <c r="E66" s="7">
        <v>45376.398611111108</v>
      </c>
      <c r="F66" t="s">
        <v>73</v>
      </c>
      <c r="J66" s="11"/>
      <c r="K66" s="11">
        <v>-4.5999999999999996</v>
      </c>
      <c r="L66" s="4">
        <f t="shared" si="2"/>
        <v>-4.5999999999999996</v>
      </c>
      <c r="M66" t="s">
        <v>38</v>
      </c>
      <c r="N66" t="s">
        <v>36</v>
      </c>
      <c r="O66" t="s">
        <v>33</v>
      </c>
      <c r="Q66" s="5" t="e">
        <f t="shared" si="4"/>
        <v>#REF!</v>
      </c>
      <c r="R66" t="s">
        <v>61</v>
      </c>
      <c r="T66" t="s">
        <v>73</v>
      </c>
      <c r="U66" t="e">
        <f>VLOOKUP(A66,#REF!,6,FALSE)</f>
        <v>#REF!</v>
      </c>
    </row>
    <row r="67" spans="1:21" x14ac:dyDescent="0.25">
      <c r="A67">
        <v>733</v>
      </c>
      <c r="B67" s="9" t="s">
        <v>58</v>
      </c>
      <c r="C67" s="19" t="s">
        <v>157</v>
      </c>
      <c r="D67" s="6">
        <v>45377</v>
      </c>
      <c r="E67" s="7">
        <v>45377.043749999997</v>
      </c>
      <c r="F67" t="s">
        <v>115</v>
      </c>
      <c r="J67" s="11">
        <v>375</v>
      </c>
      <c r="K67" s="11"/>
      <c r="L67" s="4">
        <f t="shared" si="2"/>
        <v>375</v>
      </c>
      <c r="M67" t="s">
        <v>7</v>
      </c>
      <c r="N67" t="s">
        <v>37</v>
      </c>
      <c r="O67" t="s">
        <v>33</v>
      </c>
      <c r="Q67" s="5" t="e">
        <f t="shared" si="4"/>
        <v>#REF!</v>
      </c>
      <c r="R67" t="s">
        <v>7</v>
      </c>
      <c r="S67">
        <v>1950395</v>
      </c>
      <c r="U67" t="e">
        <f>VLOOKUP(A67,#REF!,6,FALSE)</f>
        <v>#REF!</v>
      </c>
    </row>
    <row r="68" spans="1:21" x14ac:dyDescent="0.25">
      <c r="A68">
        <v>734</v>
      </c>
      <c r="B68" s="9" t="s">
        <v>58</v>
      </c>
      <c r="C68" s="19" t="s">
        <v>157</v>
      </c>
      <c r="D68" s="6">
        <v>45377</v>
      </c>
      <c r="E68" s="7">
        <v>45377.524305555555</v>
      </c>
      <c r="F68" t="s">
        <v>18</v>
      </c>
      <c r="J68" s="11"/>
      <c r="K68" s="11">
        <v>-7.5</v>
      </c>
      <c r="L68" s="4">
        <f t="shared" si="2"/>
        <v>-7.5</v>
      </c>
      <c r="M68" t="s">
        <v>9</v>
      </c>
      <c r="N68" t="s">
        <v>36</v>
      </c>
      <c r="O68" t="s">
        <v>33</v>
      </c>
      <c r="Q68" s="5" t="e">
        <f t="shared" si="4"/>
        <v>#REF!</v>
      </c>
      <c r="R68" t="s">
        <v>9</v>
      </c>
      <c r="T68" t="s">
        <v>18</v>
      </c>
      <c r="U68" t="e">
        <f>VLOOKUP(A68,#REF!,6,FALSE)</f>
        <v>#REF!</v>
      </c>
    </row>
    <row r="69" spans="1:21" x14ac:dyDescent="0.25">
      <c r="A69">
        <v>735</v>
      </c>
      <c r="B69" s="9" t="s">
        <v>58</v>
      </c>
      <c r="C69" s="19" t="s">
        <v>157</v>
      </c>
      <c r="D69" s="6">
        <v>45377</v>
      </c>
      <c r="E69" s="7">
        <v>45377.585416666669</v>
      </c>
      <c r="F69" t="s">
        <v>73</v>
      </c>
      <c r="J69" s="11"/>
      <c r="K69" s="11">
        <v>-4.5999999999999996</v>
      </c>
      <c r="L69" s="4">
        <f t="shared" si="2"/>
        <v>-4.5999999999999996</v>
      </c>
      <c r="M69" t="s">
        <v>38</v>
      </c>
      <c r="N69" t="s">
        <v>36</v>
      </c>
      <c r="O69" t="s">
        <v>33</v>
      </c>
      <c r="Q69" s="5" t="e">
        <f t="shared" si="4"/>
        <v>#REF!</v>
      </c>
      <c r="R69" t="s">
        <v>61</v>
      </c>
      <c r="T69" t="s">
        <v>73</v>
      </c>
      <c r="U69" t="e">
        <f>VLOOKUP(A69,#REF!,6,FALSE)</f>
        <v>#REF!</v>
      </c>
    </row>
    <row r="70" spans="1:21" x14ac:dyDescent="0.25">
      <c r="A70">
        <v>736</v>
      </c>
      <c r="B70" s="9" t="s">
        <v>58</v>
      </c>
      <c r="C70" s="19" t="s">
        <v>157</v>
      </c>
      <c r="D70" s="6">
        <v>45378</v>
      </c>
      <c r="E70" s="7">
        <v>45378.045138888891</v>
      </c>
      <c r="F70" t="s">
        <v>116</v>
      </c>
      <c r="J70" s="11">
        <v>750</v>
      </c>
      <c r="K70" s="11"/>
      <c r="L70" s="4">
        <f t="shared" si="2"/>
        <v>750</v>
      </c>
      <c r="M70" t="s">
        <v>7</v>
      </c>
      <c r="N70" t="s">
        <v>37</v>
      </c>
      <c r="O70" t="s">
        <v>33</v>
      </c>
      <c r="Q70" s="5" t="e">
        <f t="shared" si="4"/>
        <v>#REF!</v>
      </c>
      <c r="R70" t="s">
        <v>7</v>
      </c>
      <c r="S70">
        <v>1950653</v>
      </c>
      <c r="U70" t="e">
        <f>VLOOKUP(A70,#REF!,6,FALSE)</f>
        <v>#REF!</v>
      </c>
    </row>
    <row r="71" spans="1:21" x14ac:dyDescent="0.25">
      <c r="A71">
        <v>737</v>
      </c>
      <c r="B71" s="9" t="s">
        <v>58</v>
      </c>
      <c r="C71" s="19" t="s">
        <v>157</v>
      </c>
      <c r="D71" s="6">
        <v>45378</v>
      </c>
      <c r="E71" s="7">
        <v>45378.064583333333</v>
      </c>
      <c r="F71" t="s">
        <v>18</v>
      </c>
      <c r="J71" s="11"/>
      <c r="K71" s="11">
        <v>-5.95</v>
      </c>
      <c r="L71" s="4">
        <f t="shared" si="2"/>
        <v>-5.95</v>
      </c>
      <c r="M71" t="s">
        <v>9</v>
      </c>
      <c r="N71" t="s">
        <v>36</v>
      </c>
      <c r="O71" t="s">
        <v>33</v>
      </c>
      <c r="Q71" s="5" t="e">
        <f t="shared" si="4"/>
        <v>#REF!</v>
      </c>
      <c r="R71" t="s">
        <v>9</v>
      </c>
      <c r="T71" t="s">
        <v>18</v>
      </c>
      <c r="U71" t="e">
        <f>VLOOKUP(A71,#REF!,6,FALSE)</f>
        <v>#REF!</v>
      </c>
    </row>
    <row r="72" spans="1:21" x14ac:dyDescent="0.25">
      <c r="A72">
        <v>738</v>
      </c>
      <c r="B72" s="9" t="s">
        <v>58</v>
      </c>
      <c r="C72" s="19" t="s">
        <v>157</v>
      </c>
      <c r="D72" s="6">
        <v>45378</v>
      </c>
      <c r="E72" s="7">
        <v>45378.379166666666</v>
      </c>
      <c r="F72" t="s">
        <v>73</v>
      </c>
      <c r="J72" s="11"/>
      <c r="K72" s="11">
        <v>-6.25</v>
      </c>
      <c r="L72" s="4">
        <f t="shared" si="2"/>
        <v>-6.25</v>
      </c>
      <c r="M72" t="s">
        <v>38</v>
      </c>
      <c r="N72" t="s">
        <v>36</v>
      </c>
      <c r="O72" t="s">
        <v>33</v>
      </c>
      <c r="Q72" s="5" t="e">
        <f t="shared" si="4"/>
        <v>#REF!</v>
      </c>
      <c r="R72" t="s">
        <v>61</v>
      </c>
      <c r="T72" t="s">
        <v>73</v>
      </c>
      <c r="U72" t="e">
        <f>VLOOKUP(A72,#REF!,6,FALSE)</f>
        <v>#REF!</v>
      </c>
    </row>
    <row r="73" spans="1:21" x14ac:dyDescent="0.25">
      <c r="A73">
        <v>739</v>
      </c>
      <c r="B73" s="9" t="s">
        <v>58</v>
      </c>
      <c r="C73" s="19" t="s">
        <v>157</v>
      </c>
      <c r="D73" s="6">
        <v>45378</v>
      </c>
      <c r="E73" s="7">
        <v>45378.744444444441</v>
      </c>
      <c r="F73" t="s">
        <v>69</v>
      </c>
      <c r="J73" s="11"/>
      <c r="K73" s="11">
        <v>-8.98</v>
      </c>
      <c r="L73" s="4">
        <f t="shared" si="2"/>
        <v>-8.98</v>
      </c>
      <c r="M73" t="s">
        <v>9</v>
      </c>
      <c r="N73" t="s">
        <v>36</v>
      </c>
      <c r="O73" t="s">
        <v>33</v>
      </c>
      <c r="Q73" s="5" t="e">
        <f t="shared" si="4"/>
        <v>#REF!</v>
      </c>
      <c r="R73" t="s">
        <v>9</v>
      </c>
      <c r="T73" t="s">
        <v>69</v>
      </c>
      <c r="U73" t="e">
        <f>VLOOKUP(A73,#REF!,6,FALSE)</f>
        <v>#REF!</v>
      </c>
    </row>
    <row r="74" spans="1:21" x14ac:dyDescent="0.25">
      <c r="A74">
        <v>740</v>
      </c>
      <c r="B74" s="9" t="s">
        <v>58</v>
      </c>
      <c r="C74" s="19" t="s">
        <v>157</v>
      </c>
      <c r="D74" s="6">
        <v>45379</v>
      </c>
      <c r="E74" s="7">
        <v>45379.411111111112</v>
      </c>
      <c r="F74" t="s">
        <v>117</v>
      </c>
      <c r="J74" s="11"/>
      <c r="K74" s="11">
        <v>-3.8</v>
      </c>
      <c r="L74" s="4">
        <f t="shared" si="2"/>
        <v>-3.8</v>
      </c>
      <c r="M74" t="s">
        <v>38</v>
      </c>
      <c r="N74" t="s">
        <v>36</v>
      </c>
      <c r="O74" t="s">
        <v>33</v>
      </c>
      <c r="Q74" s="5" t="e">
        <f t="shared" si="4"/>
        <v>#REF!</v>
      </c>
      <c r="R74" t="s">
        <v>61</v>
      </c>
      <c r="T74" t="s">
        <v>117</v>
      </c>
      <c r="U74" t="e">
        <f>VLOOKUP(A74,#REF!,6,FALSE)</f>
        <v>#REF!</v>
      </c>
    </row>
    <row r="75" spans="1:21" x14ac:dyDescent="0.25">
      <c r="A75">
        <v>741</v>
      </c>
      <c r="B75" s="9" t="s">
        <v>58</v>
      </c>
      <c r="C75" s="19" t="s">
        <v>157</v>
      </c>
      <c r="D75" s="6">
        <v>45379</v>
      </c>
      <c r="E75" s="7">
        <v>45379.537499999999</v>
      </c>
      <c r="F75" t="s">
        <v>18</v>
      </c>
      <c r="J75" s="11"/>
      <c r="K75" s="11">
        <v>-12.3</v>
      </c>
      <c r="L75" s="4">
        <f t="shared" ref="L75:L138" si="5">J75+K75</f>
        <v>-12.3</v>
      </c>
      <c r="M75" t="s">
        <v>9</v>
      </c>
      <c r="N75" t="s">
        <v>36</v>
      </c>
      <c r="O75" t="s">
        <v>33</v>
      </c>
      <c r="Q75" s="5" t="e">
        <f t="shared" ref="Q75:Q106" si="6">Q74+L75</f>
        <v>#REF!</v>
      </c>
      <c r="R75" t="s">
        <v>9</v>
      </c>
      <c r="T75" t="s">
        <v>18</v>
      </c>
      <c r="U75" t="e">
        <f>VLOOKUP(A75,#REF!,6,FALSE)</f>
        <v>#REF!</v>
      </c>
    </row>
    <row r="76" spans="1:21" x14ac:dyDescent="0.25">
      <c r="A76">
        <v>742</v>
      </c>
      <c r="B76" s="9" t="s">
        <v>58</v>
      </c>
      <c r="C76" s="19" t="s">
        <v>157</v>
      </c>
      <c r="D76" s="6">
        <v>45380</v>
      </c>
      <c r="E76" s="7">
        <v>45380.388888888891</v>
      </c>
      <c r="F76" t="s">
        <v>118</v>
      </c>
      <c r="J76" s="11"/>
      <c r="K76" s="11">
        <v>-4.7</v>
      </c>
      <c r="L76" s="4">
        <f t="shared" si="5"/>
        <v>-4.7</v>
      </c>
      <c r="M76" t="s">
        <v>38</v>
      </c>
      <c r="N76" t="s">
        <v>36</v>
      </c>
      <c r="O76" t="s">
        <v>33</v>
      </c>
      <c r="Q76" s="5" t="e">
        <f t="shared" si="6"/>
        <v>#REF!</v>
      </c>
      <c r="R76" t="s">
        <v>61</v>
      </c>
      <c r="T76" t="s">
        <v>118</v>
      </c>
      <c r="U76" t="e">
        <f>VLOOKUP(A76,#REF!,6,FALSE)</f>
        <v>#REF!</v>
      </c>
    </row>
    <row r="77" spans="1:21" x14ac:dyDescent="0.25">
      <c r="A77">
        <v>743</v>
      </c>
      <c r="B77" s="9" t="s">
        <v>58</v>
      </c>
      <c r="C77" s="19" t="s">
        <v>157</v>
      </c>
      <c r="D77" s="6">
        <v>45380</v>
      </c>
      <c r="E77" s="7">
        <v>45380.527777777781</v>
      </c>
      <c r="F77" t="s">
        <v>18</v>
      </c>
      <c r="J77" s="11"/>
      <c r="K77" s="11">
        <v>-6.9</v>
      </c>
      <c r="L77" s="4">
        <f t="shared" si="5"/>
        <v>-6.9</v>
      </c>
      <c r="M77" t="s">
        <v>9</v>
      </c>
      <c r="N77" t="s">
        <v>36</v>
      </c>
      <c r="O77" t="s">
        <v>33</v>
      </c>
      <c r="Q77" s="5" t="e">
        <f t="shared" si="6"/>
        <v>#REF!</v>
      </c>
      <c r="R77" t="s">
        <v>9</v>
      </c>
      <c r="T77" t="s">
        <v>18</v>
      </c>
      <c r="U77" t="e">
        <f>VLOOKUP(A77,#REF!,6,FALSE)</f>
        <v>#REF!</v>
      </c>
    </row>
    <row r="78" spans="1:21" x14ac:dyDescent="0.25">
      <c r="A78">
        <v>744</v>
      </c>
      <c r="B78" s="9" t="s">
        <v>58</v>
      </c>
      <c r="C78" s="19" t="s">
        <v>157</v>
      </c>
      <c r="D78" s="6">
        <v>45380</v>
      </c>
      <c r="E78" s="7">
        <v>45380.584722222222</v>
      </c>
      <c r="F78" t="s">
        <v>119</v>
      </c>
      <c r="J78" s="11"/>
      <c r="K78" s="11">
        <v>-9</v>
      </c>
      <c r="L78" s="4">
        <f t="shared" si="5"/>
        <v>-9</v>
      </c>
      <c r="N78" t="s">
        <v>36</v>
      </c>
      <c r="O78" t="s">
        <v>33</v>
      </c>
      <c r="P78" t="s">
        <v>48</v>
      </c>
      <c r="Q78" s="5" t="e">
        <f t="shared" si="6"/>
        <v>#REF!</v>
      </c>
      <c r="R78" t="s">
        <v>61</v>
      </c>
      <c r="T78" t="s">
        <v>119</v>
      </c>
      <c r="U78" t="e">
        <f>VLOOKUP(A78,#REF!,6,FALSE)</f>
        <v>#REF!</v>
      </c>
    </row>
    <row r="79" spans="1:21" x14ac:dyDescent="0.25">
      <c r="A79">
        <v>745</v>
      </c>
      <c r="B79" s="9" t="s">
        <v>58</v>
      </c>
      <c r="C79" s="19" t="s">
        <v>157</v>
      </c>
      <c r="D79" s="6">
        <v>45381</v>
      </c>
      <c r="E79" s="7">
        <v>45381.052083333336</v>
      </c>
      <c r="F79" t="s">
        <v>18</v>
      </c>
      <c r="J79" s="11"/>
      <c r="K79" s="11">
        <v>-5.6</v>
      </c>
      <c r="L79" s="4">
        <f t="shared" si="5"/>
        <v>-5.6</v>
      </c>
      <c r="M79" t="s">
        <v>9</v>
      </c>
      <c r="N79" t="s">
        <v>36</v>
      </c>
      <c r="O79" t="s">
        <v>33</v>
      </c>
      <c r="Q79" s="5" t="e">
        <f t="shared" si="6"/>
        <v>#REF!</v>
      </c>
      <c r="R79" t="s">
        <v>9</v>
      </c>
      <c r="T79" t="s">
        <v>18</v>
      </c>
      <c r="U79" t="e">
        <f>VLOOKUP(A79,#REF!,6,FALSE)</f>
        <v>#REF!</v>
      </c>
    </row>
    <row r="80" spans="1:21" x14ac:dyDescent="0.25">
      <c r="A80">
        <v>746</v>
      </c>
      <c r="B80" s="9" t="s">
        <v>58</v>
      </c>
      <c r="C80" s="19" t="s">
        <v>157</v>
      </c>
      <c r="D80" s="6">
        <v>45381</v>
      </c>
      <c r="E80" s="7">
        <v>45381.352083333331</v>
      </c>
      <c r="F80" t="s">
        <v>120</v>
      </c>
      <c r="J80" s="11"/>
      <c r="K80" s="11">
        <v>-6.07</v>
      </c>
      <c r="L80" s="4">
        <f t="shared" si="5"/>
        <v>-6.07</v>
      </c>
      <c r="N80" t="s">
        <v>36</v>
      </c>
      <c r="O80" t="s">
        <v>33</v>
      </c>
      <c r="Q80" s="5" t="e">
        <f t="shared" si="6"/>
        <v>#REF!</v>
      </c>
      <c r="R80" t="s">
        <v>61</v>
      </c>
      <c r="T80" t="s">
        <v>120</v>
      </c>
      <c r="U80" t="e">
        <f>VLOOKUP(A80,#REF!,6,FALSE)</f>
        <v>#REF!</v>
      </c>
    </row>
    <row r="81" spans="1:21" x14ac:dyDescent="0.25">
      <c r="A81">
        <v>747</v>
      </c>
      <c r="B81" s="9" t="s">
        <v>58</v>
      </c>
      <c r="C81" s="19" t="s">
        <v>157</v>
      </c>
      <c r="D81" s="6">
        <v>45382</v>
      </c>
      <c r="E81" s="7">
        <v>45382.443055555559</v>
      </c>
      <c r="F81" t="s">
        <v>18</v>
      </c>
      <c r="J81" s="11"/>
      <c r="K81" s="11">
        <v>-11.4</v>
      </c>
      <c r="L81" s="4">
        <f t="shared" si="5"/>
        <v>-11.4</v>
      </c>
      <c r="M81" t="s">
        <v>9</v>
      </c>
      <c r="N81" t="s">
        <v>36</v>
      </c>
      <c r="O81" t="s">
        <v>33</v>
      </c>
      <c r="Q81" s="5" t="e">
        <f t="shared" si="6"/>
        <v>#REF!</v>
      </c>
      <c r="R81" t="s">
        <v>9</v>
      </c>
      <c r="T81" t="s">
        <v>18</v>
      </c>
      <c r="U81" t="e">
        <f>VLOOKUP(A81,#REF!,6,FALSE)</f>
        <v>#REF!</v>
      </c>
    </row>
    <row r="82" spans="1:21" x14ac:dyDescent="0.25">
      <c r="A82">
        <v>748</v>
      </c>
      <c r="B82" s="9" t="s">
        <v>58</v>
      </c>
      <c r="C82" s="19" t="s">
        <v>157</v>
      </c>
      <c r="D82" s="6">
        <v>45383</v>
      </c>
      <c r="E82" s="7">
        <v>45383.40625</v>
      </c>
      <c r="F82" t="s">
        <v>70</v>
      </c>
      <c r="J82" s="11"/>
      <c r="K82" s="11">
        <v>-3.7</v>
      </c>
      <c r="L82" s="4">
        <f t="shared" si="5"/>
        <v>-3.7</v>
      </c>
      <c r="M82" t="s">
        <v>38</v>
      </c>
      <c r="N82" t="s">
        <v>36</v>
      </c>
      <c r="O82" t="s">
        <v>33</v>
      </c>
      <c r="Q82" s="5" t="e">
        <f t="shared" si="6"/>
        <v>#REF!</v>
      </c>
      <c r="R82" t="s">
        <v>61</v>
      </c>
      <c r="T82" t="s">
        <v>70</v>
      </c>
      <c r="U82" t="e">
        <f>VLOOKUP(A82,#REF!,6,FALSE)</f>
        <v>#REF!</v>
      </c>
    </row>
    <row r="83" spans="1:21" x14ac:dyDescent="0.25">
      <c r="A83">
        <v>749</v>
      </c>
      <c r="B83" s="9" t="s">
        <v>58</v>
      </c>
      <c r="C83" s="19" t="s">
        <v>157</v>
      </c>
      <c r="D83" s="6">
        <v>45383</v>
      </c>
      <c r="E83" s="7">
        <v>45383.584722222222</v>
      </c>
      <c r="F83" t="s">
        <v>121</v>
      </c>
      <c r="J83" s="11"/>
      <c r="K83" s="11">
        <v>-8.65</v>
      </c>
      <c r="L83" s="4">
        <f t="shared" si="5"/>
        <v>-8.65</v>
      </c>
      <c r="N83" t="s">
        <v>36</v>
      </c>
      <c r="O83" t="s">
        <v>33</v>
      </c>
      <c r="Q83" s="5" t="e">
        <f t="shared" si="6"/>
        <v>#REF!</v>
      </c>
      <c r="R83" t="s">
        <v>61</v>
      </c>
      <c r="T83" t="s">
        <v>121</v>
      </c>
      <c r="U83" t="e">
        <f>VLOOKUP(A83,#REF!,6,FALSE)</f>
        <v>#REF!</v>
      </c>
    </row>
    <row r="84" spans="1:21" x14ac:dyDescent="0.25">
      <c r="A84">
        <v>750</v>
      </c>
      <c r="B84" s="9" t="s">
        <v>58</v>
      </c>
      <c r="C84" s="19" t="s">
        <v>157</v>
      </c>
      <c r="D84" s="6">
        <v>45384</v>
      </c>
      <c r="E84" s="7">
        <v>45384.048611111109</v>
      </c>
      <c r="F84" t="s">
        <v>18</v>
      </c>
      <c r="J84" s="11"/>
      <c r="K84" s="11">
        <v>-7.25</v>
      </c>
      <c r="L84" s="4">
        <f t="shared" si="5"/>
        <v>-7.25</v>
      </c>
      <c r="M84" t="s">
        <v>9</v>
      </c>
      <c r="N84" t="s">
        <v>36</v>
      </c>
      <c r="O84" t="s">
        <v>33</v>
      </c>
      <c r="Q84" s="5" t="e">
        <f t="shared" si="6"/>
        <v>#REF!</v>
      </c>
      <c r="R84" t="s">
        <v>9</v>
      </c>
      <c r="T84" t="s">
        <v>18</v>
      </c>
      <c r="U84" t="e">
        <f>VLOOKUP(A84,#REF!,6,FALSE)</f>
        <v>#REF!</v>
      </c>
    </row>
    <row r="85" spans="1:21" x14ac:dyDescent="0.25">
      <c r="A85">
        <v>751</v>
      </c>
      <c r="B85" s="9" t="s">
        <v>58</v>
      </c>
      <c r="C85" s="19" t="s">
        <v>157</v>
      </c>
      <c r="D85" s="6">
        <v>45384</v>
      </c>
      <c r="E85" s="7">
        <v>45384.083333333336</v>
      </c>
      <c r="F85" t="s">
        <v>122</v>
      </c>
      <c r="J85" s="11">
        <v>745</v>
      </c>
      <c r="K85" s="11"/>
      <c r="L85" s="4">
        <f t="shared" si="5"/>
        <v>745</v>
      </c>
      <c r="M85" t="s">
        <v>7</v>
      </c>
      <c r="N85" t="s">
        <v>37</v>
      </c>
      <c r="O85" t="s">
        <v>33</v>
      </c>
      <c r="Q85" s="5" t="e">
        <f t="shared" si="6"/>
        <v>#REF!</v>
      </c>
      <c r="R85" t="s">
        <v>7</v>
      </c>
      <c r="S85" t="s">
        <v>123</v>
      </c>
      <c r="U85" t="e">
        <f>VLOOKUP(A85,#REF!,6,FALSE)</f>
        <v>#REF!</v>
      </c>
    </row>
    <row r="86" spans="1:21" x14ac:dyDescent="0.25">
      <c r="A86">
        <v>752</v>
      </c>
      <c r="B86" s="9" t="s">
        <v>58</v>
      </c>
      <c r="C86" s="19" t="s">
        <v>157</v>
      </c>
      <c r="D86" s="6">
        <v>45384</v>
      </c>
      <c r="E86" s="7">
        <v>45384.086111111108</v>
      </c>
      <c r="F86" t="s">
        <v>124</v>
      </c>
      <c r="J86" s="11">
        <v>375</v>
      </c>
      <c r="K86" s="11"/>
      <c r="L86" s="4">
        <f t="shared" si="5"/>
        <v>375</v>
      </c>
      <c r="M86" t="s">
        <v>7</v>
      </c>
      <c r="N86" t="s">
        <v>37</v>
      </c>
      <c r="O86" t="s">
        <v>33</v>
      </c>
      <c r="Q86" s="5" t="e">
        <f t="shared" si="6"/>
        <v>#REF!</v>
      </c>
      <c r="R86" t="s">
        <v>7</v>
      </c>
      <c r="S86">
        <v>1951825</v>
      </c>
      <c r="U86" t="e">
        <f>VLOOKUP(A86,#REF!,6,FALSE)</f>
        <v>#REF!</v>
      </c>
    </row>
    <row r="87" spans="1:21" x14ac:dyDescent="0.25">
      <c r="A87">
        <v>753</v>
      </c>
      <c r="B87" s="9" t="s">
        <v>58</v>
      </c>
      <c r="C87" s="19" t="s">
        <v>157</v>
      </c>
      <c r="D87" s="6">
        <v>45384</v>
      </c>
      <c r="E87" s="7">
        <v>45384.243750000001</v>
      </c>
      <c r="F87" t="s">
        <v>75</v>
      </c>
      <c r="J87" s="11"/>
      <c r="K87" s="11">
        <v>-500</v>
      </c>
      <c r="L87" s="4">
        <f t="shared" si="5"/>
        <v>-500</v>
      </c>
      <c r="N87" t="s">
        <v>32</v>
      </c>
      <c r="O87" t="s">
        <v>33</v>
      </c>
      <c r="Q87" s="5" t="e">
        <f t="shared" si="6"/>
        <v>#REF!</v>
      </c>
      <c r="R87" t="s">
        <v>6</v>
      </c>
      <c r="S87" t="s">
        <v>55</v>
      </c>
      <c r="T87" t="s">
        <v>31</v>
      </c>
      <c r="U87" t="e">
        <f>VLOOKUP(A87,#REF!,6,FALSE)</f>
        <v>#REF!</v>
      </c>
    </row>
    <row r="88" spans="1:21" x14ac:dyDescent="0.25">
      <c r="A88">
        <v>754</v>
      </c>
      <c r="B88" s="9" t="s">
        <v>58</v>
      </c>
      <c r="C88" s="19" t="s">
        <v>157</v>
      </c>
      <c r="D88" s="6">
        <v>45384</v>
      </c>
      <c r="E88" s="7">
        <v>45384.365972222222</v>
      </c>
      <c r="F88" t="s">
        <v>97</v>
      </c>
      <c r="J88" s="11"/>
      <c r="K88" s="11">
        <v>-4.6500000000000004</v>
      </c>
      <c r="L88" s="4">
        <f t="shared" si="5"/>
        <v>-4.6500000000000004</v>
      </c>
      <c r="N88" t="s">
        <v>36</v>
      </c>
      <c r="O88" t="s">
        <v>33</v>
      </c>
      <c r="Q88" s="5" t="e">
        <f t="shared" si="6"/>
        <v>#REF!</v>
      </c>
      <c r="R88" t="s">
        <v>61</v>
      </c>
      <c r="T88" t="s">
        <v>97</v>
      </c>
      <c r="U88" t="e">
        <f>VLOOKUP(A88,#REF!,6,FALSE)</f>
        <v>#REF!</v>
      </c>
    </row>
    <row r="89" spans="1:21" x14ac:dyDescent="0.25">
      <c r="A89">
        <v>755</v>
      </c>
      <c r="B89" s="9" t="s">
        <v>58</v>
      </c>
      <c r="C89" s="19" t="s">
        <v>157</v>
      </c>
      <c r="D89" s="6">
        <v>45384</v>
      </c>
      <c r="E89" s="7">
        <v>45384.411805555559</v>
      </c>
      <c r="F89" t="s">
        <v>73</v>
      </c>
      <c r="J89" s="11"/>
      <c r="K89" s="11">
        <v>-4.5999999999999996</v>
      </c>
      <c r="L89" s="4">
        <f t="shared" si="5"/>
        <v>-4.5999999999999996</v>
      </c>
      <c r="M89" t="s">
        <v>38</v>
      </c>
      <c r="N89" t="s">
        <v>36</v>
      </c>
      <c r="O89" t="s">
        <v>33</v>
      </c>
      <c r="Q89" s="5" t="e">
        <f t="shared" si="6"/>
        <v>#REF!</v>
      </c>
      <c r="R89" t="s">
        <v>61</v>
      </c>
      <c r="T89" t="s">
        <v>73</v>
      </c>
      <c r="U89" t="e">
        <f>VLOOKUP(A89,#REF!,6,FALSE)</f>
        <v>#REF!</v>
      </c>
    </row>
    <row r="90" spans="1:21" x14ac:dyDescent="0.25">
      <c r="A90">
        <v>756</v>
      </c>
      <c r="B90" s="9" t="s">
        <v>58</v>
      </c>
      <c r="C90" s="19" t="s">
        <v>157</v>
      </c>
      <c r="D90" s="6">
        <v>45384</v>
      </c>
      <c r="E90" s="7">
        <v>45384.813194444447</v>
      </c>
      <c r="F90" t="s">
        <v>125</v>
      </c>
      <c r="J90" s="11"/>
      <c r="K90" s="11">
        <v>-2.54</v>
      </c>
      <c r="L90" s="4">
        <f t="shared" si="5"/>
        <v>-2.54</v>
      </c>
      <c r="N90" t="s">
        <v>36</v>
      </c>
      <c r="O90" t="s">
        <v>33</v>
      </c>
      <c r="Q90" s="5" t="e">
        <f t="shared" si="6"/>
        <v>#REF!</v>
      </c>
      <c r="R90" t="s">
        <v>61</v>
      </c>
      <c r="T90" t="s">
        <v>125</v>
      </c>
      <c r="U90" t="e">
        <f>VLOOKUP(A90,#REF!,6,FALSE)</f>
        <v>#REF!</v>
      </c>
    </row>
    <row r="91" spans="1:21" x14ac:dyDescent="0.25">
      <c r="A91">
        <v>757</v>
      </c>
      <c r="B91" s="9" t="s">
        <v>58</v>
      </c>
      <c r="C91" s="19" t="s">
        <v>157</v>
      </c>
      <c r="D91" s="6">
        <v>45385</v>
      </c>
      <c r="E91" s="7">
        <v>45385.359027777777</v>
      </c>
      <c r="F91" t="s">
        <v>114</v>
      </c>
      <c r="J91" s="11"/>
      <c r="K91" s="11">
        <v>-4.9800000000000004</v>
      </c>
      <c r="L91" s="4">
        <f t="shared" si="5"/>
        <v>-4.9800000000000004</v>
      </c>
      <c r="N91" t="s">
        <v>36</v>
      </c>
      <c r="O91" t="s">
        <v>33</v>
      </c>
      <c r="Q91" s="5" t="e">
        <f t="shared" si="6"/>
        <v>#REF!</v>
      </c>
      <c r="R91" t="s">
        <v>61</v>
      </c>
      <c r="T91" t="s">
        <v>114</v>
      </c>
      <c r="U91" t="e">
        <f>VLOOKUP(A91,#REF!,6,FALSE)</f>
        <v>#REF!</v>
      </c>
    </row>
    <row r="92" spans="1:21" x14ac:dyDescent="0.25">
      <c r="A92">
        <v>758</v>
      </c>
      <c r="B92" s="9" t="s">
        <v>58</v>
      </c>
      <c r="C92" s="19" t="s">
        <v>157</v>
      </c>
      <c r="D92" s="6">
        <v>45385</v>
      </c>
      <c r="E92" s="7">
        <v>45385.379861111112</v>
      </c>
      <c r="F92" t="s">
        <v>69</v>
      </c>
      <c r="J92" s="11"/>
      <c r="K92" s="11">
        <v>-7.96</v>
      </c>
      <c r="L92" s="4">
        <f t="shared" si="5"/>
        <v>-7.96</v>
      </c>
      <c r="M92" t="s">
        <v>9</v>
      </c>
      <c r="N92" t="s">
        <v>36</v>
      </c>
      <c r="O92" t="s">
        <v>33</v>
      </c>
      <c r="Q92" s="5" t="e">
        <f t="shared" si="6"/>
        <v>#REF!</v>
      </c>
      <c r="R92" t="s">
        <v>9</v>
      </c>
      <c r="T92" t="s">
        <v>69</v>
      </c>
      <c r="U92" t="e">
        <f>VLOOKUP(A92,#REF!,6,FALSE)</f>
        <v>#REF!</v>
      </c>
    </row>
    <row r="93" spans="1:21" x14ac:dyDescent="0.25">
      <c r="A93">
        <v>759</v>
      </c>
      <c r="B93" s="9" t="s">
        <v>58</v>
      </c>
      <c r="C93" s="19" t="s">
        <v>157</v>
      </c>
      <c r="D93" s="6">
        <v>45385</v>
      </c>
      <c r="E93" s="7">
        <v>45385.387499999997</v>
      </c>
      <c r="F93" t="s">
        <v>73</v>
      </c>
      <c r="J93" s="11"/>
      <c r="K93" s="11">
        <v>-4.8</v>
      </c>
      <c r="L93" s="4">
        <f t="shared" si="5"/>
        <v>-4.8</v>
      </c>
      <c r="M93" t="s">
        <v>38</v>
      </c>
      <c r="N93" t="s">
        <v>36</v>
      </c>
      <c r="O93" t="s">
        <v>33</v>
      </c>
      <c r="Q93" s="5" t="e">
        <f t="shared" si="6"/>
        <v>#REF!</v>
      </c>
      <c r="R93" t="s">
        <v>61</v>
      </c>
      <c r="T93" t="s">
        <v>73</v>
      </c>
      <c r="U93" t="e">
        <f>VLOOKUP(A93,#REF!,6,FALSE)</f>
        <v>#REF!</v>
      </c>
    </row>
    <row r="94" spans="1:21" x14ac:dyDescent="0.25">
      <c r="A94">
        <v>760</v>
      </c>
      <c r="B94" s="9" t="s">
        <v>58</v>
      </c>
      <c r="C94" s="19" t="s">
        <v>157</v>
      </c>
      <c r="D94" s="6">
        <v>45385</v>
      </c>
      <c r="E94" s="7">
        <v>45385.552083333336</v>
      </c>
      <c r="F94" t="s">
        <v>18</v>
      </c>
      <c r="J94" s="11"/>
      <c r="K94" s="11">
        <v>-7.5</v>
      </c>
      <c r="L94" s="4">
        <f t="shared" si="5"/>
        <v>-7.5</v>
      </c>
      <c r="M94" t="s">
        <v>9</v>
      </c>
      <c r="N94" t="s">
        <v>36</v>
      </c>
      <c r="O94" t="s">
        <v>33</v>
      </c>
      <c r="Q94" s="5" t="e">
        <f t="shared" si="6"/>
        <v>#REF!</v>
      </c>
      <c r="R94" t="s">
        <v>9</v>
      </c>
      <c r="T94" t="s">
        <v>18</v>
      </c>
      <c r="U94" t="e">
        <f>VLOOKUP(A94,#REF!,6,FALSE)</f>
        <v>#REF!</v>
      </c>
    </row>
    <row r="95" spans="1:21" x14ac:dyDescent="0.25">
      <c r="A95">
        <v>761</v>
      </c>
      <c r="B95" s="9" t="s">
        <v>58</v>
      </c>
      <c r="C95" s="19" t="s">
        <v>157</v>
      </c>
      <c r="D95" s="6">
        <v>45386</v>
      </c>
      <c r="E95" s="7">
        <v>45386.060416666667</v>
      </c>
      <c r="F95" t="s">
        <v>18</v>
      </c>
      <c r="J95" s="11"/>
      <c r="K95" s="11">
        <v>-7.7</v>
      </c>
      <c r="L95" s="4">
        <f t="shared" si="5"/>
        <v>-7.7</v>
      </c>
      <c r="M95" t="s">
        <v>9</v>
      </c>
      <c r="N95" t="s">
        <v>36</v>
      </c>
      <c r="O95" t="s">
        <v>33</v>
      </c>
      <c r="Q95" s="5" t="e">
        <f t="shared" si="6"/>
        <v>#REF!</v>
      </c>
      <c r="R95" t="s">
        <v>9</v>
      </c>
      <c r="T95" t="s">
        <v>18</v>
      </c>
      <c r="U95" t="e">
        <f>VLOOKUP(A95,#REF!,6,FALSE)</f>
        <v>#REF!</v>
      </c>
    </row>
    <row r="96" spans="1:21" x14ac:dyDescent="0.25">
      <c r="A96">
        <v>762</v>
      </c>
      <c r="B96" s="9" t="s">
        <v>58</v>
      </c>
      <c r="C96" s="19" t="s">
        <v>157</v>
      </c>
      <c r="D96" s="6">
        <v>45386</v>
      </c>
      <c r="E96" s="7">
        <v>45386.322916666664</v>
      </c>
      <c r="F96" t="s">
        <v>126</v>
      </c>
      <c r="J96" s="11"/>
      <c r="K96" s="11">
        <v>-3.85</v>
      </c>
      <c r="L96" s="4">
        <f t="shared" si="5"/>
        <v>-3.85</v>
      </c>
      <c r="M96" t="s">
        <v>38</v>
      </c>
      <c r="N96" t="s">
        <v>36</v>
      </c>
      <c r="O96" t="s">
        <v>33</v>
      </c>
      <c r="Q96" s="5" t="e">
        <f t="shared" si="6"/>
        <v>#REF!</v>
      </c>
      <c r="R96" t="s">
        <v>61</v>
      </c>
      <c r="T96" t="s">
        <v>126</v>
      </c>
      <c r="U96" t="e">
        <f>VLOOKUP(A96,#REF!,6,FALSE)</f>
        <v>#REF!</v>
      </c>
    </row>
    <row r="97" spans="1:21" x14ac:dyDescent="0.25">
      <c r="A97">
        <v>763</v>
      </c>
      <c r="B97" s="9" t="s">
        <v>58</v>
      </c>
      <c r="C97" s="19" t="s">
        <v>157</v>
      </c>
      <c r="D97" s="6">
        <v>45386</v>
      </c>
      <c r="E97" s="7">
        <v>45386.376388888886</v>
      </c>
      <c r="F97" t="s">
        <v>87</v>
      </c>
      <c r="J97" s="11"/>
      <c r="K97" s="11">
        <v>-5.45</v>
      </c>
      <c r="L97" s="4">
        <f t="shared" si="5"/>
        <v>-5.45</v>
      </c>
      <c r="N97" t="s">
        <v>36</v>
      </c>
      <c r="O97" t="s">
        <v>33</v>
      </c>
      <c r="Q97" s="5" t="e">
        <f t="shared" si="6"/>
        <v>#REF!</v>
      </c>
      <c r="R97" t="s">
        <v>61</v>
      </c>
      <c r="T97" t="s">
        <v>87</v>
      </c>
      <c r="U97" t="e">
        <f>VLOOKUP(A97,#REF!,6,FALSE)</f>
        <v>#REF!</v>
      </c>
    </row>
    <row r="98" spans="1:21" x14ac:dyDescent="0.25">
      <c r="A98">
        <v>764</v>
      </c>
      <c r="B98" s="9" t="s">
        <v>58</v>
      </c>
      <c r="C98" s="19" t="s">
        <v>157</v>
      </c>
      <c r="D98" s="6">
        <v>45386</v>
      </c>
      <c r="E98" s="7">
        <v>45386.769444444442</v>
      </c>
      <c r="F98" t="s">
        <v>19</v>
      </c>
      <c r="J98" s="11"/>
      <c r="K98" s="11">
        <v>-44.09</v>
      </c>
      <c r="L98" s="4">
        <f t="shared" si="5"/>
        <v>-44.09</v>
      </c>
      <c r="M98" t="s">
        <v>43</v>
      </c>
      <c r="N98" t="s">
        <v>36</v>
      </c>
      <c r="O98" t="s">
        <v>33</v>
      </c>
      <c r="Q98" s="5" t="e">
        <f t="shared" si="6"/>
        <v>#REF!</v>
      </c>
      <c r="R98" t="s">
        <v>12</v>
      </c>
      <c r="T98" t="s">
        <v>19</v>
      </c>
      <c r="U98" t="e">
        <f>VLOOKUP(A98,#REF!,6,FALSE)</f>
        <v>#REF!</v>
      </c>
    </row>
    <row r="99" spans="1:21" x14ac:dyDescent="0.25">
      <c r="A99">
        <v>765</v>
      </c>
      <c r="B99" s="9" t="s">
        <v>58</v>
      </c>
      <c r="C99" s="19" t="s">
        <v>157</v>
      </c>
      <c r="D99" s="6">
        <v>45387</v>
      </c>
      <c r="E99" s="7">
        <v>45387.088194444441</v>
      </c>
      <c r="F99" t="s">
        <v>127</v>
      </c>
      <c r="J99" s="11">
        <v>750</v>
      </c>
      <c r="K99" s="11"/>
      <c r="L99" s="4">
        <f t="shared" si="5"/>
        <v>750</v>
      </c>
      <c r="M99" t="s">
        <v>7</v>
      </c>
      <c r="N99" t="s">
        <v>37</v>
      </c>
      <c r="O99" t="s">
        <v>33</v>
      </c>
      <c r="Q99" s="5" t="e">
        <f t="shared" si="6"/>
        <v>#REF!</v>
      </c>
      <c r="R99" t="s">
        <v>7</v>
      </c>
      <c r="S99">
        <v>1952251</v>
      </c>
      <c r="U99" t="e">
        <f>VLOOKUP(A99,#REF!,6,FALSE)</f>
        <v>#REF!</v>
      </c>
    </row>
    <row r="100" spans="1:21" x14ac:dyDescent="0.25">
      <c r="A100">
        <v>766</v>
      </c>
      <c r="B100" s="9" t="s">
        <v>58</v>
      </c>
      <c r="C100" s="19" t="s">
        <v>157</v>
      </c>
      <c r="D100" s="6">
        <v>45387</v>
      </c>
      <c r="E100" s="7">
        <v>45387.584722222222</v>
      </c>
      <c r="F100" t="s">
        <v>18</v>
      </c>
      <c r="J100" s="11"/>
      <c r="K100" s="11">
        <v>-13.4</v>
      </c>
      <c r="L100" s="4">
        <f t="shared" si="5"/>
        <v>-13.4</v>
      </c>
      <c r="M100" t="s">
        <v>9</v>
      </c>
      <c r="N100" t="s">
        <v>36</v>
      </c>
      <c r="O100" t="s">
        <v>33</v>
      </c>
      <c r="Q100" s="5" t="e">
        <f t="shared" si="6"/>
        <v>#REF!</v>
      </c>
      <c r="R100" t="s">
        <v>9</v>
      </c>
      <c r="T100" t="s">
        <v>18</v>
      </c>
      <c r="U100" t="e">
        <f>VLOOKUP(A100,#REF!,6,FALSE)</f>
        <v>#REF!</v>
      </c>
    </row>
    <row r="101" spans="1:21" x14ac:dyDescent="0.25">
      <c r="A101">
        <v>767</v>
      </c>
      <c r="B101" s="9" t="s">
        <v>58</v>
      </c>
      <c r="C101" s="19" t="s">
        <v>157</v>
      </c>
      <c r="D101" s="6">
        <v>45388</v>
      </c>
      <c r="E101" s="7">
        <v>45388.059027777781</v>
      </c>
      <c r="F101" t="s">
        <v>18</v>
      </c>
      <c r="J101" s="11"/>
      <c r="K101" s="11">
        <v>-5.25</v>
      </c>
      <c r="L101" s="4">
        <f t="shared" si="5"/>
        <v>-5.25</v>
      </c>
      <c r="M101" t="s">
        <v>9</v>
      </c>
      <c r="N101" t="s">
        <v>36</v>
      </c>
      <c r="O101" t="s">
        <v>33</v>
      </c>
      <c r="Q101" s="5" t="e">
        <f t="shared" si="6"/>
        <v>#REF!</v>
      </c>
      <c r="R101" t="s">
        <v>9</v>
      </c>
      <c r="T101" t="s">
        <v>18</v>
      </c>
      <c r="U101" t="e">
        <f>VLOOKUP(A101,#REF!,6,FALSE)</f>
        <v>#REF!</v>
      </c>
    </row>
    <row r="102" spans="1:21" x14ac:dyDescent="0.25">
      <c r="A102">
        <v>768</v>
      </c>
      <c r="B102" s="9" t="s">
        <v>58</v>
      </c>
      <c r="C102" s="19" t="s">
        <v>157</v>
      </c>
      <c r="D102" s="6">
        <v>45388</v>
      </c>
      <c r="E102" s="7">
        <v>45388.371527777781</v>
      </c>
      <c r="F102" t="s">
        <v>69</v>
      </c>
      <c r="J102" s="11"/>
      <c r="K102" s="11">
        <v>-8.94</v>
      </c>
      <c r="L102" s="4">
        <f t="shared" si="5"/>
        <v>-8.94</v>
      </c>
      <c r="M102" t="s">
        <v>9</v>
      </c>
      <c r="N102" t="s">
        <v>36</v>
      </c>
      <c r="O102" t="s">
        <v>33</v>
      </c>
      <c r="Q102" s="5" t="e">
        <f t="shared" si="6"/>
        <v>#REF!</v>
      </c>
      <c r="R102" t="s">
        <v>9</v>
      </c>
      <c r="T102" t="s">
        <v>69</v>
      </c>
      <c r="U102" t="e">
        <f>VLOOKUP(A102,#REF!,6,FALSE)</f>
        <v>#REF!</v>
      </c>
    </row>
    <row r="103" spans="1:21" x14ac:dyDescent="0.25">
      <c r="A103">
        <v>769</v>
      </c>
      <c r="B103" s="9" t="s">
        <v>58</v>
      </c>
      <c r="C103" s="19" t="s">
        <v>157</v>
      </c>
      <c r="D103" s="6">
        <v>45388</v>
      </c>
      <c r="E103" s="7">
        <v>45388.533333333333</v>
      </c>
      <c r="F103" t="s">
        <v>128</v>
      </c>
      <c r="J103" s="11"/>
      <c r="K103" s="11">
        <v>-4.5</v>
      </c>
      <c r="L103" s="4">
        <f t="shared" si="5"/>
        <v>-4.5</v>
      </c>
      <c r="N103" t="s">
        <v>36</v>
      </c>
      <c r="O103" t="s">
        <v>33</v>
      </c>
      <c r="Q103" s="5" t="e">
        <f t="shared" si="6"/>
        <v>#REF!</v>
      </c>
      <c r="R103" t="s">
        <v>61</v>
      </c>
      <c r="T103" t="s">
        <v>128</v>
      </c>
      <c r="U103" t="e">
        <f>VLOOKUP(A103,#REF!,6,FALSE)</f>
        <v>#REF!</v>
      </c>
    </row>
    <row r="104" spans="1:21" x14ac:dyDescent="0.25">
      <c r="A104">
        <v>770</v>
      </c>
      <c r="B104" s="9" t="s">
        <v>58</v>
      </c>
      <c r="C104" s="19" t="s">
        <v>157</v>
      </c>
      <c r="D104" s="6">
        <v>45388</v>
      </c>
      <c r="E104" s="7">
        <v>45388.558333333334</v>
      </c>
      <c r="F104" t="s">
        <v>128</v>
      </c>
      <c r="J104" s="11"/>
      <c r="K104" s="11">
        <v>-2.6</v>
      </c>
      <c r="L104" s="4">
        <f t="shared" si="5"/>
        <v>-2.6</v>
      </c>
      <c r="N104" t="s">
        <v>36</v>
      </c>
      <c r="O104" t="s">
        <v>33</v>
      </c>
      <c r="Q104" s="5" t="e">
        <f t="shared" si="6"/>
        <v>#REF!</v>
      </c>
      <c r="R104" t="s">
        <v>61</v>
      </c>
      <c r="T104" t="s">
        <v>128</v>
      </c>
      <c r="U104" t="e">
        <f>VLOOKUP(A104,#REF!,6,FALSE)</f>
        <v>#REF!</v>
      </c>
    </row>
    <row r="105" spans="1:21" x14ac:dyDescent="0.25">
      <c r="A105">
        <v>771</v>
      </c>
      <c r="B105" s="9" t="s">
        <v>58</v>
      </c>
      <c r="C105" s="19" t="s">
        <v>157</v>
      </c>
      <c r="D105" s="6">
        <v>45388</v>
      </c>
      <c r="E105" s="7">
        <v>45388.713194444441</v>
      </c>
      <c r="F105" t="s">
        <v>69</v>
      </c>
      <c r="J105" s="11"/>
      <c r="K105" s="11">
        <v>-10.9</v>
      </c>
      <c r="L105" s="4">
        <f t="shared" si="5"/>
        <v>-10.9</v>
      </c>
      <c r="M105" t="s">
        <v>9</v>
      </c>
      <c r="N105" t="s">
        <v>36</v>
      </c>
      <c r="O105" t="s">
        <v>33</v>
      </c>
      <c r="Q105" s="5" t="e">
        <f t="shared" si="6"/>
        <v>#REF!</v>
      </c>
      <c r="R105" t="s">
        <v>9</v>
      </c>
      <c r="T105" t="s">
        <v>69</v>
      </c>
      <c r="U105" t="e">
        <f>VLOOKUP(A105,#REF!,6,FALSE)</f>
        <v>#REF!</v>
      </c>
    </row>
    <row r="106" spans="1:21" x14ac:dyDescent="0.25">
      <c r="A106">
        <v>772</v>
      </c>
      <c r="B106" s="9" t="s">
        <v>58</v>
      </c>
      <c r="C106" s="19" t="s">
        <v>157</v>
      </c>
      <c r="D106" s="6">
        <v>45388</v>
      </c>
      <c r="E106" s="7">
        <v>45388.718055555553</v>
      </c>
      <c r="F106" t="s">
        <v>68</v>
      </c>
      <c r="J106" s="11"/>
      <c r="K106" s="11">
        <v>-6.3</v>
      </c>
      <c r="L106" s="4">
        <f t="shared" si="5"/>
        <v>-6.3</v>
      </c>
      <c r="M106" t="s">
        <v>9</v>
      </c>
      <c r="N106" t="s">
        <v>36</v>
      </c>
      <c r="O106" t="s">
        <v>33</v>
      </c>
      <c r="Q106" s="5" t="e">
        <f t="shared" si="6"/>
        <v>#REF!</v>
      </c>
      <c r="R106" t="s">
        <v>9</v>
      </c>
      <c r="T106" t="s">
        <v>68</v>
      </c>
      <c r="U106" t="e">
        <f>VLOOKUP(A106,#REF!,6,FALSE)</f>
        <v>#REF!</v>
      </c>
    </row>
    <row r="107" spans="1:21" x14ac:dyDescent="0.25">
      <c r="A107">
        <v>797</v>
      </c>
      <c r="B107" s="9" t="s">
        <v>58</v>
      </c>
      <c r="C107" s="19" t="s">
        <v>157</v>
      </c>
      <c r="D107" s="6">
        <v>45394</v>
      </c>
      <c r="E107" s="7">
        <v>45394.601388888892</v>
      </c>
      <c r="F107" t="s">
        <v>138</v>
      </c>
      <c r="J107" s="11"/>
      <c r="K107" s="11">
        <v>-92.07</v>
      </c>
      <c r="L107" s="4">
        <f t="shared" si="5"/>
        <v>-92.07</v>
      </c>
      <c r="M107" t="s">
        <v>47</v>
      </c>
      <c r="N107" t="s">
        <v>36</v>
      </c>
      <c r="O107" t="s">
        <v>33</v>
      </c>
      <c r="Q107" s="5" t="e">
        <f t="shared" ref="Q107:Q138" si="7">Q106+L107</f>
        <v>#REF!</v>
      </c>
      <c r="R107" t="s">
        <v>465</v>
      </c>
      <c r="T107" t="s">
        <v>138</v>
      </c>
      <c r="U107" t="e">
        <f>VLOOKUP(A107,#REF!,6,FALSE)</f>
        <v>#REF!</v>
      </c>
    </row>
    <row r="108" spans="1:21" x14ac:dyDescent="0.25">
      <c r="A108">
        <v>774</v>
      </c>
      <c r="B108" s="9" t="s">
        <v>58</v>
      </c>
      <c r="C108" s="19" t="s">
        <v>157</v>
      </c>
      <c r="D108" s="6">
        <v>45389</v>
      </c>
      <c r="E108" s="7">
        <v>45389.548611111109</v>
      </c>
      <c r="F108" t="s">
        <v>18</v>
      </c>
      <c r="J108" s="11"/>
      <c r="K108" s="11">
        <v>-2.6</v>
      </c>
      <c r="L108" s="4">
        <f t="shared" si="5"/>
        <v>-2.6</v>
      </c>
      <c r="M108" t="s">
        <v>9</v>
      </c>
      <c r="N108" t="s">
        <v>36</v>
      </c>
      <c r="O108" t="s">
        <v>33</v>
      </c>
      <c r="Q108" s="5" t="e">
        <f t="shared" si="7"/>
        <v>#REF!</v>
      </c>
      <c r="R108" t="s">
        <v>9</v>
      </c>
      <c r="T108" t="s">
        <v>18</v>
      </c>
      <c r="U108" t="e">
        <f>VLOOKUP(A108,#REF!,6,FALSE)</f>
        <v>#REF!</v>
      </c>
    </row>
    <row r="109" spans="1:21" x14ac:dyDescent="0.25">
      <c r="A109">
        <v>775</v>
      </c>
      <c r="B109" s="9" t="s">
        <v>58</v>
      </c>
      <c r="C109" s="19" t="s">
        <v>157</v>
      </c>
      <c r="D109" s="6">
        <v>45390</v>
      </c>
      <c r="E109" s="7">
        <v>45390.359027777777</v>
      </c>
      <c r="F109" t="s">
        <v>130</v>
      </c>
      <c r="J109" s="11"/>
      <c r="K109" s="11">
        <v>-2.2000000000000002</v>
      </c>
      <c r="L109" s="4">
        <f t="shared" si="5"/>
        <v>-2.2000000000000002</v>
      </c>
      <c r="M109" t="s">
        <v>38</v>
      </c>
      <c r="N109" t="s">
        <v>36</v>
      </c>
      <c r="O109" t="s">
        <v>33</v>
      </c>
      <c r="Q109" s="5" t="e">
        <f t="shared" si="7"/>
        <v>#REF!</v>
      </c>
      <c r="R109" t="s">
        <v>61</v>
      </c>
      <c r="T109" t="s">
        <v>130</v>
      </c>
      <c r="U109" t="e">
        <f>VLOOKUP(A109,#REF!,6,FALSE)</f>
        <v>#REF!</v>
      </c>
    </row>
    <row r="110" spans="1:21" x14ac:dyDescent="0.25">
      <c r="A110">
        <v>776</v>
      </c>
      <c r="B110" s="9" t="s">
        <v>58</v>
      </c>
      <c r="C110" s="19" t="s">
        <v>157</v>
      </c>
      <c r="D110" s="6">
        <v>45390</v>
      </c>
      <c r="E110" s="7">
        <v>45390.38958333333</v>
      </c>
      <c r="F110" t="s">
        <v>69</v>
      </c>
      <c r="J110" s="11"/>
      <c r="K110" s="11">
        <v>-7.91</v>
      </c>
      <c r="L110" s="4">
        <f t="shared" si="5"/>
        <v>-7.91</v>
      </c>
      <c r="M110" t="s">
        <v>9</v>
      </c>
      <c r="N110" t="s">
        <v>36</v>
      </c>
      <c r="O110" t="s">
        <v>33</v>
      </c>
      <c r="Q110" s="5" t="e">
        <f t="shared" si="7"/>
        <v>#REF!</v>
      </c>
      <c r="R110" t="s">
        <v>9</v>
      </c>
      <c r="T110" t="s">
        <v>69</v>
      </c>
      <c r="U110" t="e">
        <f>VLOOKUP(A110,#REF!,6,FALSE)</f>
        <v>#REF!</v>
      </c>
    </row>
    <row r="111" spans="1:21" x14ac:dyDescent="0.25">
      <c r="A111">
        <v>777</v>
      </c>
      <c r="B111" s="9" t="s">
        <v>58</v>
      </c>
      <c r="C111" s="19" t="s">
        <v>157</v>
      </c>
      <c r="D111" s="6">
        <v>45390</v>
      </c>
      <c r="E111" s="7">
        <v>45390.401388888888</v>
      </c>
      <c r="F111" t="s">
        <v>73</v>
      </c>
      <c r="J111" s="11"/>
      <c r="K111" s="11">
        <v>-4.5999999999999996</v>
      </c>
      <c r="L111" s="4">
        <f t="shared" si="5"/>
        <v>-4.5999999999999996</v>
      </c>
      <c r="M111" t="s">
        <v>38</v>
      </c>
      <c r="N111" t="s">
        <v>36</v>
      </c>
      <c r="O111" t="s">
        <v>33</v>
      </c>
      <c r="Q111" s="5" t="e">
        <f t="shared" si="7"/>
        <v>#REF!</v>
      </c>
      <c r="R111" t="s">
        <v>61</v>
      </c>
      <c r="T111" t="s">
        <v>73</v>
      </c>
      <c r="U111" t="e">
        <f>VLOOKUP(A111,#REF!,6,FALSE)</f>
        <v>#REF!</v>
      </c>
    </row>
    <row r="112" spans="1:21" x14ac:dyDescent="0.25">
      <c r="A112">
        <v>778</v>
      </c>
      <c r="B112" s="9" t="s">
        <v>58</v>
      </c>
      <c r="C112" s="19" t="s">
        <v>157</v>
      </c>
      <c r="D112" s="6">
        <v>45391</v>
      </c>
      <c r="E112" s="7">
        <v>45391.086111111108</v>
      </c>
      <c r="F112" t="s">
        <v>131</v>
      </c>
      <c r="J112" s="11">
        <v>375</v>
      </c>
      <c r="K112" s="11"/>
      <c r="L112" s="4">
        <f t="shared" si="5"/>
        <v>375</v>
      </c>
      <c r="M112" t="s">
        <v>7</v>
      </c>
      <c r="N112" t="s">
        <v>37</v>
      </c>
      <c r="O112" t="s">
        <v>33</v>
      </c>
      <c r="Q112" s="5" t="e">
        <f t="shared" si="7"/>
        <v>#REF!</v>
      </c>
      <c r="R112" t="s">
        <v>7</v>
      </c>
      <c r="S112">
        <v>1952473</v>
      </c>
      <c r="U112" t="e">
        <f>VLOOKUP(A112,#REF!,6,FALSE)</f>
        <v>#REF!</v>
      </c>
    </row>
    <row r="113" spans="1:21" x14ac:dyDescent="0.25">
      <c r="A113">
        <v>779</v>
      </c>
      <c r="B113" s="9" t="s">
        <v>58</v>
      </c>
      <c r="C113" s="19" t="s">
        <v>157</v>
      </c>
      <c r="D113" s="6">
        <v>45391</v>
      </c>
      <c r="E113" s="7">
        <v>45391.388194444444</v>
      </c>
      <c r="F113" t="s">
        <v>69</v>
      </c>
      <c r="J113" s="11"/>
      <c r="K113" s="11">
        <v>-7.9</v>
      </c>
      <c r="L113" s="4">
        <f t="shared" si="5"/>
        <v>-7.9</v>
      </c>
      <c r="M113" t="s">
        <v>9</v>
      </c>
      <c r="N113" t="s">
        <v>36</v>
      </c>
      <c r="O113" t="s">
        <v>33</v>
      </c>
      <c r="Q113" s="5" t="e">
        <f t="shared" si="7"/>
        <v>#REF!</v>
      </c>
      <c r="R113" t="s">
        <v>9</v>
      </c>
      <c r="T113" t="s">
        <v>69</v>
      </c>
      <c r="U113" t="e">
        <f>VLOOKUP(A113,#REF!,6,FALSE)</f>
        <v>#REF!</v>
      </c>
    </row>
    <row r="114" spans="1:21" x14ac:dyDescent="0.25">
      <c r="A114">
        <v>780</v>
      </c>
      <c r="B114" s="9" t="s">
        <v>58</v>
      </c>
      <c r="C114" s="19" t="s">
        <v>157</v>
      </c>
      <c r="D114" s="6">
        <v>45391</v>
      </c>
      <c r="E114" s="7">
        <v>45391.399305555555</v>
      </c>
      <c r="F114" t="s">
        <v>73</v>
      </c>
      <c r="J114" s="11"/>
      <c r="K114" s="11">
        <v>-6.05</v>
      </c>
      <c r="L114" s="4">
        <f t="shared" si="5"/>
        <v>-6.05</v>
      </c>
      <c r="M114" t="s">
        <v>38</v>
      </c>
      <c r="N114" t="s">
        <v>36</v>
      </c>
      <c r="O114" t="s">
        <v>33</v>
      </c>
      <c r="Q114" s="5" t="e">
        <f t="shared" si="7"/>
        <v>#REF!</v>
      </c>
      <c r="R114" t="s">
        <v>61</v>
      </c>
      <c r="T114" t="s">
        <v>73</v>
      </c>
      <c r="U114" t="e">
        <f>VLOOKUP(A114,#REF!,6,FALSE)</f>
        <v>#REF!</v>
      </c>
    </row>
    <row r="115" spans="1:21" x14ac:dyDescent="0.25">
      <c r="A115">
        <v>781</v>
      </c>
      <c r="B115" s="9" t="s">
        <v>58</v>
      </c>
      <c r="C115" s="19" t="s">
        <v>157</v>
      </c>
      <c r="D115" s="6">
        <v>45391</v>
      </c>
      <c r="E115" s="7">
        <v>45391.491666666669</v>
      </c>
      <c r="F115" t="s">
        <v>18</v>
      </c>
      <c r="J115" s="11"/>
      <c r="K115" s="11">
        <v>-7.7</v>
      </c>
      <c r="L115" s="4">
        <f t="shared" si="5"/>
        <v>-7.7</v>
      </c>
      <c r="M115" t="s">
        <v>9</v>
      </c>
      <c r="N115" t="s">
        <v>36</v>
      </c>
      <c r="O115" t="s">
        <v>33</v>
      </c>
      <c r="Q115" s="5" t="e">
        <f t="shared" si="7"/>
        <v>#REF!</v>
      </c>
      <c r="R115" t="s">
        <v>9</v>
      </c>
      <c r="T115" t="s">
        <v>18</v>
      </c>
      <c r="U115" t="e">
        <f>VLOOKUP(A115,#REF!,6,FALSE)</f>
        <v>#REF!</v>
      </c>
    </row>
    <row r="116" spans="1:21" x14ac:dyDescent="0.25">
      <c r="A116">
        <v>782</v>
      </c>
      <c r="B116" s="9" t="s">
        <v>58</v>
      </c>
      <c r="C116" s="19" t="s">
        <v>157</v>
      </c>
      <c r="D116" s="6">
        <v>45392</v>
      </c>
      <c r="E116" s="7">
        <v>45392.078472222223</v>
      </c>
      <c r="F116" t="s">
        <v>18</v>
      </c>
      <c r="J116" s="11"/>
      <c r="K116" s="11">
        <v>-7.5</v>
      </c>
      <c r="L116" s="4">
        <f t="shared" si="5"/>
        <v>-7.5</v>
      </c>
      <c r="M116" t="s">
        <v>9</v>
      </c>
      <c r="N116" t="s">
        <v>36</v>
      </c>
      <c r="O116" t="s">
        <v>33</v>
      </c>
      <c r="Q116" s="5" t="e">
        <f t="shared" si="7"/>
        <v>#REF!</v>
      </c>
      <c r="R116" t="s">
        <v>9</v>
      </c>
      <c r="T116" t="s">
        <v>18</v>
      </c>
      <c r="U116" t="e">
        <f>VLOOKUP(A116,#REF!,6,FALSE)</f>
        <v>#REF!</v>
      </c>
    </row>
    <row r="117" spans="1:21" x14ac:dyDescent="0.25">
      <c r="A117">
        <v>783</v>
      </c>
      <c r="B117" s="9" t="s">
        <v>58</v>
      </c>
      <c r="C117" s="19" t="s">
        <v>157</v>
      </c>
      <c r="D117" s="6">
        <v>45392</v>
      </c>
      <c r="E117" s="7">
        <v>45392.086805555555</v>
      </c>
      <c r="F117" t="s">
        <v>132</v>
      </c>
      <c r="J117" s="11">
        <v>375</v>
      </c>
      <c r="K117" s="11"/>
      <c r="L117" s="4">
        <f t="shared" si="5"/>
        <v>375</v>
      </c>
      <c r="M117" t="s">
        <v>7</v>
      </c>
      <c r="N117" t="s">
        <v>37</v>
      </c>
      <c r="O117" t="s">
        <v>33</v>
      </c>
      <c r="Q117" s="5" t="e">
        <f t="shared" si="7"/>
        <v>#REF!</v>
      </c>
      <c r="R117" t="s">
        <v>7</v>
      </c>
      <c r="S117">
        <v>1952734</v>
      </c>
      <c r="U117" t="e">
        <f>VLOOKUP(A117,#REF!,6,FALSE)</f>
        <v>#REF!</v>
      </c>
    </row>
    <row r="118" spans="1:21" x14ac:dyDescent="0.25">
      <c r="A118">
        <v>784</v>
      </c>
      <c r="B118" s="9" t="s">
        <v>58</v>
      </c>
      <c r="C118" s="19" t="s">
        <v>157</v>
      </c>
      <c r="D118" s="6">
        <v>45392</v>
      </c>
      <c r="E118" s="7">
        <v>45392.354166666664</v>
      </c>
      <c r="F118" t="s">
        <v>133</v>
      </c>
      <c r="J118" s="11"/>
      <c r="K118" s="11">
        <v>-4.3</v>
      </c>
      <c r="L118" s="4">
        <f t="shared" si="5"/>
        <v>-4.3</v>
      </c>
      <c r="M118" t="s">
        <v>38</v>
      </c>
      <c r="N118" t="s">
        <v>36</v>
      </c>
      <c r="O118" t="s">
        <v>33</v>
      </c>
      <c r="Q118" s="5" t="e">
        <f t="shared" si="7"/>
        <v>#REF!</v>
      </c>
      <c r="R118" t="s">
        <v>61</v>
      </c>
      <c r="T118" t="s">
        <v>133</v>
      </c>
      <c r="U118" t="e">
        <f>VLOOKUP(A118,#REF!,6,FALSE)</f>
        <v>#REF!</v>
      </c>
    </row>
    <row r="119" spans="1:21" x14ac:dyDescent="0.25">
      <c r="A119">
        <v>785</v>
      </c>
      <c r="B119" s="9" t="s">
        <v>58</v>
      </c>
      <c r="C119" s="19" t="s">
        <v>157</v>
      </c>
      <c r="D119" s="6">
        <v>45392</v>
      </c>
      <c r="E119" s="7">
        <v>45392.375694444447</v>
      </c>
      <c r="F119" t="s">
        <v>134</v>
      </c>
      <c r="J119" s="11"/>
      <c r="K119" s="11">
        <v>-6.25</v>
      </c>
      <c r="L119" s="4">
        <f t="shared" si="5"/>
        <v>-6.25</v>
      </c>
      <c r="N119" t="s">
        <v>36</v>
      </c>
      <c r="O119" t="s">
        <v>33</v>
      </c>
      <c r="Q119" s="5" t="e">
        <f t="shared" si="7"/>
        <v>#REF!</v>
      </c>
      <c r="R119" t="s">
        <v>61</v>
      </c>
      <c r="T119" t="s">
        <v>134</v>
      </c>
      <c r="U119" t="e">
        <f>VLOOKUP(A119,#REF!,6,FALSE)</f>
        <v>#REF!</v>
      </c>
    </row>
    <row r="120" spans="1:21" x14ac:dyDescent="0.25">
      <c r="A120">
        <v>786</v>
      </c>
      <c r="B120" s="9" t="s">
        <v>58</v>
      </c>
      <c r="C120" s="19" t="s">
        <v>157</v>
      </c>
      <c r="D120" s="6">
        <v>45393</v>
      </c>
      <c r="E120" s="7">
        <v>45393.347916666666</v>
      </c>
      <c r="F120" t="s">
        <v>78</v>
      </c>
      <c r="J120" s="11"/>
      <c r="K120" s="11">
        <v>-3.05</v>
      </c>
      <c r="L120" s="4">
        <f t="shared" si="5"/>
        <v>-3.05</v>
      </c>
      <c r="N120" t="s">
        <v>36</v>
      </c>
      <c r="O120" t="s">
        <v>33</v>
      </c>
      <c r="P120" t="s">
        <v>48</v>
      </c>
      <c r="Q120" s="5" t="e">
        <f t="shared" si="7"/>
        <v>#REF!</v>
      </c>
      <c r="R120" t="s">
        <v>61</v>
      </c>
      <c r="T120" t="s">
        <v>78</v>
      </c>
      <c r="U120" t="e">
        <f>VLOOKUP(A120,#REF!,6,FALSE)</f>
        <v>#REF!</v>
      </c>
    </row>
    <row r="121" spans="1:21" x14ac:dyDescent="0.25">
      <c r="A121">
        <v>787</v>
      </c>
      <c r="B121" s="9" t="s">
        <v>58</v>
      </c>
      <c r="C121" s="19" t="s">
        <v>157</v>
      </c>
      <c r="D121" s="6">
        <v>45393</v>
      </c>
      <c r="E121" s="7">
        <v>45393.398611111108</v>
      </c>
      <c r="F121" t="s">
        <v>73</v>
      </c>
      <c r="J121" s="11"/>
      <c r="K121" s="11">
        <v>-4.5999999999999996</v>
      </c>
      <c r="L121" s="4">
        <f t="shared" si="5"/>
        <v>-4.5999999999999996</v>
      </c>
      <c r="M121" t="s">
        <v>38</v>
      </c>
      <c r="N121" t="s">
        <v>36</v>
      </c>
      <c r="O121" t="s">
        <v>33</v>
      </c>
      <c r="P121" t="s">
        <v>46</v>
      </c>
      <c r="Q121" s="5" t="e">
        <f t="shared" si="7"/>
        <v>#REF!</v>
      </c>
      <c r="R121" t="s">
        <v>61</v>
      </c>
      <c r="T121" t="s">
        <v>73</v>
      </c>
      <c r="U121" t="e">
        <f>VLOOKUP(A121,#REF!,6,FALSE)</f>
        <v>#REF!</v>
      </c>
    </row>
    <row r="122" spans="1:21" x14ac:dyDescent="0.25">
      <c r="A122">
        <v>788</v>
      </c>
      <c r="B122" s="9" t="s">
        <v>58</v>
      </c>
      <c r="C122" s="19" t="s">
        <v>157</v>
      </c>
      <c r="D122" s="6">
        <v>45393</v>
      </c>
      <c r="E122" s="7">
        <v>45393.401388888888</v>
      </c>
      <c r="F122" t="s">
        <v>101</v>
      </c>
      <c r="J122" s="11"/>
      <c r="K122" s="11">
        <v>-1500</v>
      </c>
      <c r="L122" s="4">
        <f t="shared" si="5"/>
        <v>-1500</v>
      </c>
      <c r="M122" t="s">
        <v>135</v>
      </c>
      <c r="N122" t="s">
        <v>32</v>
      </c>
      <c r="O122" t="s">
        <v>33</v>
      </c>
      <c r="Q122" s="5" t="e">
        <f t="shared" si="7"/>
        <v>#REF!</v>
      </c>
      <c r="R122" t="s">
        <v>6</v>
      </c>
      <c r="S122" t="s">
        <v>102</v>
      </c>
      <c r="T122" t="s">
        <v>31</v>
      </c>
      <c r="U122" t="e">
        <f>VLOOKUP(A122,#REF!,6,FALSE)</f>
        <v>#REF!</v>
      </c>
    </row>
    <row r="123" spans="1:21" x14ac:dyDescent="0.25">
      <c r="A123">
        <v>789</v>
      </c>
      <c r="B123" s="9" t="s">
        <v>58</v>
      </c>
      <c r="C123" s="19" t="s">
        <v>157</v>
      </c>
      <c r="D123" s="6">
        <v>45393</v>
      </c>
      <c r="E123" s="7">
        <v>45393.640277777777</v>
      </c>
      <c r="F123" t="s">
        <v>18</v>
      </c>
      <c r="J123" s="11"/>
      <c r="K123" s="11">
        <v>-13.4</v>
      </c>
      <c r="L123" s="4">
        <f t="shared" si="5"/>
        <v>-13.4</v>
      </c>
      <c r="M123" t="s">
        <v>9</v>
      </c>
      <c r="N123" t="s">
        <v>36</v>
      </c>
      <c r="O123" t="s">
        <v>33</v>
      </c>
      <c r="Q123" s="5" t="e">
        <f t="shared" si="7"/>
        <v>#REF!</v>
      </c>
      <c r="R123" t="s">
        <v>9</v>
      </c>
      <c r="T123" t="s">
        <v>18</v>
      </c>
      <c r="U123" t="e">
        <f>VLOOKUP(A123,#REF!,6,FALSE)</f>
        <v>#REF!</v>
      </c>
    </row>
    <row r="124" spans="1:21" x14ac:dyDescent="0.25">
      <c r="A124">
        <v>790</v>
      </c>
      <c r="B124" s="9" t="s">
        <v>58</v>
      </c>
      <c r="C124" s="19" t="s">
        <v>157</v>
      </c>
      <c r="D124" s="6">
        <v>45394</v>
      </c>
      <c r="E124" s="7">
        <v>45394.0625</v>
      </c>
      <c r="F124" t="s">
        <v>18</v>
      </c>
      <c r="J124" s="11"/>
      <c r="K124" s="11">
        <v>-7.7</v>
      </c>
      <c r="L124" s="4">
        <f t="shared" si="5"/>
        <v>-7.7</v>
      </c>
      <c r="M124" t="s">
        <v>9</v>
      </c>
      <c r="N124" t="s">
        <v>36</v>
      </c>
      <c r="O124" t="s">
        <v>33</v>
      </c>
      <c r="Q124" s="5" t="e">
        <f t="shared" si="7"/>
        <v>#REF!</v>
      </c>
      <c r="R124" t="s">
        <v>9</v>
      </c>
      <c r="T124" t="s">
        <v>18</v>
      </c>
      <c r="U124" t="e">
        <f>VLOOKUP(A124,#REF!,6,FALSE)</f>
        <v>#REF!</v>
      </c>
    </row>
    <row r="125" spans="1:21" x14ac:dyDescent="0.25">
      <c r="A125">
        <v>791</v>
      </c>
      <c r="B125" s="9" t="s">
        <v>58</v>
      </c>
      <c r="C125" s="19" t="s">
        <v>157</v>
      </c>
      <c r="D125" s="6">
        <v>45394</v>
      </c>
      <c r="E125" s="7">
        <v>45394.176388888889</v>
      </c>
      <c r="F125" t="s">
        <v>136</v>
      </c>
      <c r="J125" s="11">
        <v>400</v>
      </c>
      <c r="K125" s="11"/>
      <c r="L125" s="4">
        <f t="shared" si="5"/>
        <v>400</v>
      </c>
      <c r="M125" t="s">
        <v>7</v>
      </c>
      <c r="N125" t="s">
        <v>37</v>
      </c>
      <c r="O125" t="s">
        <v>33</v>
      </c>
      <c r="Q125" s="5" t="e">
        <f t="shared" si="7"/>
        <v>#REF!</v>
      </c>
      <c r="R125" t="s">
        <v>7</v>
      </c>
      <c r="S125">
        <v>1953177</v>
      </c>
      <c r="U125" t="e">
        <f>VLOOKUP(A125,#REF!,6,FALSE)</f>
        <v>#REF!</v>
      </c>
    </row>
    <row r="126" spans="1:21" x14ac:dyDescent="0.25">
      <c r="A126">
        <v>792</v>
      </c>
      <c r="B126" s="9" t="s">
        <v>58</v>
      </c>
      <c r="C126" s="19" t="s">
        <v>157</v>
      </c>
      <c r="D126" s="6">
        <v>45394</v>
      </c>
      <c r="E126" s="7">
        <v>45394.20208333333</v>
      </c>
      <c r="F126" t="s">
        <v>108</v>
      </c>
      <c r="J126" s="11">
        <v>1050</v>
      </c>
      <c r="K126" s="11"/>
      <c r="L126" s="4">
        <f t="shared" si="5"/>
        <v>1050</v>
      </c>
      <c r="M126" t="s">
        <v>135</v>
      </c>
      <c r="N126" t="s">
        <v>37</v>
      </c>
      <c r="O126" t="s">
        <v>33</v>
      </c>
      <c r="Q126" s="5" t="e">
        <f t="shared" si="7"/>
        <v>#REF!</v>
      </c>
      <c r="R126" t="s">
        <v>6</v>
      </c>
      <c r="S126" t="s">
        <v>110</v>
      </c>
      <c r="U126" t="e">
        <f>VLOOKUP(A126,#REF!,6,FALSE)</f>
        <v>#REF!</v>
      </c>
    </row>
    <row r="127" spans="1:21" x14ac:dyDescent="0.25">
      <c r="A127">
        <v>793</v>
      </c>
      <c r="B127" s="9" t="s">
        <v>58</v>
      </c>
      <c r="C127" s="19" t="s">
        <v>157</v>
      </c>
      <c r="D127" s="6">
        <v>45394</v>
      </c>
      <c r="E127" s="7">
        <v>45394.211805555555</v>
      </c>
      <c r="F127" t="s">
        <v>108</v>
      </c>
      <c r="J127" s="11">
        <v>20</v>
      </c>
      <c r="K127" s="11"/>
      <c r="L127" s="4">
        <f t="shared" si="5"/>
        <v>20</v>
      </c>
      <c r="M127" t="s">
        <v>7</v>
      </c>
      <c r="N127" t="s">
        <v>37</v>
      </c>
      <c r="O127" t="s">
        <v>33</v>
      </c>
      <c r="Q127" s="5" t="e">
        <f t="shared" si="7"/>
        <v>#REF!</v>
      </c>
      <c r="R127" t="s">
        <v>6</v>
      </c>
      <c r="S127" t="s">
        <v>110</v>
      </c>
      <c r="U127" t="e">
        <f>VLOOKUP(A127,#REF!,6,FALSE)</f>
        <v>#REF!</v>
      </c>
    </row>
    <row r="128" spans="1:21" x14ac:dyDescent="0.25">
      <c r="A128">
        <v>794</v>
      </c>
      <c r="B128" s="9" t="s">
        <v>58</v>
      </c>
      <c r="C128" s="19" t="s">
        <v>157</v>
      </c>
      <c r="D128" s="6">
        <v>45394</v>
      </c>
      <c r="E128" s="7">
        <v>45394.388194444444</v>
      </c>
      <c r="F128" t="s">
        <v>87</v>
      </c>
      <c r="J128" s="11"/>
      <c r="K128" s="11">
        <v>-1.1499999999999999</v>
      </c>
      <c r="L128" s="4">
        <f t="shared" si="5"/>
        <v>-1.1499999999999999</v>
      </c>
      <c r="N128" t="s">
        <v>36</v>
      </c>
      <c r="O128" t="s">
        <v>33</v>
      </c>
      <c r="Q128" s="5" t="e">
        <f t="shared" si="7"/>
        <v>#REF!</v>
      </c>
      <c r="R128" t="s">
        <v>61</v>
      </c>
      <c r="T128" t="s">
        <v>87</v>
      </c>
      <c r="U128" t="e">
        <f>VLOOKUP(A128,#REF!,6,FALSE)</f>
        <v>#REF!</v>
      </c>
    </row>
    <row r="129" spans="1:21" x14ac:dyDescent="0.25">
      <c r="A129">
        <v>795</v>
      </c>
      <c r="B129" s="9" t="s">
        <v>58</v>
      </c>
      <c r="C129" s="19" t="s">
        <v>157</v>
      </c>
      <c r="D129" s="6">
        <v>45394</v>
      </c>
      <c r="E129" s="7">
        <v>45394.38958333333</v>
      </c>
      <c r="F129" t="s">
        <v>81</v>
      </c>
      <c r="J129" s="11"/>
      <c r="K129" s="11">
        <v>-2.85</v>
      </c>
      <c r="L129" s="4">
        <f t="shared" si="5"/>
        <v>-2.85</v>
      </c>
      <c r="N129" t="s">
        <v>36</v>
      </c>
      <c r="O129" t="s">
        <v>33</v>
      </c>
      <c r="Q129" s="5" t="e">
        <f t="shared" si="7"/>
        <v>#REF!</v>
      </c>
      <c r="R129" t="s">
        <v>61</v>
      </c>
      <c r="T129" t="s">
        <v>81</v>
      </c>
      <c r="U129" t="e">
        <f>VLOOKUP(A129,#REF!,6,FALSE)</f>
        <v>#REF!</v>
      </c>
    </row>
    <row r="130" spans="1:21" x14ac:dyDescent="0.25">
      <c r="A130">
        <v>796</v>
      </c>
      <c r="B130" s="9" t="s">
        <v>58</v>
      </c>
      <c r="C130" s="19" t="s">
        <v>157</v>
      </c>
      <c r="D130" s="6">
        <v>45394</v>
      </c>
      <c r="E130" s="7">
        <v>45394.5625</v>
      </c>
      <c r="F130" t="s">
        <v>137</v>
      </c>
      <c r="J130" s="11"/>
      <c r="K130" s="11">
        <v>-9.4700000000000006</v>
      </c>
      <c r="L130" s="4">
        <f t="shared" si="5"/>
        <v>-9.4700000000000006</v>
      </c>
      <c r="M130" t="s">
        <v>38</v>
      </c>
      <c r="N130" t="s">
        <v>36</v>
      </c>
      <c r="O130" t="s">
        <v>33</v>
      </c>
      <c r="Q130" s="5" t="e">
        <f t="shared" si="7"/>
        <v>#REF!</v>
      </c>
      <c r="R130" t="s">
        <v>61</v>
      </c>
      <c r="T130" t="s">
        <v>137</v>
      </c>
      <c r="U130" t="e">
        <f>VLOOKUP(A130,#REF!,6,FALSE)</f>
        <v>#REF!</v>
      </c>
    </row>
    <row r="131" spans="1:21" x14ac:dyDescent="0.25">
      <c r="A131">
        <v>812</v>
      </c>
      <c r="B131" s="9" t="s">
        <v>58</v>
      </c>
      <c r="C131" s="19" t="s">
        <v>157</v>
      </c>
      <c r="D131" s="6">
        <v>45408</v>
      </c>
      <c r="E131" s="7">
        <v>45408.618750000001</v>
      </c>
      <c r="F131" t="s">
        <v>76</v>
      </c>
      <c r="J131" s="11"/>
      <c r="K131" s="11">
        <v>-17.5</v>
      </c>
      <c r="L131" s="4">
        <f t="shared" si="5"/>
        <v>-17.5</v>
      </c>
      <c r="M131" t="s">
        <v>47</v>
      </c>
      <c r="N131" t="s">
        <v>36</v>
      </c>
      <c r="O131" t="s">
        <v>33</v>
      </c>
      <c r="Q131" s="5" t="e">
        <f t="shared" si="7"/>
        <v>#REF!</v>
      </c>
      <c r="R131" t="s">
        <v>466</v>
      </c>
      <c r="T131" t="s">
        <v>76</v>
      </c>
      <c r="U131" t="e">
        <f>VLOOKUP(A131,#REF!,6,FALSE)</f>
        <v>#REF!</v>
      </c>
    </row>
    <row r="132" spans="1:21" x14ac:dyDescent="0.25">
      <c r="A132">
        <v>798</v>
      </c>
      <c r="B132" s="9" t="s">
        <v>58</v>
      </c>
      <c r="C132" s="19" t="s">
        <v>157</v>
      </c>
      <c r="D132" s="6">
        <v>45395</v>
      </c>
      <c r="E132" s="7">
        <v>45395.379166666666</v>
      </c>
      <c r="F132" t="s">
        <v>139</v>
      </c>
      <c r="J132" s="11"/>
      <c r="K132" s="11">
        <v>-6</v>
      </c>
      <c r="L132" s="4">
        <f t="shared" si="5"/>
        <v>-6</v>
      </c>
      <c r="M132" t="s">
        <v>38</v>
      </c>
      <c r="N132" t="s">
        <v>36</v>
      </c>
      <c r="O132" t="s">
        <v>33</v>
      </c>
      <c r="Q132" s="5" t="e">
        <f t="shared" si="7"/>
        <v>#REF!</v>
      </c>
      <c r="R132" t="s">
        <v>61</v>
      </c>
      <c r="T132" t="s">
        <v>139</v>
      </c>
      <c r="U132" t="e">
        <f>VLOOKUP(A132,#REF!,6,FALSE)</f>
        <v>#REF!</v>
      </c>
    </row>
    <row r="133" spans="1:21" x14ac:dyDescent="0.25">
      <c r="A133">
        <v>799</v>
      </c>
      <c r="B133" s="9" t="s">
        <v>58</v>
      </c>
      <c r="C133" s="19" t="s">
        <v>157</v>
      </c>
      <c r="D133" s="6">
        <v>45395</v>
      </c>
      <c r="E133" s="7">
        <v>45395.699305555558</v>
      </c>
      <c r="F133" t="s">
        <v>18</v>
      </c>
      <c r="J133" s="11"/>
      <c r="K133" s="11">
        <v>-7.25</v>
      </c>
      <c r="L133" s="4">
        <f t="shared" si="5"/>
        <v>-7.25</v>
      </c>
      <c r="M133" t="s">
        <v>9</v>
      </c>
      <c r="N133" t="s">
        <v>36</v>
      </c>
      <c r="O133" t="s">
        <v>33</v>
      </c>
      <c r="Q133" s="5" t="e">
        <f t="shared" si="7"/>
        <v>#REF!</v>
      </c>
      <c r="R133" t="s">
        <v>9</v>
      </c>
      <c r="T133" t="s">
        <v>18</v>
      </c>
      <c r="U133" t="e">
        <f>VLOOKUP(A133,#REF!,6,FALSE)</f>
        <v>#REF!</v>
      </c>
    </row>
    <row r="134" spans="1:21" x14ac:dyDescent="0.25">
      <c r="A134">
        <v>800</v>
      </c>
      <c r="B134" s="9" t="s">
        <v>58</v>
      </c>
      <c r="C134" s="19" t="s">
        <v>157</v>
      </c>
      <c r="D134" s="6">
        <v>45395</v>
      </c>
      <c r="E134" s="7">
        <v>45395.99722222222</v>
      </c>
      <c r="F134" t="s">
        <v>69</v>
      </c>
      <c r="J134" s="11"/>
      <c r="K134" s="11">
        <v>-8.9600000000000009</v>
      </c>
      <c r="L134" s="4">
        <f t="shared" si="5"/>
        <v>-8.9600000000000009</v>
      </c>
      <c r="M134" t="s">
        <v>9</v>
      </c>
      <c r="N134" t="s">
        <v>36</v>
      </c>
      <c r="O134" t="s">
        <v>33</v>
      </c>
      <c r="Q134" s="5" t="e">
        <f t="shared" si="7"/>
        <v>#REF!</v>
      </c>
      <c r="R134" t="s">
        <v>9</v>
      </c>
      <c r="T134" t="s">
        <v>69</v>
      </c>
      <c r="U134" t="e">
        <f>VLOOKUP(A134,#REF!,6,FALSE)</f>
        <v>#REF!</v>
      </c>
    </row>
    <row r="135" spans="1:21" x14ac:dyDescent="0.25">
      <c r="A135">
        <v>801</v>
      </c>
      <c r="B135" s="9" t="s">
        <v>58</v>
      </c>
      <c r="C135" s="19" t="s">
        <v>157</v>
      </c>
      <c r="D135" s="6">
        <v>45396</v>
      </c>
      <c r="E135" s="7">
        <v>45396.068749999999</v>
      </c>
      <c r="F135" t="s">
        <v>18</v>
      </c>
      <c r="J135" s="11"/>
      <c r="K135" s="11">
        <v>-11.25</v>
      </c>
      <c r="L135" s="4">
        <f t="shared" si="5"/>
        <v>-11.25</v>
      </c>
      <c r="M135" t="s">
        <v>9</v>
      </c>
      <c r="N135" t="s">
        <v>36</v>
      </c>
      <c r="O135" t="s">
        <v>33</v>
      </c>
      <c r="Q135" s="5" t="e">
        <f t="shared" si="7"/>
        <v>#REF!</v>
      </c>
      <c r="R135" t="s">
        <v>9</v>
      </c>
      <c r="T135" t="s">
        <v>18</v>
      </c>
      <c r="U135" t="e">
        <f>VLOOKUP(A135,#REF!,6,FALSE)</f>
        <v>#REF!</v>
      </c>
    </row>
    <row r="136" spans="1:21" x14ac:dyDescent="0.25">
      <c r="A136">
        <v>802</v>
      </c>
      <c r="B136" s="9" t="s">
        <v>58</v>
      </c>
      <c r="C136" s="19" t="s">
        <v>157</v>
      </c>
      <c r="D136" s="6">
        <v>45397</v>
      </c>
      <c r="E136" s="7">
        <v>45397.370138888888</v>
      </c>
      <c r="F136" t="s">
        <v>18</v>
      </c>
      <c r="J136" s="11"/>
      <c r="K136" s="11">
        <v>-2.7</v>
      </c>
      <c r="L136" s="4">
        <f t="shared" si="5"/>
        <v>-2.7</v>
      </c>
      <c r="M136" t="s">
        <v>9</v>
      </c>
      <c r="N136" t="s">
        <v>36</v>
      </c>
      <c r="O136" t="s">
        <v>33</v>
      </c>
      <c r="Q136" s="5" t="e">
        <f t="shared" si="7"/>
        <v>#REF!</v>
      </c>
      <c r="R136" t="s">
        <v>9</v>
      </c>
      <c r="T136" t="s">
        <v>18</v>
      </c>
      <c r="U136" t="e">
        <f>VLOOKUP(A136,#REF!,6,FALSE)</f>
        <v>#REF!</v>
      </c>
    </row>
    <row r="137" spans="1:21" x14ac:dyDescent="0.25">
      <c r="A137">
        <v>803</v>
      </c>
      <c r="B137" s="9" t="s">
        <v>58</v>
      </c>
      <c r="C137" s="19" t="s">
        <v>157</v>
      </c>
      <c r="D137" s="6">
        <v>45398</v>
      </c>
      <c r="E137" s="7">
        <v>45398.084722222222</v>
      </c>
      <c r="F137" t="s">
        <v>140</v>
      </c>
      <c r="J137" s="11">
        <v>375</v>
      </c>
      <c r="K137" s="11"/>
      <c r="L137" s="4">
        <f t="shared" si="5"/>
        <v>375</v>
      </c>
      <c r="M137" t="s">
        <v>7</v>
      </c>
      <c r="N137" t="s">
        <v>37</v>
      </c>
      <c r="O137" t="s">
        <v>33</v>
      </c>
      <c r="Q137" s="5" t="e">
        <f t="shared" si="7"/>
        <v>#REF!</v>
      </c>
      <c r="R137" t="s">
        <v>7</v>
      </c>
      <c r="S137">
        <v>1953377</v>
      </c>
      <c r="U137" t="e">
        <f>VLOOKUP(A137,#REF!,6,FALSE)</f>
        <v>#REF!</v>
      </c>
    </row>
    <row r="138" spans="1:21" x14ac:dyDescent="0.25">
      <c r="A138">
        <v>804</v>
      </c>
      <c r="B138" s="9" t="s">
        <v>58</v>
      </c>
      <c r="C138" s="19" t="s">
        <v>157</v>
      </c>
      <c r="D138" s="6">
        <v>45399</v>
      </c>
      <c r="E138" s="7">
        <v>45399.084722222222</v>
      </c>
      <c r="F138" t="s">
        <v>141</v>
      </c>
      <c r="J138" s="11">
        <v>750</v>
      </c>
      <c r="K138" s="11"/>
      <c r="L138" s="4">
        <f t="shared" si="5"/>
        <v>750</v>
      </c>
      <c r="M138" t="s">
        <v>7</v>
      </c>
      <c r="N138" t="s">
        <v>37</v>
      </c>
      <c r="O138" t="s">
        <v>33</v>
      </c>
      <c r="Q138" s="5" t="e">
        <f t="shared" si="7"/>
        <v>#REF!</v>
      </c>
      <c r="R138" t="s">
        <v>7</v>
      </c>
      <c r="S138">
        <v>1953634</v>
      </c>
      <c r="U138" t="e">
        <f>VLOOKUP(A138,#REF!,6,FALSE)</f>
        <v>#REF!</v>
      </c>
    </row>
    <row r="139" spans="1:21" x14ac:dyDescent="0.25">
      <c r="A139">
        <v>805</v>
      </c>
      <c r="B139" s="9" t="s">
        <v>58</v>
      </c>
      <c r="C139" s="19" t="s">
        <v>157</v>
      </c>
      <c r="D139" s="6">
        <v>45399</v>
      </c>
      <c r="E139" s="7">
        <v>45399.62777777778</v>
      </c>
      <c r="F139" t="s">
        <v>142</v>
      </c>
      <c r="J139" s="11"/>
      <c r="K139" s="11">
        <v>-3.2</v>
      </c>
      <c r="L139" s="4">
        <f t="shared" ref="L139:L202" si="8">J139+K139</f>
        <v>-3.2</v>
      </c>
      <c r="N139" t="s">
        <v>17</v>
      </c>
      <c r="O139" t="s">
        <v>33</v>
      </c>
      <c r="Q139" s="5" t="e">
        <f t="shared" ref="Q139:Q146" si="9">Q138+L139</f>
        <v>#REF!</v>
      </c>
      <c r="R139" t="s">
        <v>63</v>
      </c>
      <c r="S139" t="s">
        <v>142</v>
      </c>
      <c r="U139" t="e">
        <f>VLOOKUP(A139,#REF!,6,FALSE)</f>
        <v>#REF!</v>
      </c>
    </row>
    <row r="140" spans="1:21" x14ac:dyDescent="0.25">
      <c r="A140">
        <v>806</v>
      </c>
      <c r="B140" s="9" t="s">
        <v>58</v>
      </c>
      <c r="C140" s="19" t="s">
        <v>157</v>
      </c>
      <c r="D140" s="6">
        <v>45401</v>
      </c>
      <c r="E140" s="7">
        <v>45401.085416666669</v>
      </c>
      <c r="F140" t="s">
        <v>143</v>
      </c>
      <c r="J140" s="11">
        <v>450</v>
      </c>
      <c r="K140" s="11"/>
      <c r="L140" s="4">
        <f t="shared" si="8"/>
        <v>450</v>
      </c>
      <c r="M140" t="s">
        <v>7</v>
      </c>
      <c r="N140" t="s">
        <v>37</v>
      </c>
      <c r="O140" t="s">
        <v>33</v>
      </c>
      <c r="Q140" s="5" t="e">
        <f t="shared" si="9"/>
        <v>#REF!</v>
      </c>
      <c r="R140" t="s">
        <v>7</v>
      </c>
      <c r="S140" t="s">
        <v>144</v>
      </c>
      <c r="U140" t="e">
        <f>VLOOKUP(A140,#REF!,6,FALSE)</f>
        <v>#REF!</v>
      </c>
    </row>
    <row r="141" spans="1:21" x14ac:dyDescent="0.25">
      <c r="A141">
        <v>807</v>
      </c>
      <c r="B141" s="9" t="s">
        <v>58</v>
      </c>
      <c r="C141" s="19" t="s">
        <v>157</v>
      </c>
      <c r="D141" s="6">
        <v>45401</v>
      </c>
      <c r="E141" s="7">
        <v>45401.090277777781</v>
      </c>
      <c r="F141" t="s">
        <v>145</v>
      </c>
      <c r="J141" s="11">
        <v>375</v>
      </c>
      <c r="K141" s="11"/>
      <c r="L141" s="4">
        <f t="shared" si="8"/>
        <v>375</v>
      </c>
      <c r="M141" t="s">
        <v>7</v>
      </c>
      <c r="N141" t="s">
        <v>37</v>
      </c>
      <c r="O141" t="s">
        <v>33</v>
      </c>
      <c r="Q141" s="5" t="e">
        <f t="shared" si="9"/>
        <v>#REF!</v>
      </c>
      <c r="R141" t="s">
        <v>7</v>
      </c>
      <c r="S141">
        <v>1954045</v>
      </c>
      <c r="U141" t="e">
        <f>VLOOKUP(A141,#REF!,6,FALSE)</f>
        <v>#REF!</v>
      </c>
    </row>
    <row r="142" spans="1:21" x14ac:dyDescent="0.25">
      <c r="A142">
        <v>808</v>
      </c>
      <c r="B142" s="9" t="s">
        <v>58</v>
      </c>
      <c r="C142" s="19" t="s">
        <v>157</v>
      </c>
      <c r="D142" s="6">
        <v>45405</v>
      </c>
      <c r="E142" s="7">
        <v>45405.085416666669</v>
      </c>
      <c r="F142" t="s">
        <v>146</v>
      </c>
      <c r="J142" s="11">
        <v>375</v>
      </c>
      <c r="K142" s="11"/>
      <c r="L142" s="4">
        <f t="shared" si="8"/>
        <v>375</v>
      </c>
      <c r="M142" t="s">
        <v>7</v>
      </c>
      <c r="N142" t="s">
        <v>37</v>
      </c>
      <c r="O142" t="s">
        <v>33</v>
      </c>
      <c r="Q142" s="5" t="e">
        <f t="shared" si="9"/>
        <v>#REF!</v>
      </c>
      <c r="R142" t="s">
        <v>7</v>
      </c>
      <c r="S142">
        <v>1954255</v>
      </c>
      <c r="U142" t="e">
        <f>VLOOKUP(A142,#REF!,6,FALSE)</f>
        <v>#REF!</v>
      </c>
    </row>
    <row r="143" spans="1:21" x14ac:dyDescent="0.25">
      <c r="A143">
        <v>809</v>
      </c>
      <c r="B143" s="9" t="s">
        <v>58</v>
      </c>
      <c r="C143" s="19" t="s">
        <v>157</v>
      </c>
      <c r="D143" s="6">
        <v>45406</v>
      </c>
      <c r="E143" s="7">
        <v>45406.086805555555</v>
      </c>
      <c r="F143" t="s">
        <v>147</v>
      </c>
      <c r="J143" s="11">
        <v>750</v>
      </c>
      <c r="K143" s="11"/>
      <c r="L143" s="4">
        <f t="shared" si="8"/>
        <v>750</v>
      </c>
      <c r="M143" t="s">
        <v>7</v>
      </c>
      <c r="N143" t="s">
        <v>37</v>
      </c>
      <c r="O143" t="s">
        <v>33</v>
      </c>
      <c r="Q143" s="5" t="e">
        <f t="shared" si="9"/>
        <v>#REF!</v>
      </c>
      <c r="R143" t="s">
        <v>7</v>
      </c>
      <c r="S143">
        <v>1954528</v>
      </c>
      <c r="U143" t="e">
        <f>VLOOKUP(A143,#REF!,6,FALSE)</f>
        <v>#REF!</v>
      </c>
    </row>
    <row r="144" spans="1:21" x14ac:dyDescent="0.25">
      <c r="A144">
        <v>810</v>
      </c>
      <c r="B144" s="9" t="s">
        <v>58</v>
      </c>
      <c r="C144" s="19" t="s">
        <v>157</v>
      </c>
      <c r="D144" s="6">
        <v>45407</v>
      </c>
      <c r="E144" s="7">
        <v>45407.627083333333</v>
      </c>
      <c r="F144" t="s">
        <v>148</v>
      </c>
      <c r="J144" s="11"/>
      <c r="K144" s="11">
        <v>-2700</v>
      </c>
      <c r="L144" s="4">
        <f t="shared" si="8"/>
        <v>-2700</v>
      </c>
      <c r="N144" t="s">
        <v>32</v>
      </c>
      <c r="O144" t="s">
        <v>33</v>
      </c>
      <c r="Q144" s="5" t="e">
        <f t="shared" si="9"/>
        <v>#REF!</v>
      </c>
      <c r="R144" t="s">
        <v>6</v>
      </c>
      <c r="S144" t="s">
        <v>149</v>
      </c>
      <c r="T144" t="s">
        <v>31</v>
      </c>
      <c r="U144" t="e">
        <f>VLOOKUP(A144,#REF!,6,FALSE)</f>
        <v>#REF!</v>
      </c>
    </row>
    <row r="145" spans="1:21" x14ac:dyDescent="0.25">
      <c r="A145">
        <v>811</v>
      </c>
      <c r="B145" s="9" t="s">
        <v>58</v>
      </c>
      <c r="C145" s="19" t="s">
        <v>157</v>
      </c>
      <c r="D145" s="6">
        <v>45407</v>
      </c>
      <c r="E145" s="7">
        <v>45407.633333333331</v>
      </c>
      <c r="F145" t="s">
        <v>108</v>
      </c>
      <c r="J145" s="11">
        <v>500</v>
      </c>
      <c r="K145" s="11"/>
      <c r="L145" s="4">
        <f t="shared" si="8"/>
        <v>500</v>
      </c>
      <c r="M145" t="s">
        <v>135</v>
      </c>
      <c r="N145" t="s">
        <v>37</v>
      </c>
      <c r="O145" t="s">
        <v>33</v>
      </c>
      <c r="Q145" s="5" t="e">
        <f t="shared" si="9"/>
        <v>#REF!</v>
      </c>
      <c r="R145" t="s">
        <v>6</v>
      </c>
      <c r="S145" t="s">
        <v>110</v>
      </c>
      <c r="U145" t="e">
        <f>VLOOKUP(A145,#REF!,6,FALSE)</f>
        <v>#REF!</v>
      </c>
    </row>
    <row r="146" spans="1:21" x14ac:dyDescent="0.25">
      <c r="A146">
        <v>816</v>
      </c>
      <c r="B146" s="9" t="s">
        <v>58</v>
      </c>
      <c r="C146" s="19" t="s">
        <v>157</v>
      </c>
      <c r="D146" s="6">
        <v>45410</v>
      </c>
      <c r="E146" s="7">
        <v>45410.613888888889</v>
      </c>
      <c r="F146" t="s">
        <v>152</v>
      </c>
      <c r="J146" s="11"/>
      <c r="K146" s="11">
        <v>-8.99</v>
      </c>
      <c r="L146" s="4">
        <f t="shared" si="8"/>
        <v>-8.99</v>
      </c>
      <c r="M146" t="s">
        <v>47</v>
      </c>
      <c r="N146" t="s">
        <v>36</v>
      </c>
      <c r="O146" t="s">
        <v>33</v>
      </c>
      <c r="Q146" s="5" t="e">
        <f t="shared" si="9"/>
        <v>#REF!</v>
      </c>
      <c r="R146" t="s">
        <v>466</v>
      </c>
      <c r="T146" t="s">
        <v>152</v>
      </c>
      <c r="U146" t="e">
        <f>VLOOKUP(A146,#REF!,6,FALSE)</f>
        <v>#REF!</v>
      </c>
    </row>
    <row r="147" spans="1:21" x14ac:dyDescent="0.25">
      <c r="A147">
        <v>859</v>
      </c>
      <c r="B147" s="9" t="s">
        <v>58</v>
      </c>
      <c r="C147" s="19" t="s">
        <v>157</v>
      </c>
      <c r="D147" s="6">
        <v>45425</v>
      </c>
      <c r="E147" s="7">
        <v>45425.688379629632</v>
      </c>
      <c r="F147" t="s">
        <v>182</v>
      </c>
      <c r="I147" t="s">
        <v>182</v>
      </c>
      <c r="J147" s="11"/>
      <c r="K147" s="11">
        <v>-19.989999999999998</v>
      </c>
      <c r="L147" s="4">
        <f t="shared" si="8"/>
        <v>-19.989999999999998</v>
      </c>
      <c r="M147" t="s">
        <v>47</v>
      </c>
      <c r="N147" t="s">
        <v>36</v>
      </c>
      <c r="O147" t="s">
        <v>33</v>
      </c>
      <c r="R147" t="s">
        <v>466</v>
      </c>
      <c r="U147" t="e">
        <f>VLOOKUP(A147,#REF!,6,FALSE)</f>
        <v>#REF!</v>
      </c>
    </row>
    <row r="148" spans="1:21" x14ac:dyDescent="0.25">
      <c r="A148">
        <v>814</v>
      </c>
      <c r="B148" s="9" t="s">
        <v>58</v>
      </c>
      <c r="C148" s="19" t="s">
        <v>157</v>
      </c>
      <c r="D148" s="6">
        <v>45409</v>
      </c>
      <c r="E148" s="7">
        <v>45409.334027777775</v>
      </c>
      <c r="F148" t="s">
        <v>18</v>
      </c>
      <c r="J148" s="11"/>
      <c r="K148" s="11">
        <v>-8.4</v>
      </c>
      <c r="L148" s="4">
        <f t="shared" si="8"/>
        <v>-8.4</v>
      </c>
      <c r="M148" t="s">
        <v>9</v>
      </c>
      <c r="N148" t="s">
        <v>36</v>
      </c>
      <c r="O148" t="s">
        <v>33</v>
      </c>
      <c r="Q148" s="5">
        <f>Q147+L148</f>
        <v>-8.4</v>
      </c>
      <c r="R148" t="s">
        <v>9</v>
      </c>
      <c r="T148" t="s">
        <v>18</v>
      </c>
      <c r="U148" t="e">
        <f>VLOOKUP(A148,#REF!,6,FALSE)</f>
        <v>#REF!</v>
      </c>
    </row>
    <row r="149" spans="1:21" x14ac:dyDescent="0.25">
      <c r="A149">
        <v>815</v>
      </c>
      <c r="B149" s="9" t="s">
        <v>58</v>
      </c>
      <c r="C149" s="19" t="s">
        <v>157</v>
      </c>
      <c r="D149" s="6">
        <v>45409</v>
      </c>
      <c r="E149" s="7">
        <v>45409.546527777777</v>
      </c>
      <c r="F149" t="s">
        <v>151</v>
      </c>
      <c r="J149" s="11"/>
      <c r="K149" s="11">
        <v>-6.55</v>
      </c>
      <c r="L149" s="4">
        <f t="shared" si="8"/>
        <v>-6.55</v>
      </c>
      <c r="N149" t="s">
        <v>36</v>
      </c>
      <c r="O149" t="s">
        <v>33</v>
      </c>
      <c r="Q149" s="5">
        <f>Q148+L149</f>
        <v>-14.95</v>
      </c>
      <c r="R149" t="s">
        <v>61</v>
      </c>
      <c r="T149" t="s">
        <v>151</v>
      </c>
      <c r="U149" t="e">
        <f>VLOOKUP(A149,#REF!,6,FALSE)</f>
        <v>#REF!</v>
      </c>
    </row>
    <row r="150" spans="1:21" x14ac:dyDescent="0.25">
      <c r="A150">
        <v>883</v>
      </c>
      <c r="B150" s="9" t="s">
        <v>58</v>
      </c>
      <c r="C150" s="19" t="s">
        <v>157</v>
      </c>
      <c r="D150" s="6">
        <v>45437</v>
      </c>
      <c r="E150" s="7">
        <v>45437.780578703707</v>
      </c>
      <c r="F150" t="s">
        <v>76</v>
      </c>
      <c r="I150" t="s">
        <v>76</v>
      </c>
      <c r="J150" s="11"/>
      <c r="K150" s="11">
        <v>-45.5</v>
      </c>
      <c r="L150" s="4">
        <f t="shared" si="8"/>
        <v>-45.5</v>
      </c>
      <c r="M150" t="s">
        <v>47</v>
      </c>
      <c r="N150" t="s">
        <v>36</v>
      </c>
      <c r="O150" t="s">
        <v>33</v>
      </c>
      <c r="R150" t="s">
        <v>466</v>
      </c>
      <c r="U150" t="e">
        <f>VLOOKUP(A150,#REF!,6,FALSE)</f>
        <v>#REF!</v>
      </c>
    </row>
    <row r="151" spans="1:21" x14ac:dyDescent="0.25">
      <c r="A151">
        <v>817</v>
      </c>
      <c r="B151" s="9" t="s">
        <v>58</v>
      </c>
      <c r="C151" s="19" t="s">
        <v>157</v>
      </c>
      <c r="D151" s="6">
        <v>45411</v>
      </c>
      <c r="E151" s="7">
        <v>45411.227083333331</v>
      </c>
      <c r="F151" t="s">
        <v>108</v>
      </c>
      <c r="J151" s="11">
        <v>600</v>
      </c>
      <c r="K151" s="11"/>
      <c r="L151" s="4">
        <f t="shared" si="8"/>
        <v>600</v>
      </c>
      <c r="M151" t="s">
        <v>135</v>
      </c>
      <c r="N151" t="s">
        <v>37</v>
      </c>
      <c r="O151" t="s">
        <v>33</v>
      </c>
      <c r="Q151" s="5">
        <f>Q150+L151</f>
        <v>600</v>
      </c>
      <c r="R151" t="s">
        <v>6</v>
      </c>
      <c r="S151" t="s">
        <v>110</v>
      </c>
      <c r="U151" t="e">
        <f>VLOOKUP(A151,#REF!,6,FALSE)</f>
        <v>#REF!</v>
      </c>
    </row>
    <row r="152" spans="1:21" x14ac:dyDescent="0.25">
      <c r="A152">
        <v>818</v>
      </c>
      <c r="B152" s="9" t="s">
        <v>58</v>
      </c>
      <c r="C152" s="19" t="s">
        <v>157</v>
      </c>
      <c r="D152" s="6">
        <v>45412</v>
      </c>
      <c r="E152" s="7">
        <v>45412.350694444445</v>
      </c>
      <c r="F152" t="s">
        <v>153</v>
      </c>
      <c r="J152" s="11"/>
      <c r="K152" s="11">
        <v>-4.55</v>
      </c>
      <c r="L152" s="4">
        <f t="shared" si="8"/>
        <v>-4.55</v>
      </c>
      <c r="M152" t="s">
        <v>38</v>
      </c>
      <c r="N152" t="s">
        <v>36</v>
      </c>
      <c r="O152" t="s">
        <v>33</v>
      </c>
      <c r="P152" t="s">
        <v>46</v>
      </c>
      <c r="Q152" s="5">
        <f>Q151+L152</f>
        <v>595.45000000000005</v>
      </c>
      <c r="R152" t="s">
        <v>61</v>
      </c>
      <c r="T152" t="s">
        <v>153</v>
      </c>
      <c r="U152" t="e">
        <f>VLOOKUP(A152,#REF!,6,FALSE)</f>
        <v>#REF!</v>
      </c>
    </row>
    <row r="153" spans="1:21" x14ac:dyDescent="0.25">
      <c r="A153">
        <v>819</v>
      </c>
      <c r="B153" s="9" t="s">
        <v>58</v>
      </c>
      <c r="C153" s="19" t="s">
        <v>157</v>
      </c>
      <c r="D153" s="6">
        <v>45412</v>
      </c>
      <c r="E153" s="7">
        <v>45412.390277777777</v>
      </c>
      <c r="F153" t="s">
        <v>154</v>
      </c>
      <c r="J153" s="11">
        <v>325</v>
      </c>
      <c r="K153" s="11"/>
      <c r="L153" s="4">
        <f t="shared" si="8"/>
        <v>325</v>
      </c>
      <c r="M153" t="s">
        <v>7</v>
      </c>
      <c r="N153" t="s">
        <v>37</v>
      </c>
      <c r="O153" t="s">
        <v>33</v>
      </c>
      <c r="Q153" s="5">
        <f>Q152+L153</f>
        <v>920.45</v>
      </c>
      <c r="R153" t="s">
        <v>7</v>
      </c>
      <c r="S153" t="s">
        <v>155</v>
      </c>
      <c r="U153" t="e">
        <f>VLOOKUP(A153,#REF!,6,FALSE)</f>
        <v>#REF!</v>
      </c>
    </row>
    <row r="154" spans="1:21" x14ac:dyDescent="0.25">
      <c r="A154">
        <v>912</v>
      </c>
      <c r="B154" s="9" t="s">
        <v>58</v>
      </c>
      <c r="C154" s="19" t="s">
        <v>157</v>
      </c>
      <c r="D154" s="6">
        <v>45453</v>
      </c>
      <c r="E154" s="7">
        <v>45453.780925925923</v>
      </c>
      <c r="F154" t="s">
        <v>76</v>
      </c>
      <c r="I154" t="s">
        <v>76</v>
      </c>
      <c r="J154" s="11"/>
      <c r="K154" s="11">
        <v>-18.5</v>
      </c>
      <c r="L154" s="4">
        <f t="shared" si="8"/>
        <v>-18.5</v>
      </c>
      <c r="M154" t="s">
        <v>47</v>
      </c>
      <c r="N154" t="s">
        <v>36</v>
      </c>
      <c r="O154" t="s">
        <v>33</v>
      </c>
      <c r="R154" t="s">
        <v>466</v>
      </c>
      <c r="U154" t="e">
        <f>VLOOKUP(A154,#REF!,6,FALSE)</f>
        <v>#REF!</v>
      </c>
    </row>
    <row r="155" spans="1:21" x14ac:dyDescent="0.25">
      <c r="A155">
        <v>821</v>
      </c>
      <c r="B155" s="9" t="s">
        <v>58</v>
      </c>
      <c r="C155" s="19" t="s">
        <v>157</v>
      </c>
      <c r="D155" s="6">
        <v>45413</v>
      </c>
      <c r="E155" s="7">
        <v>45413.085057870368</v>
      </c>
      <c r="F155" t="s">
        <v>168</v>
      </c>
      <c r="G155">
        <v>1955841</v>
      </c>
      <c r="H155" t="s">
        <v>52</v>
      </c>
      <c r="J155" s="11">
        <v>400</v>
      </c>
      <c r="K155" s="11"/>
      <c r="L155" s="4">
        <f t="shared" si="8"/>
        <v>400</v>
      </c>
      <c r="M155" t="s">
        <v>7</v>
      </c>
      <c r="N155" t="s">
        <v>37</v>
      </c>
      <c r="O155" t="s">
        <v>33</v>
      </c>
      <c r="R155" t="s">
        <v>7</v>
      </c>
      <c r="U155" t="e">
        <f>VLOOKUP(A155,#REF!,6,FALSE)</f>
        <v>#REF!</v>
      </c>
    </row>
    <row r="156" spans="1:21" x14ac:dyDescent="0.25">
      <c r="A156">
        <v>822</v>
      </c>
      <c r="B156" s="9" t="s">
        <v>58</v>
      </c>
      <c r="C156" s="19" t="s">
        <v>157</v>
      </c>
      <c r="D156" s="6">
        <v>45413</v>
      </c>
      <c r="E156" s="7">
        <v>45413.197905092595</v>
      </c>
      <c r="F156" t="s">
        <v>111</v>
      </c>
      <c r="G156" t="s">
        <v>112</v>
      </c>
      <c r="I156" t="s">
        <v>31</v>
      </c>
      <c r="J156" s="11"/>
      <c r="K156" s="11">
        <v>-250</v>
      </c>
      <c r="L156" s="4">
        <f t="shared" si="8"/>
        <v>-250</v>
      </c>
      <c r="M156" t="s">
        <v>169</v>
      </c>
      <c r="N156" t="s">
        <v>32</v>
      </c>
      <c r="O156" t="s">
        <v>33</v>
      </c>
      <c r="R156" t="s">
        <v>6</v>
      </c>
      <c r="U156" t="e">
        <f>VLOOKUP(A156,#REF!,6,FALSE)</f>
        <v>#REF!</v>
      </c>
    </row>
    <row r="157" spans="1:21" x14ac:dyDescent="0.25">
      <c r="A157">
        <v>823</v>
      </c>
      <c r="B157" s="9" t="s">
        <v>58</v>
      </c>
      <c r="C157" s="19" t="s">
        <v>157</v>
      </c>
      <c r="D157" s="6">
        <v>45413</v>
      </c>
      <c r="E157" s="7">
        <v>45413.349872685183</v>
      </c>
      <c r="F157" t="s">
        <v>170</v>
      </c>
      <c r="I157" t="s">
        <v>170</v>
      </c>
      <c r="J157" s="11"/>
      <c r="K157" s="11">
        <v>-6.65</v>
      </c>
      <c r="L157" s="4">
        <f t="shared" si="8"/>
        <v>-6.65</v>
      </c>
      <c r="M157" t="s">
        <v>38</v>
      </c>
      <c r="N157" t="s">
        <v>36</v>
      </c>
      <c r="O157" t="s">
        <v>33</v>
      </c>
      <c r="R157" t="s">
        <v>61</v>
      </c>
      <c r="U157" t="e">
        <f>VLOOKUP(A157,#REF!,6,FALSE)</f>
        <v>#REF!</v>
      </c>
    </row>
    <row r="158" spans="1:21" x14ac:dyDescent="0.25">
      <c r="A158">
        <v>824</v>
      </c>
      <c r="B158" s="9" t="s">
        <v>58</v>
      </c>
      <c r="C158" s="19" t="s">
        <v>157</v>
      </c>
      <c r="D158" s="6">
        <v>45413</v>
      </c>
      <c r="E158" s="7">
        <v>45413.38559027778</v>
      </c>
      <c r="F158" t="s">
        <v>171</v>
      </c>
      <c r="I158" t="s">
        <v>171</v>
      </c>
      <c r="J158" s="11"/>
      <c r="K158" s="11">
        <v>-4.7</v>
      </c>
      <c r="L158" s="4">
        <f t="shared" si="8"/>
        <v>-4.7</v>
      </c>
      <c r="M158" t="s">
        <v>38</v>
      </c>
      <c r="N158" t="s">
        <v>36</v>
      </c>
      <c r="O158" t="s">
        <v>33</v>
      </c>
      <c r="R158" t="s">
        <v>61</v>
      </c>
      <c r="U158" t="e">
        <f>VLOOKUP(A158,#REF!,6,FALSE)</f>
        <v>#REF!</v>
      </c>
    </row>
    <row r="159" spans="1:21" x14ac:dyDescent="0.25">
      <c r="A159">
        <v>825</v>
      </c>
      <c r="B159" s="9" t="s">
        <v>58</v>
      </c>
      <c r="C159" s="19" t="s">
        <v>157</v>
      </c>
      <c r="D159" s="6">
        <v>45413</v>
      </c>
      <c r="E159" s="7">
        <v>45413.563460648147</v>
      </c>
      <c r="F159" t="s">
        <v>18</v>
      </c>
      <c r="I159" t="s">
        <v>18</v>
      </c>
      <c r="J159" s="11"/>
      <c r="K159" s="11">
        <v>-4.2</v>
      </c>
      <c r="L159" s="4">
        <f t="shared" si="8"/>
        <v>-4.2</v>
      </c>
      <c r="M159" t="s">
        <v>9</v>
      </c>
      <c r="N159" t="s">
        <v>36</v>
      </c>
      <c r="O159" t="s">
        <v>33</v>
      </c>
      <c r="R159" t="s">
        <v>9</v>
      </c>
      <c r="U159" t="e">
        <f>VLOOKUP(A159,#REF!,6,FALSE)</f>
        <v>#REF!</v>
      </c>
    </row>
    <row r="160" spans="1:21" x14ac:dyDescent="0.25">
      <c r="A160">
        <v>826</v>
      </c>
      <c r="B160" s="9" t="s">
        <v>58</v>
      </c>
      <c r="C160" s="19" t="s">
        <v>157</v>
      </c>
      <c r="D160" s="6">
        <v>45414</v>
      </c>
      <c r="E160" s="7">
        <v>45414.062569444446</v>
      </c>
      <c r="F160" t="s">
        <v>18</v>
      </c>
      <c r="I160" t="s">
        <v>18</v>
      </c>
      <c r="J160" s="11"/>
      <c r="K160" s="11">
        <v>-13.4</v>
      </c>
      <c r="L160" s="4">
        <f t="shared" si="8"/>
        <v>-13.4</v>
      </c>
      <c r="M160" t="s">
        <v>9</v>
      </c>
      <c r="N160" t="s">
        <v>36</v>
      </c>
      <c r="O160" t="s">
        <v>33</v>
      </c>
      <c r="R160" t="s">
        <v>9</v>
      </c>
      <c r="U160" t="e">
        <f>VLOOKUP(A160,#REF!,6,FALSE)</f>
        <v>#REF!</v>
      </c>
    </row>
    <row r="161" spans="1:21" x14ac:dyDescent="0.25">
      <c r="A161">
        <v>827</v>
      </c>
      <c r="B161" s="9" t="s">
        <v>58</v>
      </c>
      <c r="C161" s="19" t="s">
        <v>157</v>
      </c>
      <c r="D161" s="6">
        <v>45414</v>
      </c>
      <c r="E161" s="7">
        <v>45414.366909722223</v>
      </c>
      <c r="F161" t="s">
        <v>87</v>
      </c>
      <c r="I161" t="s">
        <v>87</v>
      </c>
      <c r="J161" s="11"/>
      <c r="K161" s="11">
        <v>-5.9</v>
      </c>
      <c r="L161" s="4">
        <f t="shared" si="8"/>
        <v>-5.9</v>
      </c>
      <c r="N161" t="s">
        <v>36</v>
      </c>
      <c r="O161" t="s">
        <v>33</v>
      </c>
      <c r="R161" t="s">
        <v>61</v>
      </c>
      <c r="U161" t="e">
        <f>VLOOKUP(A161,#REF!,6,FALSE)</f>
        <v>#REF!</v>
      </c>
    </row>
    <row r="162" spans="1:21" x14ac:dyDescent="0.25">
      <c r="A162">
        <v>828</v>
      </c>
      <c r="B162" s="9" t="s">
        <v>58</v>
      </c>
      <c r="C162" s="19" t="s">
        <v>157</v>
      </c>
      <c r="D162" s="6">
        <v>45414</v>
      </c>
      <c r="E162" s="7">
        <v>45414.948449074072</v>
      </c>
      <c r="F162" t="s">
        <v>172</v>
      </c>
      <c r="I162" t="s">
        <v>172</v>
      </c>
      <c r="J162" s="11"/>
      <c r="K162" s="11">
        <v>-20.9</v>
      </c>
      <c r="L162" s="4">
        <f t="shared" si="8"/>
        <v>-20.9</v>
      </c>
      <c r="M162" t="s">
        <v>9</v>
      </c>
      <c r="N162" t="s">
        <v>36</v>
      </c>
      <c r="O162" t="s">
        <v>33</v>
      </c>
      <c r="R162" t="s">
        <v>9</v>
      </c>
      <c r="U162" t="e">
        <f>VLOOKUP(A162,#REF!,6,FALSE)</f>
        <v>#REF!</v>
      </c>
    </row>
    <row r="163" spans="1:21" x14ac:dyDescent="0.25">
      <c r="A163">
        <v>829</v>
      </c>
      <c r="B163" s="9" t="s">
        <v>58</v>
      </c>
      <c r="C163" s="19" t="s">
        <v>157</v>
      </c>
      <c r="D163" s="6">
        <v>45415</v>
      </c>
      <c r="E163" s="7">
        <v>45415.063043981485</v>
      </c>
      <c r="F163" t="s">
        <v>18</v>
      </c>
      <c r="I163" t="s">
        <v>18</v>
      </c>
      <c r="J163" s="11"/>
      <c r="K163" s="11">
        <v>-15.6</v>
      </c>
      <c r="L163" s="4">
        <f t="shared" si="8"/>
        <v>-15.6</v>
      </c>
      <c r="M163" t="s">
        <v>9</v>
      </c>
      <c r="N163" t="s">
        <v>36</v>
      </c>
      <c r="O163" t="s">
        <v>33</v>
      </c>
      <c r="R163" t="s">
        <v>9</v>
      </c>
      <c r="U163" t="e">
        <f>VLOOKUP(A163,#REF!,6,FALSE)</f>
        <v>#REF!</v>
      </c>
    </row>
    <row r="164" spans="1:21" x14ac:dyDescent="0.25">
      <c r="A164">
        <v>830</v>
      </c>
      <c r="B164" s="9" t="s">
        <v>58</v>
      </c>
      <c r="C164" s="19" t="s">
        <v>157</v>
      </c>
      <c r="D164" s="6">
        <v>45415</v>
      </c>
      <c r="E164" s="7">
        <v>45415.344085648147</v>
      </c>
      <c r="F164" t="s">
        <v>97</v>
      </c>
      <c r="I164" t="s">
        <v>97</v>
      </c>
      <c r="J164" s="11"/>
      <c r="K164" s="11">
        <v>-8.14</v>
      </c>
      <c r="L164" s="4">
        <f t="shared" si="8"/>
        <v>-8.14</v>
      </c>
      <c r="N164" t="s">
        <v>36</v>
      </c>
      <c r="O164" t="s">
        <v>33</v>
      </c>
      <c r="R164" t="s">
        <v>61</v>
      </c>
      <c r="U164" t="e">
        <f>VLOOKUP(A164,#REF!,6,FALSE)</f>
        <v>#REF!</v>
      </c>
    </row>
    <row r="165" spans="1:21" x14ac:dyDescent="0.25">
      <c r="A165">
        <v>831</v>
      </c>
      <c r="B165" s="9" t="s">
        <v>58</v>
      </c>
      <c r="C165" s="19" t="s">
        <v>157</v>
      </c>
      <c r="D165" s="6">
        <v>45415</v>
      </c>
      <c r="E165" s="7">
        <v>45415.769432870373</v>
      </c>
      <c r="F165" t="s">
        <v>69</v>
      </c>
      <c r="I165" t="s">
        <v>69</v>
      </c>
      <c r="J165" s="11"/>
      <c r="K165" s="11">
        <v>-8.98</v>
      </c>
      <c r="L165" s="4">
        <f t="shared" si="8"/>
        <v>-8.98</v>
      </c>
      <c r="M165" t="s">
        <v>9</v>
      </c>
      <c r="N165" t="s">
        <v>36</v>
      </c>
      <c r="O165" t="s">
        <v>33</v>
      </c>
      <c r="R165" t="s">
        <v>9</v>
      </c>
      <c r="U165" t="e">
        <f>VLOOKUP(A165,#REF!,6,FALSE)</f>
        <v>#REF!</v>
      </c>
    </row>
    <row r="166" spans="1:21" x14ac:dyDescent="0.25">
      <c r="A166">
        <v>832</v>
      </c>
      <c r="B166" s="9" t="s">
        <v>58</v>
      </c>
      <c r="C166" s="19" t="s">
        <v>157</v>
      </c>
      <c r="D166" s="6">
        <v>45416</v>
      </c>
      <c r="E166" s="7">
        <v>45416.347349537034</v>
      </c>
      <c r="F166" t="s">
        <v>173</v>
      </c>
      <c r="I166" t="s">
        <v>173</v>
      </c>
      <c r="J166" s="11"/>
      <c r="K166" s="11">
        <v>-3.15</v>
      </c>
      <c r="L166" s="4">
        <f t="shared" si="8"/>
        <v>-3.15</v>
      </c>
      <c r="N166" t="s">
        <v>36</v>
      </c>
      <c r="O166" t="s">
        <v>33</v>
      </c>
      <c r="R166" t="s">
        <v>61</v>
      </c>
      <c r="U166" t="e">
        <f>VLOOKUP(A166,#REF!,6,FALSE)</f>
        <v>#REF!</v>
      </c>
    </row>
    <row r="167" spans="1:21" x14ac:dyDescent="0.25">
      <c r="A167">
        <v>833</v>
      </c>
      <c r="B167" s="9" t="s">
        <v>58</v>
      </c>
      <c r="C167" s="19" t="s">
        <v>157</v>
      </c>
      <c r="D167" s="6">
        <v>45416</v>
      </c>
      <c r="E167" s="7">
        <v>45416.378310185188</v>
      </c>
      <c r="F167" t="s">
        <v>73</v>
      </c>
      <c r="I167" t="s">
        <v>73</v>
      </c>
      <c r="J167" s="11"/>
      <c r="K167" s="11">
        <v>-2.9</v>
      </c>
      <c r="L167" s="4">
        <f t="shared" si="8"/>
        <v>-2.9</v>
      </c>
      <c r="M167" t="s">
        <v>38</v>
      </c>
      <c r="N167" t="s">
        <v>36</v>
      </c>
      <c r="O167" t="s">
        <v>33</v>
      </c>
      <c r="R167" t="s">
        <v>61</v>
      </c>
      <c r="U167" t="e">
        <f>VLOOKUP(A167,#REF!,6,FALSE)</f>
        <v>#REF!</v>
      </c>
    </row>
    <row r="168" spans="1:21" x14ac:dyDescent="0.25">
      <c r="A168">
        <v>834</v>
      </c>
      <c r="B168" s="9" t="s">
        <v>58</v>
      </c>
      <c r="C168" s="19" t="s">
        <v>157</v>
      </c>
      <c r="D168" s="6">
        <v>45416</v>
      </c>
      <c r="E168" s="7">
        <v>45416.571817129632</v>
      </c>
      <c r="F168" t="s">
        <v>18</v>
      </c>
      <c r="I168" t="s">
        <v>18</v>
      </c>
      <c r="J168" s="11"/>
      <c r="K168" s="11">
        <v>-5.55</v>
      </c>
      <c r="L168" s="4">
        <f t="shared" si="8"/>
        <v>-5.55</v>
      </c>
      <c r="M168" t="s">
        <v>9</v>
      </c>
      <c r="N168" t="s">
        <v>36</v>
      </c>
      <c r="O168" t="s">
        <v>33</v>
      </c>
      <c r="R168" t="s">
        <v>9</v>
      </c>
      <c r="U168" t="e">
        <f>VLOOKUP(A168,#REF!,6,FALSE)</f>
        <v>#REF!</v>
      </c>
    </row>
    <row r="169" spans="1:21" x14ac:dyDescent="0.25">
      <c r="A169">
        <v>835</v>
      </c>
      <c r="B169" s="9" t="s">
        <v>58</v>
      </c>
      <c r="C169" s="19" t="s">
        <v>157</v>
      </c>
      <c r="D169" s="6">
        <v>45417</v>
      </c>
      <c r="E169" s="7">
        <v>45417.058518518519</v>
      </c>
      <c r="F169" t="s">
        <v>18</v>
      </c>
      <c r="I169" t="s">
        <v>18</v>
      </c>
      <c r="J169" s="11"/>
      <c r="K169" s="11">
        <v>-12.25</v>
      </c>
      <c r="L169" s="4">
        <f t="shared" si="8"/>
        <v>-12.25</v>
      </c>
      <c r="M169" t="s">
        <v>9</v>
      </c>
      <c r="N169" t="s">
        <v>36</v>
      </c>
      <c r="O169" t="s">
        <v>33</v>
      </c>
      <c r="R169" t="s">
        <v>9</v>
      </c>
      <c r="U169" t="e">
        <f>VLOOKUP(A169,#REF!,6,FALSE)</f>
        <v>#REF!</v>
      </c>
    </row>
    <row r="170" spans="1:21" x14ac:dyDescent="0.25">
      <c r="A170">
        <v>836</v>
      </c>
      <c r="B170" s="9" t="s">
        <v>58</v>
      </c>
      <c r="C170" s="19" t="s">
        <v>157</v>
      </c>
      <c r="D170" s="6">
        <v>45417</v>
      </c>
      <c r="E170" s="7">
        <v>45417.214606481481</v>
      </c>
      <c r="F170" t="s">
        <v>19</v>
      </c>
      <c r="I170" t="s">
        <v>19</v>
      </c>
      <c r="J170" s="11"/>
      <c r="K170" s="11">
        <v>-37.950000000000003</v>
      </c>
      <c r="L170" s="4">
        <f t="shared" si="8"/>
        <v>-37.950000000000003</v>
      </c>
      <c r="M170" t="s">
        <v>43</v>
      </c>
      <c r="N170" t="s">
        <v>36</v>
      </c>
      <c r="O170" t="s">
        <v>33</v>
      </c>
      <c r="R170" t="s">
        <v>12</v>
      </c>
      <c r="U170" t="e">
        <f>VLOOKUP(A170,#REF!,6,FALSE)</f>
        <v>#REF!</v>
      </c>
    </row>
    <row r="171" spans="1:21" x14ac:dyDescent="0.25">
      <c r="A171">
        <v>837</v>
      </c>
      <c r="B171" s="9" t="s">
        <v>58</v>
      </c>
      <c r="C171" s="19" t="s">
        <v>157</v>
      </c>
      <c r="D171" s="6">
        <v>45417</v>
      </c>
      <c r="E171" s="7">
        <v>45417.386874999997</v>
      </c>
      <c r="F171" t="s">
        <v>174</v>
      </c>
      <c r="I171" t="s">
        <v>174</v>
      </c>
      <c r="J171" s="11"/>
      <c r="K171" s="11">
        <v>-7.8</v>
      </c>
      <c r="L171" s="4">
        <f t="shared" si="8"/>
        <v>-7.8</v>
      </c>
      <c r="M171" t="s">
        <v>38</v>
      </c>
      <c r="N171" t="s">
        <v>36</v>
      </c>
      <c r="O171" t="s">
        <v>33</v>
      </c>
      <c r="P171" t="s">
        <v>48</v>
      </c>
      <c r="R171" t="s">
        <v>61</v>
      </c>
      <c r="U171" t="e">
        <f>VLOOKUP(A171,#REF!,6,FALSE)</f>
        <v>#REF!</v>
      </c>
    </row>
    <row r="172" spans="1:21" x14ac:dyDescent="0.25">
      <c r="A172">
        <v>838</v>
      </c>
      <c r="B172" s="9" t="s">
        <v>58</v>
      </c>
      <c r="C172" s="19" t="s">
        <v>157</v>
      </c>
      <c r="D172" s="6">
        <v>45418</v>
      </c>
      <c r="E172" s="7">
        <v>45418.369189814817</v>
      </c>
      <c r="F172" t="s">
        <v>173</v>
      </c>
      <c r="I172" t="s">
        <v>173</v>
      </c>
      <c r="J172" s="11"/>
      <c r="K172" s="11">
        <v>-4.05</v>
      </c>
      <c r="L172" s="4">
        <f t="shared" si="8"/>
        <v>-4.05</v>
      </c>
      <c r="N172" t="s">
        <v>36</v>
      </c>
      <c r="O172" t="s">
        <v>33</v>
      </c>
      <c r="R172" t="s">
        <v>61</v>
      </c>
      <c r="U172" t="e">
        <f>VLOOKUP(A172,#REF!,6,FALSE)</f>
        <v>#REF!</v>
      </c>
    </row>
    <row r="173" spans="1:21" x14ac:dyDescent="0.25">
      <c r="A173">
        <v>839</v>
      </c>
      <c r="B173" s="9" t="s">
        <v>58</v>
      </c>
      <c r="C173" s="19" t="s">
        <v>157</v>
      </c>
      <c r="D173" s="6">
        <v>45418</v>
      </c>
      <c r="E173" s="7">
        <v>45418.377986111111</v>
      </c>
      <c r="F173" t="s">
        <v>18</v>
      </c>
      <c r="I173" t="s">
        <v>18</v>
      </c>
      <c r="J173" s="11"/>
      <c r="K173" s="11">
        <v>-5.4</v>
      </c>
      <c r="L173" s="4">
        <f t="shared" si="8"/>
        <v>-5.4</v>
      </c>
      <c r="M173" t="s">
        <v>9</v>
      </c>
      <c r="N173" t="s">
        <v>36</v>
      </c>
      <c r="O173" t="s">
        <v>33</v>
      </c>
      <c r="R173" t="s">
        <v>9</v>
      </c>
      <c r="U173" t="e">
        <f>VLOOKUP(A173,#REF!,6,FALSE)</f>
        <v>#REF!</v>
      </c>
    </row>
    <row r="174" spans="1:21" x14ac:dyDescent="0.25">
      <c r="A174">
        <v>840</v>
      </c>
      <c r="B174" s="9" t="s">
        <v>58</v>
      </c>
      <c r="C174" s="19" t="s">
        <v>157</v>
      </c>
      <c r="D174" s="6">
        <v>45418</v>
      </c>
      <c r="E174" s="7">
        <v>45418.835300925923</v>
      </c>
      <c r="F174" t="s">
        <v>101</v>
      </c>
      <c r="G174" t="s">
        <v>102</v>
      </c>
      <c r="I174" t="s">
        <v>31</v>
      </c>
      <c r="J174" s="11"/>
      <c r="K174" s="11">
        <v>-1000</v>
      </c>
      <c r="L174" s="4">
        <f t="shared" si="8"/>
        <v>-1000</v>
      </c>
      <c r="N174" t="s">
        <v>32</v>
      </c>
      <c r="O174" t="s">
        <v>33</v>
      </c>
      <c r="R174" t="s">
        <v>6</v>
      </c>
      <c r="U174" t="e">
        <f>VLOOKUP(A174,#REF!,6,FALSE)</f>
        <v>#REF!</v>
      </c>
    </row>
    <row r="175" spans="1:21" x14ac:dyDescent="0.25">
      <c r="A175">
        <v>841</v>
      </c>
      <c r="B175" s="9" t="s">
        <v>58</v>
      </c>
      <c r="C175" s="19" t="s">
        <v>157</v>
      </c>
      <c r="D175" s="6">
        <v>45418</v>
      </c>
      <c r="E175" s="7">
        <v>45418.889120370368</v>
      </c>
      <c r="F175" t="s">
        <v>101</v>
      </c>
      <c r="G175" t="s">
        <v>102</v>
      </c>
      <c r="I175" t="s">
        <v>31</v>
      </c>
      <c r="J175" s="11"/>
      <c r="K175" s="11">
        <v>-4000</v>
      </c>
      <c r="L175" s="4">
        <f t="shared" si="8"/>
        <v>-4000</v>
      </c>
      <c r="M175" t="s">
        <v>135</v>
      </c>
      <c r="N175" t="s">
        <v>32</v>
      </c>
      <c r="O175" t="s">
        <v>33</v>
      </c>
      <c r="R175" t="s">
        <v>6</v>
      </c>
      <c r="U175" t="e">
        <f>VLOOKUP(A175,#REF!,6,FALSE)</f>
        <v>#REF!</v>
      </c>
    </row>
    <row r="176" spans="1:21" x14ac:dyDescent="0.25">
      <c r="A176">
        <v>842</v>
      </c>
      <c r="B176" s="9" t="s">
        <v>58</v>
      </c>
      <c r="C176" s="19" t="s">
        <v>157</v>
      </c>
      <c r="D176" s="6">
        <v>45419</v>
      </c>
      <c r="E176" s="7">
        <v>45419.054675925923</v>
      </c>
      <c r="F176" t="s">
        <v>18</v>
      </c>
      <c r="I176" t="s">
        <v>18</v>
      </c>
      <c r="J176" s="11"/>
      <c r="K176" s="11">
        <v>-10.5</v>
      </c>
      <c r="L176" s="4">
        <f t="shared" si="8"/>
        <v>-10.5</v>
      </c>
      <c r="M176" t="s">
        <v>9</v>
      </c>
      <c r="N176" t="s">
        <v>36</v>
      </c>
      <c r="O176" t="s">
        <v>33</v>
      </c>
      <c r="R176" t="s">
        <v>9</v>
      </c>
      <c r="U176" t="e">
        <f>VLOOKUP(A176,#REF!,6,FALSE)</f>
        <v>#REF!</v>
      </c>
    </row>
    <row r="177" spans="1:21" x14ac:dyDescent="0.25">
      <c r="A177">
        <v>843</v>
      </c>
      <c r="B177" s="9" t="s">
        <v>58</v>
      </c>
      <c r="C177" s="19" t="s">
        <v>157</v>
      </c>
      <c r="D177" s="6">
        <v>45419</v>
      </c>
      <c r="E177" s="7">
        <v>45419.337685185186</v>
      </c>
      <c r="F177" t="s">
        <v>87</v>
      </c>
      <c r="I177" t="s">
        <v>87</v>
      </c>
      <c r="J177" s="11"/>
      <c r="K177" s="11">
        <v>-4.9000000000000004</v>
      </c>
      <c r="L177" s="4">
        <f t="shared" si="8"/>
        <v>-4.9000000000000004</v>
      </c>
      <c r="N177" t="s">
        <v>36</v>
      </c>
      <c r="O177" t="s">
        <v>33</v>
      </c>
      <c r="R177" t="s">
        <v>61</v>
      </c>
      <c r="U177" t="e">
        <f>VLOOKUP(A177,#REF!,6,FALSE)</f>
        <v>#REF!</v>
      </c>
    </row>
    <row r="178" spans="1:21" x14ac:dyDescent="0.25">
      <c r="A178">
        <v>844</v>
      </c>
      <c r="B178" s="9" t="s">
        <v>58</v>
      </c>
      <c r="C178" s="19" t="s">
        <v>157</v>
      </c>
      <c r="D178" s="6">
        <v>45419</v>
      </c>
      <c r="E178" s="7">
        <v>45419.715092592596</v>
      </c>
      <c r="F178" t="s">
        <v>69</v>
      </c>
      <c r="I178" t="s">
        <v>69</v>
      </c>
      <c r="J178" s="11"/>
      <c r="K178" s="11">
        <v>-11.95</v>
      </c>
      <c r="L178" s="4">
        <f t="shared" si="8"/>
        <v>-11.95</v>
      </c>
      <c r="M178" t="s">
        <v>9</v>
      </c>
      <c r="N178" t="s">
        <v>36</v>
      </c>
      <c r="O178" t="s">
        <v>33</v>
      </c>
      <c r="R178" t="s">
        <v>9</v>
      </c>
      <c r="U178" t="e">
        <f>VLOOKUP(A178,#REF!,6,FALSE)</f>
        <v>#REF!</v>
      </c>
    </row>
    <row r="179" spans="1:21" x14ac:dyDescent="0.25">
      <c r="A179">
        <v>845</v>
      </c>
      <c r="B179" s="9" t="s">
        <v>58</v>
      </c>
      <c r="C179" s="19" t="s">
        <v>157</v>
      </c>
      <c r="D179" s="6">
        <v>45420</v>
      </c>
      <c r="E179" s="7">
        <v>45420.230694444443</v>
      </c>
      <c r="F179" t="s">
        <v>108</v>
      </c>
      <c r="G179" t="s">
        <v>110</v>
      </c>
      <c r="H179" t="s">
        <v>51</v>
      </c>
      <c r="J179" s="11">
        <v>3500</v>
      </c>
      <c r="K179" s="11"/>
      <c r="L179" s="4">
        <f t="shared" si="8"/>
        <v>3500</v>
      </c>
      <c r="M179" t="s">
        <v>135</v>
      </c>
      <c r="N179" t="s">
        <v>37</v>
      </c>
      <c r="O179" t="s">
        <v>33</v>
      </c>
      <c r="R179" t="s">
        <v>6</v>
      </c>
      <c r="U179" t="e">
        <f>VLOOKUP(A179,#REF!,6,FALSE)</f>
        <v>#REF!</v>
      </c>
    </row>
    <row r="180" spans="1:21" x14ac:dyDescent="0.25">
      <c r="A180">
        <v>846</v>
      </c>
      <c r="B180" s="9" t="s">
        <v>58</v>
      </c>
      <c r="C180" s="19" t="s">
        <v>157</v>
      </c>
      <c r="D180" s="6">
        <v>45420</v>
      </c>
      <c r="E180" s="7">
        <v>45420.367627314816</v>
      </c>
      <c r="F180" t="s">
        <v>173</v>
      </c>
      <c r="I180" t="s">
        <v>173</v>
      </c>
      <c r="J180" s="11"/>
      <c r="K180" s="11">
        <v>-3.95</v>
      </c>
      <c r="L180" s="4">
        <f t="shared" si="8"/>
        <v>-3.95</v>
      </c>
      <c r="N180" t="s">
        <v>36</v>
      </c>
      <c r="O180" t="s">
        <v>33</v>
      </c>
      <c r="R180" t="s">
        <v>61</v>
      </c>
      <c r="U180" t="e">
        <f>VLOOKUP(A180,#REF!,6,FALSE)</f>
        <v>#REF!</v>
      </c>
    </row>
    <row r="181" spans="1:21" x14ac:dyDescent="0.25">
      <c r="A181">
        <v>847</v>
      </c>
      <c r="B181" s="9" t="s">
        <v>58</v>
      </c>
      <c r="C181" s="19" t="s">
        <v>157</v>
      </c>
      <c r="D181" s="6">
        <v>45420</v>
      </c>
      <c r="E181" s="7">
        <v>45420.371620370373</v>
      </c>
      <c r="F181" t="s">
        <v>80</v>
      </c>
      <c r="I181" t="s">
        <v>80</v>
      </c>
      <c r="J181" s="11"/>
      <c r="K181" s="11">
        <v>-4.05</v>
      </c>
      <c r="L181" s="4">
        <f t="shared" si="8"/>
        <v>-4.05</v>
      </c>
      <c r="M181" t="s">
        <v>38</v>
      </c>
      <c r="N181" t="s">
        <v>36</v>
      </c>
      <c r="O181" t="s">
        <v>33</v>
      </c>
      <c r="P181" t="s">
        <v>48</v>
      </c>
      <c r="R181" t="s">
        <v>61</v>
      </c>
      <c r="U181" t="e">
        <f>VLOOKUP(A181,#REF!,6,FALSE)</f>
        <v>#REF!</v>
      </c>
    </row>
    <row r="182" spans="1:21" x14ac:dyDescent="0.25">
      <c r="A182">
        <v>848</v>
      </c>
      <c r="B182" s="9" t="s">
        <v>58</v>
      </c>
      <c r="C182" s="19" t="s">
        <v>157</v>
      </c>
      <c r="D182" s="6">
        <v>45420</v>
      </c>
      <c r="E182" s="7">
        <v>45420.562488425923</v>
      </c>
      <c r="F182" t="s">
        <v>18</v>
      </c>
      <c r="I182" t="s">
        <v>18</v>
      </c>
      <c r="J182" s="11"/>
      <c r="K182" s="11">
        <v>-10</v>
      </c>
      <c r="L182" s="4">
        <f t="shared" si="8"/>
        <v>-10</v>
      </c>
      <c r="M182" t="s">
        <v>9</v>
      </c>
      <c r="N182" t="s">
        <v>36</v>
      </c>
      <c r="O182" t="s">
        <v>33</v>
      </c>
      <c r="R182" t="s">
        <v>9</v>
      </c>
      <c r="U182" t="e">
        <f>VLOOKUP(A182,#REF!,6,FALSE)</f>
        <v>#REF!</v>
      </c>
    </row>
    <row r="183" spans="1:21" x14ac:dyDescent="0.25">
      <c r="A183">
        <v>849</v>
      </c>
      <c r="B183" s="9" t="s">
        <v>58</v>
      </c>
      <c r="C183" s="19" t="s">
        <v>157</v>
      </c>
      <c r="D183" s="6">
        <v>45420</v>
      </c>
      <c r="E183" s="7">
        <v>45420.809884259259</v>
      </c>
      <c r="F183" t="s">
        <v>69</v>
      </c>
      <c r="I183" t="s">
        <v>69</v>
      </c>
      <c r="J183" s="11"/>
      <c r="K183" s="11">
        <v>-16.920000000000002</v>
      </c>
      <c r="L183" s="4">
        <f t="shared" si="8"/>
        <v>-16.920000000000002</v>
      </c>
      <c r="M183" t="s">
        <v>9</v>
      </c>
      <c r="N183" t="s">
        <v>36</v>
      </c>
      <c r="O183" t="s">
        <v>33</v>
      </c>
      <c r="R183" t="s">
        <v>9</v>
      </c>
      <c r="U183" t="e">
        <f>VLOOKUP(A183,#REF!,6,FALSE)</f>
        <v>#REF!</v>
      </c>
    </row>
    <row r="184" spans="1:21" x14ac:dyDescent="0.25">
      <c r="A184">
        <v>850</v>
      </c>
      <c r="B184" s="9" t="s">
        <v>58</v>
      </c>
      <c r="C184" s="19" t="s">
        <v>157</v>
      </c>
      <c r="D184" s="6">
        <v>45421</v>
      </c>
      <c r="E184" s="7">
        <v>45421.061689814815</v>
      </c>
      <c r="F184" t="s">
        <v>18</v>
      </c>
      <c r="I184" t="s">
        <v>18</v>
      </c>
      <c r="J184" s="11"/>
      <c r="K184" s="11">
        <v>-9.85</v>
      </c>
      <c r="L184" s="4">
        <f t="shared" si="8"/>
        <v>-9.85</v>
      </c>
      <c r="M184" t="s">
        <v>9</v>
      </c>
      <c r="N184" t="s">
        <v>36</v>
      </c>
      <c r="O184" t="s">
        <v>33</v>
      </c>
      <c r="R184" t="s">
        <v>9</v>
      </c>
      <c r="U184" t="e">
        <f>VLOOKUP(A184,#REF!,6,FALSE)</f>
        <v>#REF!</v>
      </c>
    </row>
    <row r="185" spans="1:21" x14ac:dyDescent="0.25">
      <c r="A185">
        <v>851</v>
      </c>
      <c r="B185" s="9" t="s">
        <v>58</v>
      </c>
      <c r="C185" s="19" t="s">
        <v>157</v>
      </c>
      <c r="D185" s="6">
        <v>45421</v>
      </c>
      <c r="E185" s="7">
        <v>45421.534907407404</v>
      </c>
      <c r="F185" t="s">
        <v>108</v>
      </c>
      <c r="G185" t="s">
        <v>110</v>
      </c>
      <c r="H185" t="s">
        <v>51</v>
      </c>
      <c r="J185" s="11">
        <v>1300</v>
      </c>
      <c r="K185" s="11"/>
      <c r="L185" s="4">
        <f t="shared" si="8"/>
        <v>1300</v>
      </c>
      <c r="M185" t="s">
        <v>7</v>
      </c>
      <c r="N185" t="s">
        <v>37</v>
      </c>
      <c r="O185" t="s">
        <v>33</v>
      </c>
      <c r="R185" t="s">
        <v>6</v>
      </c>
      <c r="U185" t="e">
        <f>VLOOKUP(A185,#REF!,6,FALSE)</f>
        <v>#REF!</v>
      </c>
    </row>
    <row r="186" spans="1:21" x14ac:dyDescent="0.25">
      <c r="A186">
        <v>852</v>
      </c>
      <c r="B186" s="9" t="s">
        <v>58</v>
      </c>
      <c r="C186" s="19" t="s">
        <v>157</v>
      </c>
      <c r="D186" s="6">
        <v>45422</v>
      </c>
      <c r="E186" s="7">
        <v>45422.08693287037</v>
      </c>
      <c r="F186" t="s">
        <v>175</v>
      </c>
      <c r="G186" t="s">
        <v>176</v>
      </c>
      <c r="H186" t="s">
        <v>41</v>
      </c>
      <c r="J186" s="11">
        <v>375</v>
      </c>
      <c r="K186" s="11"/>
      <c r="L186" s="4">
        <f t="shared" si="8"/>
        <v>375</v>
      </c>
      <c r="M186" t="s">
        <v>7</v>
      </c>
      <c r="N186" t="s">
        <v>37</v>
      </c>
      <c r="O186" t="s">
        <v>33</v>
      </c>
      <c r="R186" t="s">
        <v>7</v>
      </c>
      <c r="U186" t="e">
        <f>VLOOKUP(A186,#REF!,6,FALSE)</f>
        <v>#REF!</v>
      </c>
    </row>
    <row r="187" spans="1:21" x14ac:dyDescent="0.25">
      <c r="A187">
        <v>853</v>
      </c>
      <c r="B187" s="9" t="s">
        <v>58</v>
      </c>
      <c r="C187" s="19" t="s">
        <v>157</v>
      </c>
      <c r="D187" s="6">
        <v>45422</v>
      </c>
      <c r="E187" s="7">
        <v>45422.08693287037</v>
      </c>
      <c r="F187" t="s">
        <v>177</v>
      </c>
      <c r="G187" t="s">
        <v>178</v>
      </c>
      <c r="H187" t="s">
        <v>179</v>
      </c>
      <c r="J187" s="11">
        <v>325</v>
      </c>
      <c r="K187" s="11"/>
      <c r="L187" s="4">
        <f t="shared" si="8"/>
        <v>325</v>
      </c>
      <c r="M187" t="s">
        <v>7</v>
      </c>
      <c r="N187" t="s">
        <v>37</v>
      </c>
      <c r="O187" t="s">
        <v>33</v>
      </c>
      <c r="R187" t="s">
        <v>7</v>
      </c>
      <c r="U187" t="e">
        <f>VLOOKUP(A187,#REF!,6,FALSE)</f>
        <v>#REF!</v>
      </c>
    </row>
    <row r="188" spans="1:21" x14ac:dyDescent="0.25">
      <c r="A188">
        <v>854</v>
      </c>
      <c r="B188" s="9" t="s">
        <v>58</v>
      </c>
      <c r="C188" s="19" t="s">
        <v>157</v>
      </c>
      <c r="D188" s="6">
        <v>45422</v>
      </c>
      <c r="E188" s="7">
        <v>45422.349814814814</v>
      </c>
      <c r="F188" t="s">
        <v>180</v>
      </c>
      <c r="I188" t="s">
        <v>180</v>
      </c>
      <c r="J188" s="11"/>
      <c r="K188" s="11">
        <v>-1.99</v>
      </c>
      <c r="L188" s="4">
        <f t="shared" si="8"/>
        <v>-1.99</v>
      </c>
      <c r="N188" t="s">
        <v>36</v>
      </c>
      <c r="O188" t="s">
        <v>33</v>
      </c>
      <c r="R188" t="s">
        <v>61</v>
      </c>
      <c r="U188" t="e">
        <f>VLOOKUP(A188,#REF!,6,FALSE)</f>
        <v>#REF!</v>
      </c>
    </row>
    <row r="189" spans="1:21" x14ac:dyDescent="0.25">
      <c r="A189">
        <v>855</v>
      </c>
      <c r="B189" s="9" t="s">
        <v>58</v>
      </c>
      <c r="C189" s="19" t="s">
        <v>157</v>
      </c>
      <c r="D189" s="6">
        <v>45422</v>
      </c>
      <c r="E189" s="7">
        <v>45422.365729166668</v>
      </c>
      <c r="F189" t="s">
        <v>181</v>
      </c>
      <c r="I189" t="s">
        <v>181</v>
      </c>
      <c r="J189" s="11"/>
      <c r="K189" s="11">
        <v>-4</v>
      </c>
      <c r="L189" s="4">
        <f t="shared" si="8"/>
        <v>-4</v>
      </c>
      <c r="M189" t="s">
        <v>38</v>
      </c>
      <c r="N189" t="s">
        <v>36</v>
      </c>
      <c r="O189" t="s">
        <v>33</v>
      </c>
      <c r="R189" t="s">
        <v>61</v>
      </c>
      <c r="U189" t="e">
        <f>VLOOKUP(A189,#REF!,6,FALSE)</f>
        <v>#REF!</v>
      </c>
    </row>
    <row r="190" spans="1:21" x14ac:dyDescent="0.25">
      <c r="A190">
        <v>856</v>
      </c>
      <c r="B190" s="9" t="s">
        <v>58</v>
      </c>
      <c r="C190" s="19" t="s">
        <v>157</v>
      </c>
      <c r="D190" s="6">
        <v>45422</v>
      </c>
      <c r="E190" s="7">
        <v>45422.558148148149</v>
      </c>
      <c r="F190" t="s">
        <v>18</v>
      </c>
      <c r="I190" t="s">
        <v>18</v>
      </c>
      <c r="J190" s="11"/>
      <c r="K190" s="11">
        <v>-8.5</v>
      </c>
      <c r="L190" s="4">
        <f t="shared" si="8"/>
        <v>-8.5</v>
      </c>
      <c r="M190" t="s">
        <v>9</v>
      </c>
      <c r="N190" t="s">
        <v>36</v>
      </c>
      <c r="O190" t="s">
        <v>33</v>
      </c>
      <c r="R190" t="s">
        <v>9</v>
      </c>
      <c r="U190" t="e">
        <f>VLOOKUP(A190,#REF!,6,FALSE)</f>
        <v>#REF!</v>
      </c>
    </row>
    <row r="191" spans="1:21" x14ac:dyDescent="0.25">
      <c r="A191">
        <v>857</v>
      </c>
      <c r="B191" s="9" t="s">
        <v>58</v>
      </c>
      <c r="C191" s="19" t="s">
        <v>157</v>
      </c>
      <c r="D191" s="6">
        <v>45422</v>
      </c>
      <c r="E191" s="7">
        <v>45422.778993055559</v>
      </c>
      <c r="F191" t="s">
        <v>69</v>
      </c>
      <c r="I191" t="s">
        <v>69</v>
      </c>
      <c r="J191" s="11"/>
      <c r="K191" s="11">
        <v>-21.95</v>
      </c>
      <c r="L191" s="4">
        <f t="shared" si="8"/>
        <v>-21.95</v>
      </c>
      <c r="M191" t="s">
        <v>9</v>
      </c>
      <c r="N191" t="s">
        <v>36</v>
      </c>
      <c r="O191" t="s">
        <v>33</v>
      </c>
      <c r="R191" t="s">
        <v>9</v>
      </c>
      <c r="U191" t="e">
        <f>VLOOKUP(A191,#REF!,6,FALSE)</f>
        <v>#REF!</v>
      </c>
    </row>
    <row r="192" spans="1:21" x14ac:dyDescent="0.25">
      <c r="A192">
        <v>858</v>
      </c>
      <c r="B192" s="9" t="s">
        <v>58</v>
      </c>
      <c r="C192" s="19" t="s">
        <v>157</v>
      </c>
      <c r="D192" s="6">
        <v>45423</v>
      </c>
      <c r="E192" s="7">
        <v>45423.564050925925</v>
      </c>
      <c r="F192" t="s">
        <v>18</v>
      </c>
      <c r="I192" t="s">
        <v>18</v>
      </c>
      <c r="J192" s="11"/>
      <c r="K192" s="11">
        <v>-5.4</v>
      </c>
      <c r="L192" s="4">
        <f t="shared" si="8"/>
        <v>-5.4</v>
      </c>
      <c r="M192" t="s">
        <v>9</v>
      </c>
      <c r="N192" t="s">
        <v>36</v>
      </c>
      <c r="O192" t="s">
        <v>33</v>
      </c>
      <c r="R192" t="s">
        <v>9</v>
      </c>
      <c r="U192" t="e">
        <f>VLOOKUP(A192,#REF!,6,FALSE)</f>
        <v>#REF!</v>
      </c>
    </row>
    <row r="193" spans="1:21" x14ac:dyDescent="0.25">
      <c r="A193">
        <v>1012</v>
      </c>
      <c r="B193" s="9" t="s">
        <v>58</v>
      </c>
      <c r="C193" s="19" t="s">
        <v>157</v>
      </c>
      <c r="D193" s="6">
        <v>45514</v>
      </c>
      <c r="E193" s="7">
        <v>45514.557175925926</v>
      </c>
      <c r="F193" t="s">
        <v>263</v>
      </c>
      <c r="I193" t="s">
        <v>263</v>
      </c>
      <c r="J193" s="11"/>
      <c r="K193" s="11">
        <v>-77.56</v>
      </c>
      <c r="L193" s="4">
        <f t="shared" si="8"/>
        <v>-77.56</v>
      </c>
      <c r="M193" t="s">
        <v>47</v>
      </c>
      <c r="N193" t="s">
        <v>36</v>
      </c>
      <c r="O193" t="s">
        <v>33</v>
      </c>
      <c r="P193" t="s">
        <v>264</v>
      </c>
      <c r="R193" t="s">
        <v>466</v>
      </c>
      <c r="U193" t="e">
        <f>VLOOKUP(A193,#REF!,6,FALSE)</f>
        <v>#REF!</v>
      </c>
    </row>
    <row r="194" spans="1:21" x14ac:dyDescent="0.25">
      <c r="A194">
        <v>860</v>
      </c>
      <c r="B194" s="9" t="s">
        <v>58</v>
      </c>
      <c r="C194" s="19" t="s">
        <v>157</v>
      </c>
      <c r="D194" s="6">
        <v>45426</v>
      </c>
      <c r="E194" s="7">
        <v>45426.063414351855</v>
      </c>
      <c r="F194" t="s">
        <v>18</v>
      </c>
      <c r="I194" t="s">
        <v>18</v>
      </c>
      <c r="J194" s="11"/>
      <c r="K194" s="11">
        <v>-8.5</v>
      </c>
      <c r="L194" s="4">
        <f t="shared" si="8"/>
        <v>-8.5</v>
      </c>
      <c r="M194" t="s">
        <v>9</v>
      </c>
      <c r="N194" t="s">
        <v>36</v>
      </c>
      <c r="O194" t="s">
        <v>33</v>
      </c>
      <c r="R194" t="s">
        <v>9</v>
      </c>
      <c r="U194" t="e">
        <f>VLOOKUP(A194,#REF!,6,FALSE)</f>
        <v>#REF!</v>
      </c>
    </row>
    <row r="195" spans="1:21" x14ac:dyDescent="0.25">
      <c r="A195">
        <v>861</v>
      </c>
      <c r="B195" s="9" t="s">
        <v>58</v>
      </c>
      <c r="C195" s="19" t="s">
        <v>157</v>
      </c>
      <c r="D195" s="6">
        <v>45426</v>
      </c>
      <c r="E195" s="7">
        <v>45426.367442129631</v>
      </c>
      <c r="F195" t="s">
        <v>80</v>
      </c>
      <c r="I195" t="s">
        <v>80</v>
      </c>
      <c r="J195" s="11"/>
      <c r="K195" s="11">
        <v>-4.05</v>
      </c>
      <c r="L195" s="4">
        <f t="shared" si="8"/>
        <v>-4.05</v>
      </c>
      <c r="M195" t="s">
        <v>38</v>
      </c>
      <c r="N195" t="s">
        <v>36</v>
      </c>
      <c r="O195" t="s">
        <v>33</v>
      </c>
      <c r="R195" t="s">
        <v>61</v>
      </c>
      <c r="U195" t="e">
        <f>VLOOKUP(A195,#REF!,6,FALSE)</f>
        <v>#REF!</v>
      </c>
    </row>
    <row r="196" spans="1:21" x14ac:dyDescent="0.25">
      <c r="A196">
        <v>862</v>
      </c>
      <c r="B196" s="9" t="s">
        <v>58</v>
      </c>
      <c r="C196" s="19" t="s">
        <v>157</v>
      </c>
      <c r="D196" s="6">
        <v>45426</v>
      </c>
      <c r="E196" s="7">
        <v>45426.752129629633</v>
      </c>
      <c r="F196" t="s">
        <v>69</v>
      </c>
      <c r="I196" t="s">
        <v>69</v>
      </c>
      <c r="J196" s="11"/>
      <c r="K196" s="11">
        <v>-8.98</v>
      </c>
      <c r="L196" s="4">
        <f t="shared" si="8"/>
        <v>-8.98</v>
      </c>
      <c r="M196" t="s">
        <v>9</v>
      </c>
      <c r="N196" t="s">
        <v>36</v>
      </c>
      <c r="O196" t="s">
        <v>33</v>
      </c>
      <c r="R196" t="s">
        <v>9</v>
      </c>
      <c r="U196" t="e">
        <f>VLOOKUP(A196,#REF!,6,FALSE)</f>
        <v>#REF!</v>
      </c>
    </row>
    <row r="197" spans="1:21" x14ac:dyDescent="0.25">
      <c r="A197">
        <v>863</v>
      </c>
      <c r="B197" s="9" t="s">
        <v>58</v>
      </c>
      <c r="C197" s="19" t="s">
        <v>157</v>
      </c>
      <c r="D197" s="6">
        <v>45427</v>
      </c>
      <c r="E197" s="7">
        <v>45427.085324074076</v>
      </c>
      <c r="F197" t="s">
        <v>183</v>
      </c>
      <c r="G197">
        <v>1957461</v>
      </c>
      <c r="H197" t="s">
        <v>52</v>
      </c>
      <c r="J197" s="11">
        <v>375</v>
      </c>
      <c r="K197" s="11"/>
      <c r="L197" s="4">
        <f t="shared" si="8"/>
        <v>375</v>
      </c>
      <c r="M197" t="s">
        <v>7</v>
      </c>
      <c r="N197" t="s">
        <v>37</v>
      </c>
      <c r="O197" t="s">
        <v>33</v>
      </c>
      <c r="R197" t="s">
        <v>7</v>
      </c>
      <c r="U197" t="e">
        <f>VLOOKUP(A197,#REF!,6,FALSE)</f>
        <v>#REF!</v>
      </c>
    </row>
    <row r="198" spans="1:21" x14ac:dyDescent="0.25">
      <c r="A198">
        <v>864</v>
      </c>
      <c r="B198" s="9" t="s">
        <v>58</v>
      </c>
      <c r="C198" s="19" t="s">
        <v>157</v>
      </c>
      <c r="D198" s="6">
        <v>45427</v>
      </c>
      <c r="E198" s="7">
        <v>45427.36614583333</v>
      </c>
      <c r="F198" t="s">
        <v>78</v>
      </c>
      <c r="I198" t="s">
        <v>78</v>
      </c>
      <c r="J198" s="11"/>
      <c r="K198" s="11">
        <v>-6.95</v>
      </c>
      <c r="L198" s="4">
        <f t="shared" si="8"/>
        <v>-6.95</v>
      </c>
      <c r="N198" t="s">
        <v>36</v>
      </c>
      <c r="O198" t="s">
        <v>33</v>
      </c>
      <c r="R198" t="s">
        <v>61</v>
      </c>
      <c r="U198" t="e">
        <f>VLOOKUP(A198,#REF!,6,FALSE)</f>
        <v>#REF!</v>
      </c>
    </row>
    <row r="199" spans="1:21" x14ac:dyDescent="0.25">
      <c r="A199">
        <v>865</v>
      </c>
      <c r="B199" s="9" t="s">
        <v>58</v>
      </c>
      <c r="C199" s="19" t="s">
        <v>157</v>
      </c>
      <c r="D199" s="6">
        <v>45427</v>
      </c>
      <c r="E199" s="7">
        <v>45427.511053240742</v>
      </c>
      <c r="F199" t="s">
        <v>18</v>
      </c>
      <c r="I199" t="s">
        <v>18</v>
      </c>
      <c r="J199" s="11"/>
      <c r="K199" s="11">
        <v>-10.199999999999999</v>
      </c>
      <c r="L199" s="4">
        <f t="shared" si="8"/>
        <v>-10.199999999999999</v>
      </c>
      <c r="M199" t="s">
        <v>9</v>
      </c>
      <c r="N199" t="s">
        <v>36</v>
      </c>
      <c r="O199" t="s">
        <v>33</v>
      </c>
      <c r="R199" t="s">
        <v>9</v>
      </c>
      <c r="U199" t="e">
        <f>VLOOKUP(A199,#REF!,6,FALSE)</f>
        <v>#REF!</v>
      </c>
    </row>
    <row r="200" spans="1:21" x14ac:dyDescent="0.25">
      <c r="A200">
        <v>866</v>
      </c>
      <c r="B200" s="9" t="s">
        <v>58</v>
      </c>
      <c r="C200" s="19" t="s">
        <v>157</v>
      </c>
      <c r="D200" s="6">
        <v>45428</v>
      </c>
      <c r="E200" s="7">
        <v>45428.064652777779</v>
      </c>
      <c r="F200" t="s">
        <v>18</v>
      </c>
      <c r="I200" t="s">
        <v>18</v>
      </c>
      <c r="J200" s="11"/>
      <c r="K200" s="11">
        <v>-5.75</v>
      </c>
      <c r="L200" s="4">
        <f t="shared" si="8"/>
        <v>-5.75</v>
      </c>
      <c r="M200" t="s">
        <v>9</v>
      </c>
      <c r="N200" t="s">
        <v>36</v>
      </c>
      <c r="O200" t="s">
        <v>33</v>
      </c>
      <c r="R200" t="s">
        <v>9</v>
      </c>
      <c r="U200" t="e">
        <f>VLOOKUP(A200,#REF!,6,FALSE)</f>
        <v>#REF!</v>
      </c>
    </row>
    <row r="201" spans="1:21" x14ac:dyDescent="0.25">
      <c r="A201">
        <v>867</v>
      </c>
      <c r="B201" s="9" t="s">
        <v>58</v>
      </c>
      <c r="C201" s="19" t="s">
        <v>157</v>
      </c>
      <c r="D201" s="6">
        <v>45428</v>
      </c>
      <c r="E201" s="7">
        <v>45428.378819444442</v>
      </c>
      <c r="F201" t="s">
        <v>184</v>
      </c>
      <c r="I201" t="s">
        <v>184</v>
      </c>
      <c r="J201" s="11"/>
      <c r="K201" s="11">
        <v>-4.0999999999999996</v>
      </c>
      <c r="L201" s="4">
        <f t="shared" si="8"/>
        <v>-4.0999999999999996</v>
      </c>
      <c r="M201" t="s">
        <v>38</v>
      </c>
      <c r="N201" t="s">
        <v>36</v>
      </c>
      <c r="O201" t="s">
        <v>33</v>
      </c>
      <c r="R201" t="s">
        <v>61</v>
      </c>
      <c r="U201" t="e">
        <f>VLOOKUP(A201,#REF!,6,FALSE)</f>
        <v>#REF!</v>
      </c>
    </row>
    <row r="202" spans="1:21" x14ac:dyDescent="0.25">
      <c r="A202">
        <v>868</v>
      </c>
      <c r="B202" s="9" t="s">
        <v>58</v>
      </c>
      <c r="C202" s="19" t="s">
        <v>157</v>
      </c>
      <c r="D202" s="6">
        <v>45428</v>
      </c>
      <c r="E202" s="7">
        <v>45428.390115740738</v>
      </c>
      <c r="F202" t="s">
        <v>101</v>
      </c>
      <c r="G202" t="s">
        <v>102</v>
      </c>
      <c r="I202" t="s">
        <v>31</v>
      </c>
      <c r="J202" s="11"/>
      <c r="K202" s="11">
        <v>-1200</v>
      </c>
      <c r="L202" s="4">
        <f t="shared" si="8"/>
        <v>-1200</v>
      </c>
      <c r="M202" t="s">
        <v>135</v>
      </c>
      <c r="N202" t="s">
        <v>32</v>
      </c>
      <c r="O202" t="s">
        <v>33</v>
      </c>
      <c r="R202" t="s">
        <v>6</v>
      </c>
      <c r="U202" t="e">
        <f>VLOOKUP(A202,#REF!,6,FALSE)</f>
        <v>#REF!</v>
      </c>
    </row>
    <row r="203" spans="1:21" x14ac:dyDescent="0.25">
      <c r="A203">
        <v>869</v>
      </c>
      <c r="B203" s="9" t="s">
        <v>58</v>
      </c>
      <c r="C203" s="19" t="s">
        <v>157</v>
      </c>
      <c r="D203" s="6">
        <v>45428</v>
      </c>
      <c r="E203" s="7">
        <v>45428.400833333333</v>
      </c>
      <c r="F203" t="s">
        <v>69</v>
      </c>
      <c r="I203" t="s">
        <v>69</v>
      </c>
      <c r="J203" s="11"/>
      <c r="K203" s="11">
        <v>-10.97</v>
      </c>
      <c r="L203" s="4">
        <f t="shared" ref="L203:L266" si="10">J203+K203</f>
        <v>-10.97</v>
      </c>
      <c r="M203" t="s">
        <v>9</v>
      </c>
      <c r="N203" t="s">
        <v>36</v>
      </c>
      <c r="O203" t="s">
        <v>33</v>
      </c>
      <c r="R203" t="s">
        <v>9</v>
      </c>
      <c r="U203" t="e">
        <f>VLOOKUP(A203,#REF!,6,FALSE)</f>
        <v>#REF!</v>
      </c>
    </row>
    <row r="204" spans="1:21" x14ac:dyDescent="0.25">
      <c r="A204">
        <v>870</v>
      </c>
      <c r="B204" s="9" t="s">
        <v>58</v>
      </c>
      <c r="C204" s="19" t="s">
        <v>157</v>
      </c>
      <c r="D204" s="6">
        <v>45428</v>
      </c>
      <c r="E204" s="7">
        <v>45428.713020833333</v>
      </c>
      <c r="F204" t="s">
        <v>69</v>
      </c>
      <c r="I204" t="s">
        <v>69</v>
      </c>
      <c r="J204" s="11"/>
      <c r="K204" s="11">
        <v>-11.96</v>
      </c>
      <c r="L204" s="4">
        <f t="shared" si="10"/>
        <v>-11.96</v>
      </c>
      <c r="M204" t="s">
        <v>9</v>
      </c>
      <c r="N204" t="s">
        <v>36</v>
      </c>
      <c r="O204" t="s">
        <v>33</v>
      </c>
      <c r="R204" t="s">
        <v>9</v>
      </c>
      <c r="U204" t="e">
        <f>VLOOKUP(A204,#REF!,6,FALSE)</f>
        <v>#REF!</v>
      </c>
    </row>
    <row r="205" spans="1:21" x14ac:dyDescent="0.25">
      <c r="A205">
        <v>871</v>
      </c>
      <c r="B205" s="9" t="s">
        <v>58</v>
      </c>
      <c r="C205" s="19" t="s">
        <v>157</v>
      </c>
      <c r="D205" s="6">
        <v>45429</v>
      </c>
      <c r="E205" s="7">
        <v>45429.269780092596</v>
      </c>
      <c r="F205" t="s">
        <v>108</v>
      </c>
      <c r="G205" t="s">
        <v>110</v>
      </c>
      <c r="H205" t="s">
        <v>51</v>
      </c>
      <c r="J205" s="11">
        <v>1100</v>
      </c>
      <c r="K205" s="11"/>
      <c r="L205" s="4">
        <f t="shared" si="10"/>
        <v>1100</v>
      </c>
      <c r="M205" t="s">
        <v>135</v>
      </c>
      <c r="N205" t="s">
        <v>37</v>
      </c>
      <c r="O205" t="s">
        <v>33</v>
      </c>
      <c r="R205" t="s">
        <v>6</v>
      </c>
      <c r="U205" t="e">
        <f>VLOOKUP(A205,#REF!,6,FALSE)</f>
        <v>#REF!</v>
      </c>
    </row>
    <row r="206" spans="1:21" x14ac:dyDescent="0.25">
      <c r="A206">
        <v>872</v>
      </c>
      <c r="B206" s="9" t="s">
        <v>58</v>
      </c>
      <c r="C206" s="19" t="s">
        <v>157</v>
      </c>
      <c r="D206" s="6">
        <v>45429</v>
      </c>
      <c r="E206" s="7">
        <v>45429.405578703707</v>
      </c>
      <c r="F206" t="s">
        <v>185</v>
      </c>
      <c r="G206" t="s">
        <v>185</v>
      </c>
      <c r="J206" s="11"/>
      <c r="K206" s="11">
        <v>-4</v>
      </c>
      <c r="L206" s="4">
        <f t="shared" si="10"/>
        <v>-4</v>
      </c>
      <c r="M206" t="s">
        <v>186</v>
      </c>
      <c r="N206" t="s">
        <v>17</v>
      </c>
      <c r="O206" t="s">
        <v>33</v>
      </c>
      <c r="R206" s="3" t="s">
        <v>63</v>
      </c>
      <c r="U206" t="e">
        <f>VLOOKUP(A206,#REF!,6,FALSE)</f>
        <v>#REF!</v>
      </c>
    </row>
    <row r="207" spans="1:21" x14ac:dyDescent="0.25">
      <c r="A207">
        <v>873</v>
      </c>
      <c r="B207" s="9" t="s">
        <v>58</v>
      </c>
      <c r="C207" s="19" t="s">
        <v>157</v>
      </c>
      <c r="D207" s="6">
        <v>45429</v>
      </c>
      <c r="E207" s="7">
        <v>45429.591273148151</v>
      </c>
      <c r="F207" t="s">
        <v>108</v>
      </c>
      <c r="G207" t="s">
        <v>110</v>
      </c>
      <c r="H207" t="s">
        <v>51</v>
      </c>
      <c r="J207" s="11">
        <v>650</v>
      </c>
      <c r="K207" s="11"/>
      <c r="L207" s="4">
        <f t="shared" si="10"/>
        <v>650</v>
      </c>
      <c r="M207" t="s">
        <v>109</v>
      </c>
      <c r="N207" t="s">
        <v>37</v>
      </c>
      <c r="O207" t="s">
        <v>33</v>
      </c>
      <c r="R207" t="s">
        <v>6</v>
      </c>
      <c r="U207" t="e">
        <f>VLOOKUP(A207,#REF!,6,FALSE)</f>
        <v>#REF!</v>
      </c>
    </row>
    <row r="208" spans="1:21" x14ac:dyDescent="0.25">
      <c r="A208">
        <v>874</v>
      </c>
      <c r="B208" s="9" t="s">
        <v>58</v>
      </c>
      <c r="C208" s="19" t="s">
        <v>157</v>
      </c>
      <c r="D208" s="6">
        <v>45429</v>
      </c>
      <c r="E208" s="7">
        <v>45429.61142361111</v>
      </c>
      <c r="F208" t="s">
        <v>18</v>
      </c>
      <c r="I208" t="s">
        <v>18</v>
      </c>
      <c r="J208" s="11"/>
      <c r="K208" s="11">
        <v>-12.25</v>
      </c>
      <c r="L208" s="4">
        <f t="shared" si="10"/>
        <v>-12.25</v>
      </c>
      <c r="M208" t="s">
        <v>9</v>
      </c>
      <c r="N208" t="s">
        <v>36</v>
      </c>
      <c r="O208" t="s">
        <v>33</v>
      </c>
      <c r="R208" t="s">
        <v>9</v>
      </c>
      <c r="U208" t="e">
        <f>VLOOKUP(A208,#REF!,6,FALSE)</f>
        <v>#REF!</v>
      </c>
    </row>
    <row r="209" spans="1:21" x14ac:dyDescent="0.25">
      <c r="A209">
        <v>875</v>
      </c>
      <c r="B209" s="9" t="s">
        <v>58</v>
      </c>
      <c r="C209" s="19" t="s">
        <v>157</v>
      </c>
      <c r="D209" s="6">
        <v>45432</v>
      </c>
      <c r="E209" s="7">
        <v>45432.370393518519</v>
      </c>
      <c r="F209" t="s">
        <v>18</v>
      </c>
      <c r="I209" t="s">
        <v>18</v>
      </c>
      <c r="J209" s="11"/>
      <c r="K209" s="11">
        <v>-1.75</v>
      </c>
      <c r="L209" s="4">
        <f t="shared" si="10"/>
        <v>-1.75</v>
      </c>
      <c r="M209" t="s">
        <v>9</v>
      </c>
      <c r="N209" t="s">
        <v>36</v>
      </c>
      <c r="O209" t="s">
        <v>33</v>
      </c>
      <c r="R209" t="s">
        <v>9</v>
      </c>
      <c r="U209" t="e">
        <f>VLOOKUP(A209,#REF!,6,FALSE)</f>
        <v>#REF!</v>
      </c>
    </row>
    <row r="210" spans="1:21" x14ac:dyDescent="0.25">
      <c r="A210">
        <v>876</v>
      </c>
      <c r="B210" s="9" t="s">
        <v>58</v>
      </c>
      <c r="C210" s="19" t="s">
        <v>157</v>
      </c>
      <c r="D210" s="6">
        <v>45432</v>
      </c>
      <c r="E210" s="7">
        <v>45432.747465277775</v>
      </c>
      <c r="F210" t="s">
        <v>42</v>
      </c>
      <c r="I210" t="s">
        <v>42</v>
      </c>
      <c r="J210" s="11"/>
      <c r="K210" s="11">
        <v>-6.98</v>
      </c>
      <c r="L210" s="4">
        <f t="shared" si="10"/>
        <v>-6.98</v>
      </c>
      <c r="N210" t="s">
        <v>36</v>
      </c>
      <c r="O210" t="s">
        <v>187</v>
      </c>
      <c r="R210" t="s">
        <v>12</v>
      </c>
      <c r="U210" t="e">
        <f>VLOOKUP(A210,#REF!,6,FALSE)</f>
        <v>#REF!</v>
      </c>
    </row>
    <row r="211" spans="1:21" x14ac:dyDescent="0.25">
      <c r="A211">
        <v>877</v>
      </c>
      <c r="B211" s="9" t="s">
        <v>58</v>
      </c>
      <c r="C211" s="19" t="s">
        <v>157</v>
      </c>
      <c r="D211" s="6">
        <v>45434</v>
      </c>
      <c r="E211" s="7">
        <v>45434.680810185186</v>
      </c>
      <c r="F211" t="s">
        <v>188</v>
      </c>
      <c r="G211" t="s">
        <v>189</v>
      </c>
      <c r="I211" t="s">
        <v>31</v>
      </c>
      <c r="J211" s="11"/>
      <c r="K211" s="11">
        <v>-119</v>
      </c>
      <c r="L211" s="4">
        <f t="shared" si="10"/>
        <v>-119</v>
      </c>
      <c r="M211" t="s">
        <v>43</v>
      </c>
      <c r="N211" t="s">
        <v>32</v>
      </c>
      <c r="O211" t="s">
        <v>33</v>
      </c>
      <c r="R211" t="s">
        <v>12</v>
      </c>
      <c r="U211" t="e">
        <f>VLOOKUP(A211,#REF!,6,FALSE)</f>
        <v>#REF!</v>
      </c>
    </row>
    <row r="212" spans="1:21" x14ac:dyDescent="0.25">
      <c r="A212">
        <v>878</v>
      </c>
      <c r="B212" s="9" t="s">
        <v>58</v>
      </c>
      <c r="C212" s="19" t="s">
        <v>157</v>
      </c>
      <c r="D212" s="6">
        <v>45436</v>
      </c>
      <c r="E212" s="7">
        <v>45436.087395833332</v>
      </c>
      <c r="F212" t="s">
        <v>190</v>
      </c>
      <c r="G212">
        <v>1958732</v>
      </c>
      <c r="H212" t="s">
        <v>52</v>
      </c>
      <c r="J212" s="11">
        <v>3375</v>
      </c>
      <c r="K212" s="11"/>
      <c r="L212" s="4">
        <f t="shared" si="10"/>
        <v>3375</v>
      </c>
      <c r="M212" t="s">
        <v>7</v>
      </c>
      <c r="N212" t="s">
        <v>37</v>
      </c>
      <c r="O212" t="s">
        <v>33</v>
      </c>
      <c r="R212" t="s">
        <v>7</v>
      </c>
      <c r="U212" t="e">
        <f>VLOOKUP(A212,#REF!,6,FALSE)</f>
        <v>#REF!</v>
      </c>
    </row>
    <row r="213" spans="1:21" x14ac:dyDescent="0.25">
      <c r="A213">
        <v>879</v>
      </c>
      <c r="B213" s="9" t="s">
        <v>58</v>
      </c>
      <c r="C213" s="19" t="s">
        <v>157</v>
      </c>
      <c r="D213" s="6">
        <v>45437</v>
      </c>
      <c r="E213" s="7">
        <v>45437.338437500002</v>
      </c>
      <c r="F213" t="s">
        <v>18</v>
      </c>
      <c r="I213" t="s">
        <v>18</v>
      </c>
      <c r="J213" s="11"/>
      <c r="K213" s="11">
        <v>-8.9</v>
      </c>
      <c r="L213" s="4">
        <f t="shared" si="10"/>
        <v>-8.9</v>
      </c>
      <c r="M213" t="s">
        <v>9</v>
      </c>
      <c r="N213" t="s">
        <v>36</v>
      </c>
      <c r="O213" t="s">
        <v>33</v>
      </c>
      <c r="R213" t="s">
        <v>9</v>
      </c>
      <c r="U213" t="e">
        <f>VLOOKUP(A213,#REF!,6,FALSE)</f>
        <v>#REF!</v>
      </c>
    </row>
    <row r="214" spans="1:21" x14ac:dyDescent="0.25">
      <c r="A214">
        <v>880</v>
      </c>
      <c r="B214" s="9" t="s">
        <v>58</v>
      </c>
      <c r="C214" s="19" t="s">
        <v>157</v>
      </c>
      <c r="D214" s="6">
        <v>45437</v>
      </c>
      <c r="E214" s="7">
        <v>45437.346967592595</v>
      </c>
      <c r="F214" t="s">
        <v>80</v>
      </c>
      <c r="I214" t="s">
        <v>80</v>
      </c>
      <c r="J214" s="11"/>
      <c r="K214" s="11">
        <v>-4.55</v>
      </c>
      <c r="L214" s="4">
        <f t="shared" si="10"/>
        <v>-4.55</v>
      </c>
      <c r="M214" t="s">
        <v>38</v>
      </c>
      <c r="N214" t="s">
        <v>36</v>
      </c>
      <c r="O214" t="s">
        <v>33</v>
      </c>
      <c r="R214" t="s">
        <v>61</v>
      </c>
      <c r="U214" t="e">
        <f>VLOOKUP(A214,#REF!,6,FALSE)</f>
        <v>#REF!</v>
      </c>
    </row>
    <row r="215" spans="1:21" x14ac:dyDescent="0.25">
      <c r="A215">
        <v>881</v>
      </c>
      <c r="B215" s="9" t="s">
        <v>58</v>
      </c>
      <c r="C215" s="19" t="s">
        <v>157</v>
      </c>
      <c r="D215" s="6">
        <v>45437</v>
      </c>
      <c r="E215" s="7">
        <v>45437.357291666667</v>
      </c>
      <c r="F215" t="s">
        <v>173</v>
      </c>
      <c r="I215" t="s">
        <v>173</v>
      </c>
      <c r="J215" s="11"/>
      <c r="K215" s="11">
        <v>-5</v>
      </c>
      <c r="L215" s="4">
        <f t="shared" si="10"/>
        <v>-5</v>
      </c>
      <c r="N215" t="s">
        <v>36</v>
      </c>
      <c r="O215" t="s">
        <v>33</v>
      </c>
      <c r="R215" t="s">
        <v>61</v>
      </c>
      <c r="U215" t="e">
        <f>VLOOKUP(A215,#REF!,6,FALSE)</f>
        <v>#REF!</v>
      </c>
    </row>
    <row r="216" spans="1:21" x14ac:dyDescent="0.25">
      <c r="A216">
        <v>1041</v>
      </c>
      <c r="B216" s="9" t="s">
        <v>58</v>
      </c>
      <c r="C216" s="19" t="s">
        <v>157</v>
      </c>
      <c r="D216" s="6">
        <v>45531</v>
      </c>
      <c r="E216" s="7">
        <v>45531.837789351855</v>
      </c>
      <c r="F216" t="s">
        <v>279</v>
      </c>
      <c r="I216" t="s">
        <v>279</v>
      </c>
      <c r="J216" s="11"/>
      <c r="K216" s="11">
        <v>-42.5</v>
      </c>
      <c r="L216" s="4">
        <f t="shared" si="10"/>
        <v>-42.5</v>
      </c>
      <c r="M216" t="s">
        <v>47</v>
      </c>
      <c r="N216" t="s">
        <v>36</v>
      </c>
      <c r="O216" t="s">
        <v>33</v>
      </c>
      <c r="R216" t="s">
        <v>466</v>
      </c>
      <c r="U216" t="e">
        <f>VLOOKUP(A216,#REF!,6,FALSE)</f>
        <v>#REF!</v>
      </c>
    </row>
    <row r="217" spans="1:21" x14ac:dyDescent="0.25">
      <c r="A217">
        <v>1138</v>
      </c>
      <c r="B217" s="9" t="s">
        <v>58</v>
      </c>
      <c r="C217" s="19" t="s">
        <v>157</v>
      </c>
      <c r="D217" s="6">
        <v>45587</v>
      </c>
      <c r="E217" s="7">
        <v>45587.759189814817</v>
      </c>
      <c r="F217" t="s">
        <v>279</v>
      </c>
      <c r="I217" t="s">
        <v>279</v>
      </c>
      <c r="J217" s="11"/>
      <c r="K217" s="11">
        <v>-75</v>
      </c>
      <c r="L217" s="4">
        <f t="shared" si="10"/>
        <v>-75</v>
      </c>
      <c r="M217" t="s">
        <v>47</v>
      </c>
      <c r="N217" t="s">
        <v>36</v>
      </c>
      <c r="O217" t="s">
        <v>33</v>
      </c>
      <c r="R217" t="s">
        <v>466</v>
      </c>
      <c r="U217" t="e">
        <f>VLOOKUP(A217,#REF!,6,FALSE)</f>
        <v>#REF!</v>
      </c>
    </row>
    <row r="218" spans="1:21" x14ac:dyDescent="0.25">
      <c r="A218">
        <v>884</v>
      </c>
      <c r="B218" s="9" t="s">
        <v>58</v>
      </c>
      <c r="C218" s="19" t="s">
        <v>157</v>
      </c>
      <c r="D218" s="6">
        <v>45438</v>
      </c>
      <c r="E218" s="7">
        <v>45438.332696759258</v>
      </c>
      <c r="F218" t="s">
        <v>148</v>
      </c>
      <c r="G218" t="s">
        <v>149</v>
      </c>
      <c r="I218" t="s">
        <v>31</v>
      </c>
      <c r="J218" s="11"/>
      <c r="K218" s="11">
        <v>-3500</v>
      </c>
      <c r="L218" s="4">
        <f t="shared" si="10"/>
        <v>-3500</v>
      </c>
      <c r="N218" t="s">
        <v>32</v>
      </c>
      <c r="O218" t="s">
        <v>33</v>
      </c>
      <c r="R218" t="s">
        <v>6</v>
      </c>
      <c r="U218" t="e">
        <f>VLOOKUP(A218,#REF!,6,FALSE)</f>
        <v>#REF!</v>
      </c>
    </row>
    <row r="219" spans="1:21" x14ac:dyDescent="0.25">
      <c r="A219">
        <v>885</v>
      </c>
      <c r="B219" s="9" t="s">
        <v>58</v>
      </c>
      <c r="C219" s="19" t="s">
        <v>157</v>
      </c>
      <c r="D219" s="6">
        <v>45439</v>
      </c>
      <c r="E219" s="7">
        <v>45439.122060185182</v>
      </c>
      <c r="F219" t="s">
        <v>18</v>
      </c>
      <c r="I219" t="s">
        <v>18</v>
      </c>
      <c r="J219" s="11"/>
      <c r="K219" s="11">
        <v>-8.5</v>
      </c>
      <c r="L219" s="4">
        <f t="shared" si="10"/>
        <v>-8.5</v>
      </c>
      <c r="M219" t="s">
        <v>9</v>
      </c>
      <c r="N219" t="s">
        <v>36</v>
      </c>
      <c r="O219" t="s">
        <v>33</v>
      </c>
      <c r="R219" t="s">
        <v>9</v>
      </c>
      <c r="U219" t="e">
        <f>VLOOKUP(A219,#REF!,6,FALSE)</f>
        <v>#REF!</v>
      </c>
    </row>
    <row r="220" spans="1:21" x14ac:dyDescent="0.25">
      <c r="A220">
        <v>886</v>
      </c>
      <c r="B220" s="9" t="s">
        <v>58</v>
      </c>
      <c r="C220" s="19" t="s">
        <v>157</v>
      </c>
      <c r="D220" s="6">
        <v>45439</v>
      </c>
      <c r="E220" s="7">
        <v>45439.376701388886</v>
      </c>
      <c r="F220" t="s">
        <v>80</v>
      </c>
      <c r="I220" t="s">
        <v>80</v>
      </c>
      <c r="J220" s="11"/>
      <c r="K220" s="11">
        <v>-4.95</v>
      </c>
      <c r="L220" s="4">
        <f t="shared" si="10"/>
        <v>-4.95</v>
      </c>
      <c r="M220" t="s">
        <v>38</v>
      </c>
      <c r="N220" t="s">
        <v>36</v>
      </c>
      <c r="O220" t="s">
        <v>33</v>
      </c>
      <c r="R220" t="s">
        <v>61</v>
      </c>
      <c r="U220" t="e">
        <f>VLOOKUP(A220,#REF!,6,FALSE)</f>
        <v>#REF!</v>
      </c>
    </row>
    <row r="221" spans="1:21" x14ac:dyDescent="0.25">
      <c r="A221">
        <v>887</v>
      </c>
      <c r="B221" s="9" t="s">
        <v>58</v>
      </c>
      <c r="C221" s="19" t="s">
        <v>157</v>
      </c>
      <c r="D221" s="6">
        <v>45440</v>
      </c>
      <c r="E221" s="7">
        <v>45440.359074074076</v>
      </c>
      <c r="F221" t="s">
        <v>126</v>
      </c>
      <c r="I221" t="s">
        <v>126</v>
      </c>
      <c r="J221" s="11"/>
      <c r="K221" s="11">
        <v>-3.85</v>
      </c>
      <c r="L221" s="4">
        <f t="shared" si="10"/>
        <v>-3.85</v>
      </c>
      <c r="M221" t="s">
        <v>38</v>
      </c>
      <c r="N221" t="s">
        <v>36</v>
      </c>
      <c r="O221" t="s">
        <v>33</v>
      </c>
      <c r="R221" t="s">
        <v>61</v>
      </c>
      <c r="U221" t="e">
        <f>VLOOKUP(A221,#REF!,6,FALSE)</f>
        <v>#REF!</v>
      </c>
    </row>
    <row r="222" spans="1:21" x14ac:dyDescent="0.25">
      <c r="A222">
        <v>888</v>
      </c>
      <c r="B222" s="9" t="s">
        <v>58</v>
      </c>
      <c r="C222" s="19" t="s">
        <v>157</v>
      </c>
      <c r="D222" s="6">
        <v>45440</v>
      </c>
      <c r="E222" s="7">
        <v>45440.548032407409</v>
      </c>
      <c r="F222" t="s">
        <v>18</v>
      </c>
      <c r="I222" t="s">
        <v>18</v>
      </c>
      <c r="J222" s="11"/>
      <c r="K222" s="11">
        <v>-8.9</v>
      </c>
      <c r="L222" s="4">
        <f t="shared" si="10"/>
        <v>-8.9</v>
      </c>
      <c r="M222" t="s">
        <v>9</v>
      </c>
      <c r="N222" t="s">
        <v>36</v>
      </c>
      <c r="O222" t="s">
        <v>33</v>
      </c>
      <c r="R222" t="s">
        <v>9</v>
      </c>
      <c r="U222" t="e">
        <f>VLOOKUP(A222,#REF!,6,FALSE)</f>
        <v>#REF!</v>
      </c>
    </row>
    <row r="223" spans="1:21" x14ac:dyDescent="0.25">
      <c r="A223">
        <v>889</v>
      </c>
      <c r="B223" s="9" t="s">
        <v>58</v>
      </c>
      <c r="C223" s="19" t="s">
        <v>157</v>
      </c>
      <c r="D223" s="6">
        <v>45440</v>
      </c>
      <c r="E223" s="7">
        <v>45440.732511574075</v>
      </c>
      <c r="F223" t="s">
        <v>69</v>
      </c>
      <c r="I223" t="s">
        <v>69</v>
      </c>
      <c r="J223" s="11"/>
      <c r="K223" s="11">
        <v>-11.91</v>
      </c>
      <c r="L223" s="4">
        <f t="shared" si="10"/>
        <v>-11.91</v>
      </c>
      <c r="M223" t="s">
        <v>9</v>
      </c>
      <c r="N223" t="s">
        <v>36</v>
      </c>
      <c r="O223" t="s">
        <v>33</v>
      </c>
      <c r="R223" t="s">
        <v>9</v>
      </c>
      <c r="U223" t="e">
        <f>VLOOKUP(A223,#REF!,6,FALSE)</f>
        <v>#REF!</v>
      </c>
    </row>
    <row r="224" spans="1:21" x14ac:dyDescent="0.25">
      <c r="A224">
        <v>890</v>
      </c>
      <c r="B224" s="9" t="s">
        <v>58</v>
      </c>
      <c r="C224" s="19" t="s">
        <v>157</v>
      </c>
      <c r="D224" s="6">
        <v>45441</v>
      </c>
      <c r="E224" s="7">
        <v>45441.085543981484</v>
      </c>
      <c r="F224" t="s">
        <v>193</v>
      </c>
      <c r="G224">
        <v>1959566</v>
      </c>
      <c r="H224" t="s">
        <v>52</v>
      </c>
      <c r="J224" s="11">
        <v>750</v>
      </c>
      <c r="K224" s="11"/>
      <c r="L224" s="4">
        <f t="shared" si="10"/>
        <v>750</v>
      </c>
      <c r="M224" t="s">
        <v>7</v>
      </c>
      <c r="N224" t="s">
        <v>37</v>
      </c>
      <c r="O224" t="s">
        <v>33</v>
      </c>
      <c r="R224" t="s">
        <v>7</v>
      </c>
      <c r="U224" t="e">
        <f>VLOOKUP(A224,#REF!,6,FALSE)</f>
        <v>#REF!</v>
      </c>
    </row>
    <row r="225" spans="1:21" x14ac:dyDescent="0.25">
      <c r="A225">
        <v>891</v>
      </c>
      <c r="B225" s="9" t="s">
        <v>58</v>
      </c>
      <c r="C225" s="19" t="s">
        <v>157</v>
      </c>
      <c r="D225" s="6">
        <v>45441</v>
      </c>
      <c r="E225" s="7">
        <v>45441.13449074074</v>
      </c>
      <c r="F225" t="s">
        <v>18</v>
      </c>
      <c r="I225" t="s">
        <v>18</v>
      </c>
      <c r="J225" s="11"/>
      <c r="K225" s="11">
        <v>-14.6</v>
      </c>
      <c r="L225" s="4">
        <f t="shared" si="10"/>
        <v>-14.6</v>
      </c>
      <c r="M225" t="s">
        <v>9</v>
      </c>
      <c r="N225" t="s">
        <v>36</v>
      </c>
      <c r="O225" t="s">
        <v>33</v>
      </c>
      <c r="R225" t="s">
        <v>9</v>
      </c>
      <c r="U225" t="e">
        <f>VLOOKUP(A225,#REF!,6,FALSE)</f>
        <v>#REF!</v>
      </c>
    </row>
    <row r="226" spans="1:21" x14ac:dyDescent="0.25">
      <c r="A226">
        <v>892</v>
      </c>
      <c r="B226" s="9" t="s">
        <v>58</v>
      </c>
      <c r="C226" s="19" t="s">
        <v>157</v>
      </c>
      <c r="D226" s="6">
        <v>45442</v>
      </c>
      <c r="E226" s="7">
        <v>45442.560601851852</v>
      </c>
      <c r="F226" t="s">
        <v>18</v>
      </c>
      <c r="I226" t="s">
        <v>18</v>
      </c>
      <c r="J226" s="11"/>
      <c r="K226" s="11">
        <v>-8.5500000000000007</v>
      </c>
      <c r="L226" s="4">
        <f t="shared" si="10"/>
        <v>-8.5500000000000007</v>
      </c>
      <c r="M226" t="s">
        <v>9</v>
      </c>
      <c r="N226" t="s">
        <v>36</v>
      </c>
      <c r="O226" t="s">
        <v>33</v>
      </c>
      <c r="R226" t="s">
        <v>9</v>
      </c>
      <c r="U226" t="e">
        <f>VLOOKUP(A226,#REF!,6,FALSE)</f>
        <v>#REF!</v>
      </c>
    </row>
    <row r="227" spans="1:21" x14ac:dyDescent="0.25">
      <c r="A227">
        <v>1246</v>
      </c>
      <c r="B227" s="9" t="s">
        <v>58</v>
      </c>
      <c r="C227" s="19" t="s">
        <v>157</v>
      </c>
      <c r="D227" s="6">
        <v>45647</v>
      </c>
      <c r="E227" s="7">
        <v>45647.228668981479</v>
      </c>
      <c r="F227" t="s">
        <v>388</v>
      </c>
      <c r="I227" t="s">
        <v>388</v>
      </c>
      <c r="J227" s="11"/>
      <c r="K227" s="11">
        <v>-59.99</v>
      </c>
      <c r="L227" s="4">
        <f t="shared" si="10"/>
        <v>-59.99</v>
      </c>
      <c r="N227" t="s">
        <v>36</v>
      </c>
      <c r="O227" t="s">
        <v>187</v>
      </c>
      <c r="R227" t="s">
        <v>64</v>
      </c>
      <c r="U227" t="e">
        <f>VLOOKUP(A227,#REF!,6,FALSE)</f>
        <v>#REF!</v>
      </c>
    </row>
    <row r="228" spans="1:21" x14ac:dyDescent="0.25">
      <c r="A228">
        <v>894</v>
      </c>
      <c r="B228" s="9" t="s">
        <v>58</v>
      </c>
      <c r="C228" s="19" t="s">
        <v>157</v>
      </c>
      <c r="D228" s="6">
        <v>45446</v>
      </c>
      <c r="E228" s="7">
        <v>45446.282233796293</v>
      </c>
      <c r="F228" t="s">
        <v>148</v>
      </c>
      <c r="G228" t="s">
        <v>149</v>
      </c>
      <c r="I228" t="s">
        <v>31</v>
      </c>
      <c r="J228" s="11"/>
      <c r="K228" s="11">
        <v>-300</v>
      </c>
      <c r="L228" s="4">
        <f t="shared" si="10"/>
        <v>-300</v>
      </c>
      <c r="N228" t="s">
        <v>32</v>
      </c>
      <c r="O228" t="s">
        <v>33</v>
      </c>
      <c r="R228" t="s">
        <v>6</v>
      </c>
      <c r="U228" t="e">
        <f>VLOOKUP(A228,#REF!,6,FALSE)</f>
        <v>#REF!</v>
      </c>
    </row>
    <row r="229" spans="1:21" x14ac:dyDescent="0.25">
      <c r="A229">
        <v>895</v>
      </c>
      <c r="B229" s="9" t="s">
        <v>58</v>
      </c>
      <c r="C229" s="19" t="s">
        <v>157</v>
      </c>
      <c r="D229" s="6">
        <v>45446</v>
      </c>
      <c r="E229" s="7">
        <v>45446.420567129629</v>
      </c>
      <c r="F229" t="s">
        <v>18</v>
      </c>
      <c r="I229" t="s">
        <v>18</v>
      </c>
      <c r="J229" s="11"/>
      <c r="K229" s="11">
        <v>-3.85</v>
      </c>
      <c r="L229" s="4">
        <f t="shared" si="10"/>
        <v>-3.85</v>
      </c>
      <c r="M229" t="s">
        <v>9</v>
      </c>
      <c r="N229" t="s">
        <v>36</v>
      </c>
      <c r="O229" t="s">
        <v>33</v>
      </c>
      <c r="R229" t="s">
        <v>9</v>
      </c>
      <c r="U229" t="e">
        <f>VLOOKUP(A229,#REF!,6,FALSE)</f>
        <v>#REF!</v>
      </c>
    </row>
    <row r="230" spans="1:21" x14ac:dyDescent="0.25">
      <c r="A230">
        <v>896</v>
      </c>
      <c r="B230" s="9" t="s">
        <v>58</v>
      </c>
      <c r="C230" s="19" t="s">
        <v>157</v>
      </c>
      <c r="D230" s="6">
        <v>45446</v>
      </c>
      <c r="E230" s="7">
        <v>45446.771203703705</v>
      </c>
      <c r="F230" t="s">
        <v>148</v>
      </c>
      <c r="G230" t="s">
        <v>149</v>
      </c>
      <c r="I230" t="s">
        <v>31</v>
      </c>
      <c r="J230" s="11"/>
      <c r="K230" s="11">
        <v>-1000</v>
      </c>
      <c r="L230" s="4">
        <f t="shared" si="10"/>
        <v>-1000</v>
      </c>
      <c r="N230" t="s">
        <v>32</v>
      </c>
      <c r="O230" t="s">
        <v>33</v>
      </c>
      <c r="R230" t="s">
        <v>6</v>
      </c>
      <c r="U230" t="e">
        <f>VLOOKUP(A230,#REF!,6,FALSE)</f>
        <v>#REF!</v>
      </c>
    </row>
    <row r="231" spans="1:21" x14ac:dyDescent="0.25">
      <c r="A231">
        <v>897</v>
      </c>
      <c r="B231" s="9" t="s">
        <v>58</v>
      </c>
      <c r="C231" s="19" t="s">
        <v>157</v>
      </c>
      <c r="D231" s="6">
        <v>45447</v>
      </c>
      <c r="E231" s="7">
        <v>45447.085439814815</v>
      </c>
      <c r="F231" t="s">
        <v>195</v>
      </c>
      <c r="G231">
        <v>1960175</v>
      </c>
      <c r="H231" t="s">
        <v>52</v>
      </c>
      <c r="J231" s="11">
        <v>725</v>
      </c>
      <c r="K231" s="11"/>
      <c r="L231" s="4">
        <f t="shared" si="10"/>
        <v>725</v>
      </c>
      <c r="M231" t="s">
        <v>7</v>
      </c>
      <c r="N231" t="s">
        <v>37</v>
      </c>
      <c r="O231" t="s">
        <v>33</v>
      </c>
      <c r="R231" t="s">
        <v>7</v>
      </c>
      <c r="U231" t="e">
        <f>VLOOKUP(A231,#REF!,6,FALSE)</f>
        <v>#REF!</v>
      </c>
    </row>
    <row r="232" spans="1:21" x14ac:dyDescent="0.25">
      <c r="A232">
        <v>898</v>
      </c>
      <c r="B232" s="9" t="s">
        <v>58</v>
      </c>
      <c r="C232" s="19" t="s">
        <v>157</v>
      </c>
      <c r="D232" s="6">
        <v>45447</v>
      </c>
      <c r="E232" s="7">
        <v>45447.128599537034</v>
      </c>
      <c r="F232" t="s">
        <v>18</v>
      </c>
      <c r="I232" t="s">
        <v>18</v>
      </c>
      <c r="J232" s="11"/>
      <c r="K232" s="11">
        <v>-4.45</v>
      </c>
      <c r="L232" s="4">
        <f t="shared" si="10"/>
        <v>-4.45</v>
      </c>
      <c r="M232" t="s">
        <v>9</v>
      </c>
      <c r="N232" t="s">
        <v>36</v>
      </c>
      <c r="O232" t="s">
        <v>33</v>
      </c>
      <c r="R232" t="s">
        <v>9</v>
      </c>
      <c r="U232" t="e">
        <f>VLOOKUP(A232,#REF!,6,FALSE)</f>
        <v>#REF!</v>
      </c>
    </row>
    <row r="233" spans="1:21" x14ac:dyDescent="0.25">
      <c r="A233">
        <v>899</v>
      </c>
      <c r="B233" s="9" t="s">
        <v>58</v>
      </c>
      <c r="C233" s="19" t="s">
        <v>157</v>
      </c>
      <c r="D233" s="6">
        <v>45448</v>
      </c>
      <c r="E233" s="7">
        <v>45448.126238425924</v>
      </c>
      <c r="F233" t="s">
        <v>196</v>
      </c>
      <c r="G233">
        <v>1960373</v>
      </c>
      <c r="H233" t="s">
        <v>52</v>
      </c>
      <c r="J233" s="11">
        <v>375</v>
      </c>
      <c r="K233" s="11"/>
      <c r="L233" s="4">
        <f t="shared" si="10"/>
        <v>375</v>
      </c>
      <c r="M233" t="s">
        <v>7</v>
      </c>
      <c r="N233" t="s">
        <v>37</v>
      </c>
      <c r="O233" t="s">
        <v>33</v>
      </c>
      <c r="R233" t="s">
        <v>7</v>
      </c>
      <c r="U233" t="e">
        <f>VLOOKUP(A233,#REF!,6,FALSE)</f>
        <v>#REF!</v>
      </c>
    </row>
    <row r="234" spans="1:21" x14ac:dyDescent="0.25">
      <c r="A234">
        <v>900</v>
      </c>
      <c r="B234" s="9" t="s">
        <v>58</v>
      </c>
      <c r="C234" s="19" t="s">
        <v>157</v>
      </c>
      <c r="D234" s="6">
        <v>45448</v>
      </c>
      <c r="E234" s="7">
        <v>45448.583703703705</v>
      </c>
      <c r="F234" t="s">
        <v>18</v>
      </c>
      <c r="I234" t="s">
        <v>18</v>
      </c>
      <c r="J234" s="11"/>
      <c r="K234" s="11">
        <v>-3.5</v>
      </c>
      <c r="L234" s="4">
        <f t="shared" si="10"/>
        <v>-3.5</v>
      </c>
      <c r="M234" t="s">
        <v>9</v>
      </c>
      <c r="N234" t="s">
        <v>36</v>
      </c>
      <c r="O234" t="s">
        <v>33</v>
      </c>
      <c r="R234" t="s">
        <v>9</v>
      </c>
      <c r="U234" t="e">
        <f>VLOOKUP(A234,#REF!,6,FALSE)</f>
        <v>#REF!</v>
      </c>
    </row>
    <row r="235" spans="1:21" x14ac:dyDescent="0.25">
      <c r="A235">
        <v>901</v>
      </c>
      <c r="B235" s="9" t="s">
        <v>58</v>
      </c>
      <c r="C235" s="19" t="s">
        <v>157</v>
      </c>
      <c r="D235" s="6">
        <v>45449</v>
      </c>
      <c r="E235" s="7">
        <v>45449.840555555558</v>
      </c>
      <c r="F235" t="s">
        <v>68</v>
      </c>
      <c r="I235" t="s">
        <v>68</v>
      </c>
      <c r="J235" s="11"/>
      <c r="K235" s="11">
        <v>-146.19</v>
      </c>
      <c r="L235" s="4">
        <f t="shared" si="10"/>
        <v>-146.19</v>
      </c>
      <c r="M235" t="s">
        <v>9</v>
      </c>
      <c r="N235" t="s">
        <v>36</v>
      </c>
      <c r="O235" t="s">
        <v>33</v>
      </c>
      <c r="R235" t="s">
        <v>9</v>
      </c>
      <c r="U235" t="e">
        <f>VLOOKUP(A235,#REF!,6,FALSE)</f>
        <v>#REF!</v>
      </c>
    </row>
    <row r="236" spans="1:21" x14ac:dyDescent="0.25">
      <c r="A236">
        <v>902</v>
      </c>
      <c r="B236" s="9" t="s">
        <v>58</v>
      </c>
      <c r="C236" s="19" t="s">
        <v>157</v>
      </c>
      <c r="D236" s="6">
        <v>45450</v>
      </c>
      <c r="E236" s="7">
        <v>45450.127071759256</v>
      </c>
      <c r="F236" t="s">
        <v>197</v>
      </c>
      <c r="G236">
        <v>1960768</v>
      </c>
      <c r="H236" t="s">
        <v>52</v>
      </c>
      <c r="J236" s="11">
        <v>775</v>
      </c>
      <c r="K236" s="11"/>
      <c r="L236" s="4">
        <f t="shared" si="10"/>
        <v>775</v>
      </c>
      <c r="M236" t="s">
        <v>7</v>
      </c>
      <c r="N236" t="s">
        <v>37</v>
      </c>
      <c r="O236" t="s">
        <v>33</v>
      </c>
      <c r="R236" t="s">
        <v>7</v>
      </c>
      <c r="U236" t="e">
        <f>VLOOKUP(A236,#REF!,6,FALSE)</f>
        <v>#REF!</v>
      </c>
    </row>
    <row r="237" spans="1:21" x14ac:dyDescent="0.25">
      <c r="A237">
        <v>903</v>
      </c>
      <c r="B237" s="9" t="s">
        <v>58</v>
      </c>
      <c r="C237" s="19" t="s">
        <v>157</v>
      </c>
      <c r="D237" s="6">
        <v>45450</v>
      </c>
      <c r="E237" s="7">
        <v>45450.334027777775</v>
      </c>
      <c r="F237" t="s">
        <v>198</v>
      </c>
      <c r="I237" t="s">
        <v>198</v>
      </c>
      <c r="J237" s="11"/>
      <c r="K237" s="11">
        <v>-4.59</v>
      </c>
      <c r="L237" s="4">
        <f t="shared" si="10"/>
        <v>-4.59</v>
      </c>
      <c r="M237" t="s">
        <v>199</v>
      </c>
      <c r="N237" t="s">
        <v>36</v>
      </c>
      <c r="O237" t="s">
        <v>33</v>
      </c>
      <c r="R237" t="s">
        <v>451</v>
      </c>
      <c r="U237" t="e">
        <f>VLOOKUP(A237,#REF!,6,FALSE)</f>
        <v>#REF!</v>
      </c>
    </row>
    <row r="238" spans="1:21" x14ac:dyDescent="0.25">
      <c r="A238">
        <v>904</v>
      </c>
      <c r="B238" s="9" t="s">
        <v>58</v>
      </c>
      <c r="C238" s="19" t="s">
        <v>157</v>
      </c>
      <c r="D238" s="6">
        <v>45450</v>
      </c>
      <c r="E238" s="7">
        <v>45450.355810185189</v>
      </c>
      <c r="F238" t="s">
        <v>80</v>
      </c>
      <c r="I238" t="s">
        <v>80</v>
      </c>
      <c r="J238" s="11"/>
      <c r="K238" s="11">
        <v>-4.0999999999999996</v>
      </c>
      <c r="L238" s="4">
        <f t="shared" si="10"/>
        <v>-4.0999999999999996</v>
      </c>
      <c r="M238" t="s">
        <v>38</v>
      </c>
      <c r="N238" t="s">
        <v>36</v>
      </c>
      <c r="O238" t="s">
        <v>33</v>
      </c>
      <c r="R238" t="s">
        <v>61</v>
      </c>
      <c r="U238" t="e">
        <f>VLOOKUP(A238,#REF!,6,FALSE)</f>
        <v>#REF!</v>
      </c>
    </row>
    <row r="239" spans="1:21" x14ac:dyDescent="0.25">
      <c r="A239">
        <v>905</v>
      </c>
      <c r="B239" s="9" t="s">
        <v>58</v>
      </c>
      <c r="C239" s="19" t="s">
        <v>157</v>
      </c>
      <c r="D239" s="6">
        <v>45451</v>
      </c>
      <c r="E239" s="7">
        <v>45451.143761574072</v>
      </c>
      <c r="F239" t="s">
        <v>18</v>
      </c>
      <c r="I239" t="s">
        <v>18</v>
      </c>
      <c r="J239" s="11"/>
      <c r="K239" s="11">
        <v>-11.95</v>
      </c>
      <c r="L239" s="4">
        <f t="shared" si="10"/>
        <v>-11.95</v>
      </c>
      <c r="M239" t="s">
        <v>9</v>
      </c>
      <c r="N239" t="s">
        <v>36</v>
      </c>
      <c r="O239" t="s">
        <v>33</v>
      </c>
      <c r="R239" t="s">
        <v>9</v>
      </c>
      <c r="U239" t="e">
        <f>VLOOKUP(A239,#REF!,6,FALSE)</f>
        <v>#REF!</v>
      </c>
    </row>
    <row r="240" spans="1:21" x14ac:dyDescent="0.25">
      <c r="A240">
        <v>906</v>
      </c>
      <c r="B240" s="9" t="s">
        <v>58</v>
      </c>
      <c r="C240" s="19" t="s">
        <v>157</v>
      </c>
      <c r="D240" s="6">
        <v>45451</v>
      </c>
      <c r="E240" s="7">
        <v>45451.367800925924</v>
      </c>
      <c r="F240" t="s">
        <v>153</v>
      </c>
      <c r="I240" t="s">
        <v>153</v>
      </c>
      <c r="J240" s="11"/>
      <c r="K240" s="11">
        <v>-4.0999999999999996</v>
      </c>
      <c r="L240" s="4">
        <f t="shared" si="10"/>
        <v>-4.0999999999999996</v>
      </c>
      <c r="M240" t="s">
        <v>38</v>
      </c>
      <c r="N240" t="s">
        <v>36</v>
      </c>
      <c r="O240" t="s">
        <v>33</v>
      </c>
      <c r="R240" t="s">
        <v>61</v>
      </c>
      <c r="U240" t="e">
        <f>VLOOKUP(A240,#REF!,6,FALSE)</f>
        <v>#REF!</v>
      </c>
    </row>
    <row r="241" spans="1:21" x14ac:dyDescent="0.25">
      <c r="A241">
        <v>907</v>
      </c>
      <c r="B241" s="9" t="s">
        <v>58</v>
      </c>
      <c r="C241" s="19" t="s">
        <v>157</v>
      </c>
      <c r="D241" s="6">
        <v>45451</v>
      </c>
      <c r="E241" s="7">
        <v>45451.533159722225</v>
      </c>
      <c r="F241" t="s">
        <v>200</v>
      </c>
      <c r="I241" t="s">
        <v>200</v>
      </c>
      <c r="J241" s="11"/>
      <c r="K241" s="11">
        <v>-3.2</v>
      </c>
      <c r="L241" s="4">
        <f t="shared" si="10"/>
        <v>-3.2</v>
      </c>
      <c r="M241" t="s">
        <v>44</v>
      </c>
      <c r="N241" t="s">
        <v>36</v>
      </c>
      <c r="O241" t="s">
        <v>33</v>
      </c>
      <c r="R241" t="s">
        <v>11</v>
      </c>
      <c r="U241" t="e">
        <f>VLOOKUP(A241,#REF!,6,FALSE)</f>
        <v>#REF!</v>
      </c>
    </row>
    <row r="242" spans="1:21" x14ac:dyDescent="0.25">
      <c r="A242">
        <v>908</v>
      </c>
      <c r="B242" s="9" t="s">
        <v>58</v>
      </c>
      <c r="C242" s="19" t="s">
        <v>157</v>
      </c>
      <c r="D242" s="6">
        <v>45451</v>
      </c>
      <c r="E242" s="7">
        <v>45451.544016203705</v>
      </c>
      <c r="F242" t="s">
        <v>201</v>
      </c>
      <c r="I242" t="s">
        <v>201</v>
      </c>
      <c r="J242" s="11"/>
      <c r="K242" s="11">
        <v>-2</v>
      </c>
      <c r="L242" s="4">
        <f t="shared" si="10"/>
        <v>-2</v>
      </c>
      <c r="M242" t="s">
        <v>38</v>
      </c>
      <c r="N242" t="s">
        <v>36</v>
      </c>
      <c r="O242" t="s">
        <v>33</v>
      </c>
      <c r="P242" t="s">
        <v>48</v>
      </c>
      <c r="R242" t="s">
        <v>61</v>
      </c>
      <c r="U242" t="e">
        <f>VLOOKUP(A242,#REF!,6,FALSE)</f>
        <v>#REF!</v>
      </c>
    </row>
    <row r="243" spans="1:21" x14ac:dyDescent="0.25">
      <c r="A243">
        <v>909</v>
      </c>
      <c r="B243" s="9" t="s">
        <v>58</v>
      </c>
      <c r="C243" s="19" t="s">
        <v>157</v>
      </c>
      <c r="D243" s="6">
        <v>45452</v>
      </c>
      <c r="E243" s="7">
        <v>45452.534710648149</v>
      </c>
      <c r="F243" t="s">
        <v>18</v>
      </c>
      <c r="I243" t="s">
        <v>18</v>
      </c>
      <c r="J243" s="11"/>
      <c r="K243" s="11">
        <v>-3.8</v>
      </c>
      <c r="L243" s="4">
        <f t="shared" si="10"/>
        <v>-3.8</v>
      </c>
      <c r="M243" t="s">
        <v>9</v>
      </c>
      <c r="N243" t="s">
        <v>36</v>
      </c>
      <c r="O243" t="s">
        <v>33</v>
      </c>
      <c r="R243" t="s">
        <v>9</v>
      </c>
      <c r="U243" t="e">
        <f>VLOOKUP(A243,#REF!,6,FALSE)</f>
        <v>#REF!</v>
      </c>
    </row>
    <row r="244" spans="1:21" x14ac:dyDescent="0.25">
      <c r="A244">
        <v>910</v>
      </c>
      <c r="B244" s="9" t="s">
        <v>58</v>
      </c>
      <c r="C244" s="19" t="s">
        <v>157</v>
      </c>
      <c r="D244" s="6">
        <v>45453</v>
      </c>
      <c r="E244" s="7">
        <v>45453.428148148145</v>
      </c>
      <c r="F244" t="s">
        <v>18</v>
      </c>
      <c r="I244" t="s">
        <v>18</v>
      </c>
      <c r="J244" s="11"/>
      <c r="K244" s="11">
        <v>-10</v>
      </c>
      <c r="L244" s="4">
        <f t="shared" si="10"/>
        <v>-10</v>
      </c>
      <c r="M244" t="s">
        <v>9</v>
      </c>
      <c r="N244" t="s">
        <v>36</v>
      </c>
      <c r="O244" t="s">
        <v>33</v>
      </c>
      <c r="R244" t="s">
        <v>9</v>
      </c>
      <c r="U244" t="e">
        <f>VLOOKUP(A244,#REF!,6,FALSE)</f>
        <v>#REF!</v>
      </c>
    </row>
    <row r="245" spans="1:21" x14ac:dyDescent="0.25">
      <c r="A245">
        <v>911</v>
      </c>
      <c r="B245" s="9" t="s">
        <v>58</v>
      </c>
      <c r="C245" s="19" t="s">
        <v>157</v>
      </c>
      <c r="D245" s="6">
        <v>45453</v>
      </c>
      <c r="E245" s="7">
        <v>45453.612627314818</v>
      </c>
      <c r="F245" t="s">
        <v>202</v>
      </c>
      <c r="I245" t="s">
        <v>202</v>
      </c>
      <c r="J245" s="11"/>
      <c r="K245" s="11">
        <v>-6</v>
      </c>
      <c r="L245" s="4">
        <f t="shared" si="10"/>
        <v>-6</v>
      </c>
      <c r="N245" t="s">
        <v>36</v>
      </c>
      <c r="O245" t="s">
        <v>33</v>
      </c>
      <c r="R245" t="s">
        <v>61</v>
      </c>
      <c r="U245" t="e">
        <f>VLOOKUP(A245,#REF!,6,FALSE)</f>
        <v>#REF!</v>
      </c>
    </row>
    <row r="246" spans="1:21" x14ac:dyDescent="0.25">
      <c r="A246">
        <v>1264</v>
      </c>
      <c r="B246" s="9" t="s">
        <v>58</v>
      </c>
      <c r="C246" s="19" t="s">
        <v>157</v>
      </c>
      <c r="D246" s="6">
        <v>45663</v>
      </c>
      <c r="E246" s="7">
        <v>45663.346261574072</v>
      </c>
      <c r="F246" t="s">
        <v>403</v>
      </c>
      <c r="I246" t="s">
        <v>403</v>
      </c>
      <c r="J246" s="11"/>
      <c r="K246" s="11">
        <v>-2.65</v>
      </c>
      <c r="L246" s="4">
        <f t="shared" si="10"/>
        <v>-2.65</v>
      </c>
      <c r="M246" t="s">
        <v>47</v>
      </c>
      <c r="N246" t="s">
        <v>36</v>
      </c>
      <c r="O246" t="s">
        <v>33</v>
      </c>
      <c r="R246" t="s">
        <v>462</v>
      </c>
      <c r="U246" t="e">
        <f>VLOOKUP(A246,#REF!,6,FALSE)</f>
        <v>#REF!</v>
      </c>
    </row>
    <row r="247" spans="1:21" x14ac:dyDescent="0.25">
      <c r="A247">
        <v>913</v>
      </c>
      <c r="B247" s="9" t="s">
        <v>58</v>
      </c>
      <c r="C247" s="19" t="s">
        <v>157</v>
      </c>
      <c r="D247" s="6">
        <v>45454</v>
      </c>
      <c r="E247" s="7">
        <v>45454.134236111109</v>
      </c>
      <c r="F247" t="s">
        <v>18</v>
      </c>
      <c r="I247" t="s">
        <v>18</v>
      </c>
      <c r="J247" s="11"/>
      <c r="K247" s="11">
        <v>-3.5</v>
      </c>
      <c r="L247" s="4">
        <f t="shared" si="10"/>
        <v>-3.5</v>
      </c>
      <c r="M247" t="s">
        <v>9</v>
      </c>
      <c r="N247" t="s">
        <v>36</v>
      </c>
      <c r="O247" t="s">
        <v>33</v>
      </c>
      <c r="R247" t="s">
        <v>9</v>
      </c>
      <c r="U247" t="e">
        <f>VLOOKUP(A247,#REF!,6,FALSE)</f>
        <v>#REF!</v>
      </c>
    </row>
    <row r="248" spans="1:21" x14ac:dyDescent="0.25">
      <c r="A248">
        <v>914</v>
      </c>
      <c r="B248" s="9" t="s">
        <v>58</v>
      </c>
      <c r="C248" s="19" t="s">
        <v>157</v>
      </c>
      <c r="D248" s="6">
        <v>45455</v>
      </c>
      <c r="E248" s="7">
        <v>45455.129664351851</v>
      </c>
      <c r="F248" t="s">
        <v>203</v>
      </c>
      <c r="G248">
        <v>1961233</v>
      </c>
      <c r="H248" t="s">
        <v>52</v>
      </c>
      <c r="J248" s="11">
        <v>375</v>
      </c>
      <c r="K248" s="11"/>
      <c r="L248" s="4">
        <f t="shared" si="10"/>
        <v>375</v>
      </c>
      <c r="M248" t="s">
        <v>7</v>
      </c>
      <c r="N248" t="s">
        <v>37</v>
      </c>
      <c r="O248" t="s">
        <v>33</v>
      </c>
      <c r="R248" t="s">
        <v>7</v>
      </c>
      <c r="U248" t="e">
        <f>VLOOKUP(A248,#REF!,6,FALSE)</f>
        <v>#REF!</v>
      </c>
    </row>
    <row r="249" spans="1:21" x14ac:dyDescent="0.25">
      <c r="A249">
        <v>915</v>
      </c>
      <c r="B249" s="9" t="s">
        <v>58</v>
      </c>
      <c r="C249" s="19" t="s">
        <v>157</v>
      </c>
      <c r="D249" s="6">
        <v>45455</v>
      </c>
      <c r="E249" s="7">
        <v>45455.566689814812</v>
      </c>
      <c r="F249" t="s">
        <v>18</v>
      </c>
      <c r="I249" t="s">
        <v>18</v>
      </c>
      <c r="J249" s="11"/>
      <c r="K249" s="11">
        <v>-7.35</v>
      </c>
      <c r="L249" s="4">
        <f t="shared" si="10"/>
        <v>-7.35</v>
      </c>
      <c r="M249" t="s">
        <v>9</v>
      </c>
      <c r="N249" t="s">
        <v>36</v>
      </c>
      <c r="O249" t="s">
        <v>33</v>
      </c>
      <c r="R249" t="s">
        <v>9</v>
      </c>
      <c r="U249" t="e">
        <f>VLOOKUP(A249,#REF!,6,FALSE)</f>
        <v>#REF!</v>
      </c>
    </row>
    <row r="250" spans="1:21" x14ac:dyDescent="0.25">
      <c r="A250">
        <v>916</v>
      </c>
      <c r="B250" s="9" t="s">
        <v>58</v>
      </c>
      <c r="C250" s="19" t="s">
        <v>157</v>
      </c>
      <c r="D250" s="6">
        <v>45455</v>
      </c>
      <c r="E250" s="7">
        <v>45455.576307870368</v>
      </c>
      <c r="F250" t="s">
        <v>204</v>
      </c>
      <c r="G250" t="s">
        <v>205</v>
      </c>
      <c r="I250" t="s">
        <v>31</v>
      </c>
      <c r="J250" s="11"/>
      <c r="K250" s="11">
        <v>-3000</v>
      </c>
      <c r="L250" s="4">
        <f t="shared" si="10"/>
        <v>-3000</v>
      </c>
      <c r="N250" t="s">
        <v>32</v>
      </c>
      <c r="O250" t="s">
        <v>33</v>
      </c>
      <c r="R250" t="s">
        <v>6</v>
      </c>
      <c r="U250" t="e">
        <f>VLOOKUP(A250,#REF!,6,FALSE)</f>
        <v>#REF!</v>
      </c>
    </row>
    <row r="251" spans="1:21" x14ac:dyDescent="0.25">
      <c r="A251">
        <v>917</v>
      </c>
      <c r="B251" s="9" t="s">
        <v>58</v>
      </c>
      <c r="C251" s="19" t="s">
        <v>157</v>
      </c>
      <c r="D251" s="6">
        <v>45457</v>
      </c>
      <c r="E251" s="7">
        <v>45457.570856481485</v>
      </c>
      <c r="F251" t="s">
        <v>206</v>
      </c>
      <c r="I251" t="s">
        <v>206</v>
      </c>
      <c r="J251" s="11"/>
      <c r="K251" s="11">
        <v>-2.85</v>
      </c>
      <c r="L251" s="4">
        <f t="shared" si="10"/>
        <v>-2.85</v>
      </c>
      <c r="M251" t="s">
        <v>44</v>
      </c>
      <c r="N251" t="s">
        <v>36</v>
      </c>
      <c r="O251" t="s">
        <v>33</v>
      </c>
      <c r="R251" t="s">
        <v>11</v>
      </c>
      <c r="U251" t="e">
        <f>VLOOKUP(A251,#REF!,6,FALSE)</f>
        <v>#REF!</v>
      </c>
    </row>
    <row r="252" spans="1:21" x14ac:dyDescent="0.25">
      <c r="A252">
        <v>918</v>
      </c>
      <c r="B252" s="9" t="s">
        <v>58</v>
      </c>
      <c r="C252" s="19" t="s">
        <v>157</v>
      </c>
      <c r="D252" s="6">
        <v>45458</v>
      </c>
      <c r="E252" s="7">
        <v>45458.389791666668</v>
      </c>
      <c r="F252" t="s">
        <v>207</v>
      </c>
      <c r="I252" t="s">
        <v>207</v>
      </c>
      <c r="J252" s="11"/>
      <c r="K252" s="11">
        <v>-3.95</v>
      </c>
      <c r="L252" s="4">
        <f t="shared" si="10"/>
        <v>-3.95</v>
      </c>
      <c r="M252" t="s">
        <v>38</v>
      </c>
      <c r="N252" t="s">
        <v>36</v>
      </c>
      <c r="O252" t="s">
        <v>33</v>
      </c>
      <c r="R252" t="s">
        <v>61</v>
      </c>
      <c r="U252" t="e">
        <f>VLOOKUP(A252,#REF!,6,FALSE)</f>
        <v>#REF!</v>
      </c>
    </row>
    <row r="253" spans="1:21" x14ac:dyDescent="0.25">
      <c r="A253">
        <v>919</v>
      </c>
      <c r="B253" s="9" t="s">
        <v>58</v>
      </c>
      <c r="C253" s="19" t="s">
        <v>157</v>
      </c>
      <c r="D253" s="6">
        <v>45458</v>
      </c>
      <c r="E253" s="7">
        <v>45458.545902777776</v>
      </c>
      <c r="F253" t="s">
        <v>208</v>
      </c>
      <c r="I253" t="s">
        <v>208</v>
      </c>
      <c r="J253" s="11"/>
      <c r="K253" s="11">
        <v>-5.36</v>
      </c>
      <c r="L253" s="4">
        <f t="shared" si="10"/>
        <v>-5.36</v>
      </c>
      <c r="N253" t="s">
        <v>36</v>
      </c>
      <c r="O253" t="s">
        <v>33</v>
      </c>
      <c r="R253" t="s">
        <v>61</v>
      </c>
      <c r="U253" t="e">
        <f>VLOOKUP(A253,#REF!,6,FALSE)</f>
        <v>#REF!</v>
      </c>
    </row>
    <row r="254" spans="1:21" x14ac:dyDescent="0.25">
      <c r="A254">
        <v>920</v>
      </c>
      <c r="B254" s="9" t="s">
        <v>58</v>
      </c>
      <c r="C254" s="19" t="s">
        <v>157</v>
      </c>
      <c r="D254" s="6">
        <v>45459</v>
      </c>
      <c r="E254" s="7">
        <v>45459.128587962965</v>
      </c>
      <c r="F254" t="s">
        <v>18</v>
      </c>
      <c r="I254" t="s">
        <v>18</v>
      </c>
      <c r="J254" s="11"/>
      <c r="K254" s="11">
        <v>-12.3</v>
      </c>
      <c r="L254" s="4">
        <f t="shared" si="10"/>
        <v>-12.3</v>
      </c>
      <c r="M254" t="s">
        <v>9</v>
      </c>
      <c r="N254" t="s">
        <v>36</v>
      </c>
      <c r="O254" t="s">
        <v>33</v>
      </c>
      <c r="R254" t="s">
        <v>9</v>
      </c>
      <c r="U254" t="e">
        <f>VLOOKUP(A254,#REF!,6,FALSE)</f>
        <v>#REF!</v>
      </c>
    </row>
    <row r="255" spans="1:21" x14ac:dyDescent="0.25">
      <c r="A255">
        <v>921</v>
      </c>
      <c r="B255" s="9" t="s">
        <v>58</v>
      </c>
      <c r="C255" s="19" t="s">
        <v>157</v>
      </c>
      <c r="D255" s="6">
        <v>45459</v>
      </c>
      <c r="E255" s="7">
        <v>45459.414155092592</v>
      </c>
      <c r="F255" t="s">
        <v>126</v>
      </c>
      <c r="I255" t="s">
        <v>126</v>
      </c>
      <c r="J255" s="11"/>
      <c r="K255" s="11">
        <v>-9.3000000000000007</v>
      </c>
      <c r="L255" s="4">
        <f t="shared" si="10"/>
        <v>-9.3000000000000007</v>
      </c>
      <c r="M255" t="s">
        <v>38</v>
      </c>
      <c r="N255" t="s">
        <v>36</v>
      </c>
      <c r="O255" t="s">
        <v>33</v>
      </c>
      <c r="R255" t="s">
        <v>61</v>
      </c>
      <c r="U255" t="e">
        <f>VLOOKUP(A255,#REF!,6,FALSE)</f>
        <v>#REF!</v>
      </c>
    </row>
    <row r="256" spans="1:21" x14ac:dyDescent="0.25">
      <c r="A256">
        <v>922</v>
      </c>
      <c r="B256" s="9" t="s">
        <v>58</v>
      </c>
      <c r="C256" s="19" t="s">
        <v>157</v>
      </c>
      <c r="D256" s="6">
        <v>45460</v>
      </c>
      <c r="E256" s="7">
        <v>45460.353865740741</v>
      </c>
      <c r="F256" t="s">
        <v>18</v>
      </c>
      <c r="I256" t="s">
        <v>18</v>
      </c>
      <c r="J256" s="11"/>
      <c r="K256" s="11">
        <v>-14.6</v>
      </c>
      <c r="L256" s="4">
        <f t="shared" si="10"/>
        <v>-14.6</v>
      </c>
      <c r="M256" t="s">
        <v>9</v>
      </c>
      <c r="N256" t="s">
        <v>36</v>
      </c>
      <c r="O256" t="s">
        <v>33</v>
      </c>
      <c r="R256" t="s">
        <v>9</v>
      </c>
      <c r="U256" t="e">
        <f>VLOOKUP(A256,#REF!,6,FALSE)</f>
        <v>#REF!</v>
      </c>
    </row>
    <row r="257" spans="1:21" x14ac:dyDescent="0.25">
      <c r="A257">
        <v>923</v>
      </c>
      <c r="B257" s="9" t="s">
        <v>58</v>
      </c>
      <c r="C257" s="19" t="s">
        <v>157</v>
      </c>
      <c r="D257" s="6">
        <v>45460</v>
      </c>
      <c r="E257" s="7">
        <v>45460.378530092596</v>
      </c>
      <c r="F257" t="s">
        <v>134</v>
      </c>
      <c r="I257" t="s">
        <v>134</v>
      </c>
      <c r="J257" s="11"/>
      <c r="K257" s="11">
        <v>-5.75</v>
      </c>
      <c r="L257" s="4">
        <f t="shared" si="10"/>
        <v>-5.75</v>
      </c>
      <c r="N257" t="s">
        <v>36</v>
      </c>
      <c r="O257" t="s">
        <v>33</v>
      </c>
      <c r="R257" t="s">
        <v>61</v>
      </c>
      <c r="U257" t="e">
        <f>VLOOKUP(A257,#REF!,6,FALSE)</f>
        <v>#REF!</v>
      </c>
    </row>
    <row r="258" spans="1:21" x14ac:dyDescent="0.25">
      <c r="A258">
        <v>924</v>
      </c>
      <c r="B258" s="9" t="s">
        <v>58</v>
      </c>
      <c r="C258" s="19" t="s">
        <v>157</v>
      </c>
      <c r="D258" s="6">
        <v>45460</v>
      </c>
      <c r="E258" s="7">
        <v>45460.414479166669</v>
      </c>
      <c r="F258" t="s">
        <v>73</v>
      </c>
      <c r="I258" t="s">
        <v>73</v>
      </c>
      <c r="J258" s="11"/>
      <c r="K258" s="11">
        <v>-4.5999999999999996</v>
      </c>
      <c r="L258" s="4">
        <f t="shared" si="10"/>
        <v>-4.5999999999999996</v>
      </c>
      <c r="M258" t="s">
        <v>38</v>
      </c>
      <c r="N258" t="s">
        <v>36</v>
      </c>
      <c r="O258" t="s">
        <v>33</v>
      </c>
      <c r="R258" t="s">
        <v>61</v>
      </c>
      <c r="U258" t="e">
        <f>VLOOKUP(A258,#REF!,6,FALSE)</f>
        <v>#REF!</v>
      </c>
    </row>
    <row r="259" spans="1:21" x14ac:dyDescent="0.25">
      <c r="A259">
        <v>925</v>
      </c>
      <c r="B259" s="9" t="s">
        <v>58</v>
      </c>
      <c r="C259" s="19" t="s">
        <v>157</v>
      </c>
      <c r="D259" s="6">
        <v>45461</v>
      </c>
      <c r="E259" s="7">
        <v>45461.138622685183</v>
      </c>
      <c r="F259" t="s">
        <v>18</v>
      </c>
      <c r="I259" t="s">
        <v>18</v>
      </c>
      <c r="J259" s="11"/>
      <c r="K259" s="11">
        <v>-13.4</v>
      </c>
      <c r="L259" s="4">
        <f t="shared" si="10"/>
        <v>-13.4</v>
      </c>
      <c r="M259" t="s">
        <v>9</v>
      </c>
      <c r="N259" t="s">
        <v>36</v>
      </c>
      <c r="O259" t="s">
        <v>33</v>
      </c>
      <c r="R259" t="s">
        <v>9</v>
      </c>
      <c r="U259" t="e">
        <f>VLOOKUP(A259,#REF!,6,FALSE)</f>
        <v>#REF!</v>
      </c>
    </row>
    <row r="260" spans="1:21" x14ac:dyDescent="0.25">
      <c r="A260">
        <v>926</v>
      </c>
      <c r="B260" s="9" t="s">
        <v>58</v>
      </c>
      <c r="C260" s="19" t="s">
        <v>157</v>
      </c>
      <c r="D260" s="6">
        <v>45461</v>
      </c>
      <c r="E260" s="7">
        <v>45461.440150462964</v>
      </c>
      <c r="F260" t="s">
        <v>68</v>
      </c>
      <c r="I260" t="s">
        <v>68</v>
      </c>
      <c r="J260" s="11"/>
      <c r="K260" s="11">
        <v>-143.4</v>
      </c>
      <c r="L260" s="4">
        <f t="shared" si="10"/>
        <v>-143.4</v>
      </c>
      <c r="M260" t="s">
        <v>9</v>
      </c>
      <c r="N260" t="s">
        <v>36</v>
      </c>
      <c r="O260" t="s">
        <v>33</v>
      </c>
      <c r="R260" t="s">
        <v>9</v>
      </c>
      <c r="U260" t="e">
        <f>VLOOKUP(A260,#REF!,6,FALSE)</f>
        <v>#REF!</v>
      </c>
    </row>
    <row r="261" spans="1:21" x14ac:dyDescent="0.25">
      <c r="A261">
        <v>927</v>
      </c>
      <c r="B261" s="9" t="s">
        <v>58</v>
      </c>
      <c r="C261" s="19" t="s">
        <v>157</v>
      </c>
      <c r="D261" s="6">
        <v>45461</v>
      </c>
      <c r="E261" s="7">
        <v>45461.484039351853</v>
      </c>
      <c r="F261" t="s">
        <v>209</v>
      </c>
      <c r="I261" t="s">
        <v>209</v>
      </c>
      <c r="J261" s="11"/>
      <c r="K261" s="11">
        <v>-4.0999999999999996</v>
      </c>
      <c r="L261" s="4">
        <f t="shared" si="10"/>
        <v>-4.0999999999999996</v>
      </c>
      <c r="M261" t="s">
        <v>38</v>
      </c>
      <c r="N261" t="s">
        <v>36</v>
      </c>
      <c r="O261" t="s">
        <v>33</v>
      </c>
      <c r="R261" t="s">
        <v>61</v>
      </c>
      <c r="U261" t="e">
        <f>VLOOKUP(A261,#REF!,6,FALSE)</f>
        <v>#REF!</v>
      </c>
    </row>
    <row r="262" spans="1:21" x14ac:dyDescent="0.25">
      <c r="A262">
        <v>928</v>
      </c>
      <c r="B262" s="9" t="s">
        <v>58</v>
      </c>
      <c r="C262" s="19" t="s">
        <v>157</v>
      </c>
      <c r="D262" s="6">
        <v>45461</v>
      </c>
      <c r="E262" s="7">
        <v>45461.663206018522</v>
      </c>
      <c r="F262" t="s">
        <v>210</v>
      </c>
      <c r="G262" t="s">
        <v>210</v>
      </c>
      <c r="J262" s="11"/>
      <c r="K262" s="11">
        <v>-2.8</v>
      </c>
      <c r="L262" s="4">
        <f t="shared" si="10"/>
        <v>-2.8</v>
      </c>
      <c r="M262" t="s">
        <v>186</v>
      </c>
      <c r="N262" t="s">
        <v>17</v>
      </c>
      <c r="O262" t="s">
        <v>33</v>
      </c>
      <c r="R262" s="3" t="s">
        <v>63</v>
      </c>
      <c r="U262" t="e">
        <f>VLOOKUP(A262,#REF!,6,FALSE)</f>
        <v>#REF!</v>
      </c>
    </row>
    <row r="263" spans="1:21" x14ac:dyDescent="0.25">
      <c r="A263">
        <v>700</v>
      </c>
      <c r="B263" s="9" t="s">
        <v>58</v>
      </c>
      <c r="C263" s="19" t="s">
        <v>157</v>
      </c>
      <c r="D263" s="6">
        <v>45363</v>
      </c>
      <c r="E263" s="7">
        <v>45363.336111111108</v>
      </c>
      <c r="F263" t="s">
        <v>78</v>
      </c>
      <c r="J263" s="11"/>
      <c r="K263" s="11">
        <v>-18.3</v>
      </c>
      <c r="L263" s="4">
        <f t="shared" si="10"/>
        <v>-18.3</v>
      </c>
      <c r="N263" t="s">
        <v>36</v>
      </c>
      <c r="O263" t="s">
        <v>33</v>
      </c>
      <c r="Q263" s="5">
        <f>Q262+L263</f>
        <v>-18.3</v>
      </c>
      <c r="R263" t="s">
        <v>10</v>
      </c>
      <c r="T263" t="s">
        <v>78</v>
      </c>
      <c r="U263" t="e">
        <f>VLOOKUP(A263,#REF!,6,FALSE)</f>
        <v>#REF!</v>
      </c>
    </row>
    <row r="264" spans="1:21" x14ac:dyDescent="0.25">
      <c r="A264">
        <v>930</v>
      </c>
      <c r="B264" s="9" t="s">
        <v>58</v>
      </c>
      <c r="C264" s="19" t="s">
        <v>157</v>
      </c>
      <c r="D264" s="6">
        <v>45461</v>
      </c>
      <c r="E264" s="7">
        <v>45461.814976851849</v>
      </c>
      <c r="F264" t="s">
        <v>212</v>
      </c>
      <c r="I264" t="s">
        <v>212</v>
      </c>
      <c r="J264" s="11"/>
      <c r="K264" s="11">
        <v>-14.85</v>
      </c>
      <c r="L264" s="4">
        <f t="shared" si="10"/>
        <v>-14.85</v>
      </c>
      <c r="N264" t="s">
        <v>36</v>
      </c>
      <c r="O264" t="s">
        <v>33</v>
      </c>
      <c r="R264" t="s">
        <v>61</v>
      </c>
      <c r="U264" t="e">
        <f>VLOOKUP(A264,#REF!,6,FALSE)</f>
        <v>#REF!</v>
      </c>
    </row>
    <row r="265" spans="1:21" x14ac:dyDescent="0.25">
      <c r="A265">
        <v>931</v>
      </c>
      <c r="B265" s="9" t="s">
        <v>58</v>
      </c>
      <c r="C265" s="19" t="s">
        <v>157</v>
      </c>
      <c r="D265" s="6">
        <v>45462</v>
      </c>
      <c r="E265" s="7">
        <v>45462.558854166666</v>
      </c>
      <c r="F265" t="s">
        <v>213</v>
      </c>
      <c r="I265" t="s">
        <v>213</v>
      </c>
      <c r="J265" s="11"/>
      <c r="K265" s="11">
        <v>-2.85</v>
      </c>
      <c r="L265" s="4">
        <f t="shared" si="10"/>
        <v>-2.85</v>
      </c>
      <c r="N265" t="s">
        <v>36</v>
      </c>
      <c r="O265" t="s">
        <v>33</v>
      </c>
      <c r="R265" t="s">
        <v>61</v>
      </c>
      <c r="U265" t="e">
        <f>VLOOKUP(A265,#REF!,6,FALSE)</f>
        <v>#REF!</v>
      </c>
    </row>
    <row r="266" spans="1:21" x14ac:dyDescent="0.25">
      <c r="A266">
        <v>932</v>
      </c>
      <c r="B266" s="9" t="s">
        <v>58</v>
      </c>
      <c r="C266" s="19" t="s">
        <v>157</v>
      </c>
      <c r="D266" s="6">
        <v>45462</v>
      </c>
      <c r="E266" s="7">
        <v>45462.565879629627</v>
      </c>
      <c r="F266" t="s">
        <v>214</v>
      </c>
      <c r="I266" t="s">
        <v>214</v>
      </c>
      <c r="J266" s="11"/>
      <c r="K266" s="11">
        <v>-2.5</v>
      </c>
      <c r="L266" s="4">
        <f t="shared" si="10"/>
        <v>-2.5</v>
      </c>
      <c r="N266" t="s">
        <v>36</v>
      </c>
      <c r="O266" t="s">
        <v>33</v>
      </c>
      <c r="R266" t="s">
        <v>61</v>
      </c>
      <c r="U266" t="e">
        <f>VLOOKUP(A266,#REF!,6,FALSE)</f>
        <v>#REF!</v>
      </c>
    </row>
    <row r="267" spans="1:21" x14ac:dyDescent="0.25">
      <c r="A267">
        <v>933</v>
      </c>
      <c r="B267" s="9" t="s">
        <v>58</v>
      </c>
      <c r="C267" s="19" t="s">
        <v>157</v>
      </c>
      <c r="D267" s="6">
        <v>45462</v>
      </c>
      <c r="E267" s="7">
        <v>45462.569467592592</v>
      </c>
      <c r="F267" t="s">
        <v>215</v>
      </c>
      <c r="I267" t="s">
        <v>215</v>
      </c>
      <c r="J267" s="11"/>
      <c r="K267" s="11">
        <v>-3.6</v>
      </c>
      <c r="L267" s="4">
        <f t="shared" ref="L267:L330" si="11">J267+K267</f>
        <v>-3.6</v>
      </c>
      <c r="M267" t="s">
        <v>38</v>
      </c>
      <c r="N267" t="s">
        <v>36</v>
      </c>
      <c r="O267" t="s">
        <v>33</v>
      </c>
      <c r="R267" t="s">
        <v>61</v>
      </c>
      <c r="U267" t="e">
        <f>VLOOKUP(A267,#REF!,6,FALSE)</f>
        <v>#REF!</v>
      </c>
    </row>
    <row r="268" spans="1:21" x14ac:dyDescent="0.25">
      <c r="A268">
        <v>934</v>
      </c>
      <c r="B268" s="9" t="s">
        <v>58</v>
      </c>
      <c r="C268" s="19" t="s">
        <v>157</v>
      </c>
      <c r="D268" s="6">
        <v>45462</v>
      </c>
      <c r="E268" s="7">
        <v>45462.570439814815</v>
      </c>
      <c r="F268" t="s">
        <v>18</v>
      </c>
      <c r="I268" t="s">
        <v>18</v>
      </c>
      <c r="J268" s="11"/>
      <c r="K268" s="11">
        <v>-6.2</v>
      </c>
      <c r="L268" s="4">
        <f t="shared" si="11"/>
        <v>-6.2</v>
      </c>
      <c r="M268" t="s">
        <v>9</v>
      </c>
      <c r="N268" t="s">
        <v>36</v>
      </c>
      <c r="O268" t="s">
        <v>33</v>
      </c>
      <c r="R268" t="s">
        <v>9</v>
      </c>
      <c r="U268" t="e">
        <f>VLOOKUP(A268,#REF!,6,FALSE)</f>
        <v>#REF!</v>
      </c>
    </row>
    <row r="269" spans="1:21" x14ac:dyDescent="0.25">
      <c r="A269">
        <v>929</v>
      </c>
      <c r="B269" s="9" t="s">
        <v>58</v>
      </c>
      <c r="C269" s="19" t="s">
        <v>157</v>
      </c>
      <c r="D269" s="6">
        <v>45461</v>
      </c>
      <c r="E269" s="7">
        <v>45461.782916666663</v>
      </c>
      <c r="F269" t="s">
        <v>211</v>
      </c>
      <c r="I269" t="s">
        <v>211</v>
      </c>
      <c r="J269" s="11"/>
      <c r="K269" s="11">
        <v>-63.55</v>
      </c>
      <c r="L269" s="4">
        <f t="shared" si="11"/>
        <v>-63.55</v>
      </c>
      <c r="M269" t="s">
        <v>38</v>
      </c>
      <c r="N269" t="s">
        <v>36</v>
      </c>
      <c r="O269" t="s">
        <v>33</v>
      </c>
      <c r="R269" t="s">
        <v>159</v>
      </c>
      <c r="U269" t="e">
        <f>VLOOKUP(A269,#REF!,6,FALSE)</f>
        <v>#REF!</v>
      </c>
    </row>
    <row r="270" spans="1:21" x14ac:dyDescent="0.25">
      <c r="A270">
        <v>936</v>
      </c>
      <c r="B270" s="9" t="s">
        <v>58</v>
      </c>
      <c r="C270" s="19" t="s">
        <v>157</v>
      </c>
      <c r="D270" s="6">
        <v>45463</v>
      </c>
      <c r="E270" s="7">
        <v>45463.127326388887</v>
      </c>
      <c r="F270" t="s">
        <v>217</v>
      </c>
      <c r="G270" t="s">
        <v>218</v>
      </c>
      <c r="H270" t="s">
        <v>179</v>
      </c>
      <c r="J270" s="11">
        <v>450</v>
      </c>
      <c r="K270" s="11"/>
      <c r="L270" s="4">
        <f t="shared" si="11"/>
        <v>450</v>
      </c>
      <c r="M270" t="s">
        <v>7</v>
      </c>
      <c r="N270" t="s">
        <v>37</v>
      </c>
      <c r="O270" t="s">
        <v>33</v>
      </c>
      <c r="R270" t="s">
        <v>7</v>
      </c>
      <c r="U270" t="e">
        <f>VLOOKUP(A270,#REF!,6,FALSE)</f>
        <v>#REF!</v>
      </c>
    </row>
    <row r="271" spans="1:21" x14ac:dyDescent="0.25">
      <c r="A271">
        <v>937</v>
      </c>
      <c r="B271" s="9" t="s">
        <v>58</v>
      </c>
      <c r="C271" s="19" t="s">
        <v>157</v>
      </c>
      <c r="D271" s="6">
        <v>45463</v>
      </c>
      <c r="E271" s="7">
        <v>45463.351979166669</v>
      </c>
      <c r="F271" t="s">
        <v>219</v>
      </c>
      <c r="I271" t="s">
        <v>219</v>
      </c>
      <c r="J271" s="11"/>
      <c r="K271" s="11">
        <v>-3.95</v>
      </c>
      <c r="L271" s="4">
        <f t="shared" si="11"/>
        <v>-3.95</v>
      </c>
      <c r="M271" t="s">
        <v>38</v>
      </c>
      <c r="N271" t="s">
        <v>36</v>
      </c>
      <c r="O271" t="s">
        <v>33</v>
      </c>
      <c r="R271" t="s">
        <v>61</v>
      </c>
      <c r="U271" t="e">
        <f>VLOOKUP(A271,#REF!,6,FALSE)</f>
        <v>#REF!</v>
      </c>
    </row>
    <row r="272" spans="1:21" x14ac:dyDescent="0.25">
      <c r="A272">
        <v>938</v>
      </c>
      <c r="B272" s="9" t="s">
        <v>58</v>
      </c>
      <c r="C272" s="19" t="s">
        <v>157</v>
      </c>
      <c r="D272" s="6">
        <v>45463</v>
      </c>
      <c r="E272" s="7">
        <v>45463.479004629633</v>
      </c>
      <c r="F272" t="s">
        <v>220</v>
      </c>
      <c r="I272" t="s">
        <v>220</v>
      </c>
      <c r="J272" s="11"/>
      <c r="K272" s="11">
        <v>-3.3</v>
      </c>
      <c r="L272" s="4">
        <f t="shared" si="11"/>
        <v>-3.3</v>
      </c>
      <c r="M272" t="s">
        <v>38</v>
      </c>
      <c r="N272" t="s">
        <v>36</v>
      </c>
      <c r="O272" t="s">
        <v>33</v>
      </c>
      <c r="R272" t="s">
        <v>61</v>
      </c>
      <c r="U272" t="e">
        <f>VLOOKUP(A272,#REF!,6,FALSE)</f>
        <v>#REF!</v>
      </c>
    </row>
    <row r="273" spans="1:21" x14ac:dyDescent="0.25">
      <c r="A273">
        <v>939</v>
      </c>
      <c r="B273" s="9" t="s">
        <v>58</v>
      </c>
      <c r="C273" s="19" t="s">
        <v>157</v>
      </c>
      <c r="D273" s="6">
        <v>45463</v>
      </c>
      <c r="E273" s="7">
        <v>45463.548125000001</v>
      </c>
      <c r="F273" t="s">
        <v>221</v>
      </c>
      <c r="I273" t="s">
        <v>221</v>
      </c>
      <c r="J273" s="11"/>
      <c r="K273" s="11">
        <v>-5.97</v>
      </c>
      <c r="L273" s="4">
        <f t="shared" si="11"/>
        <v>-5.97</v>
      </c>
      <c r="N273" t="s">
        <v>36</v>
      </c>
      <c r="O273" t="s">
        <v>33</v>
      </c>
      <c r="R273" t="s">
        <v>61</v>
      </c>
      <c r="U273" t="e">
        <f>VLOOKUP(A273,#REF!,6,FALSE)</f>
        <v>#REF!</v>
      </c>
    </row>
    <row r="274" spans="1:21" x14ac:dyDescent="0.25">
      <c r="A274">
        <v>940</v>
      </c>
      <c r="B274" s="9" t="s">
        <v>58</v>
      </c>
      <c r="C274" s="19" t="s">
        <v>157</v>
      </c>
      <c r="D274" s="6">
        <v>45463</v>
      </c>
      <c r="E274" s="7">
        <v>45463.726273148146</v>
      </c>
      <c r="F274" t="s">
        <v>214</v>
      </c>
      <c r="I274" t="s">
        <v>214</v>
      </c>
      <c r="J274" s="11"/>
      <c r="K274" s="11">
        <v>-3.45</v>
      </c>
      <c r="L274" s="4">
        <f t="shared" si="11"/>
        <v>-3.45</v>
      </c>
      <c r="N274" t="s">
        <v>36</v>
      </c>
      <c r="O274" t="s">
        <v>33</v>
      </c>
      <c r="R274" t="s">
        <v>61</v>
      </c>
      <c r="U274" t="e">
        <f>VLOOKUP(A274,#REF!,6,FALSE)</f>
        <v>#REF!</v>
      </c>
    </row>
    <row r="275" spans="1:21" x14ac:dyDescent="0.25">
      <c r="A275">
        <v>941</v>
      </c>
      <c r="B275" s="9" t="s">
        <v>58</v>
      </c>
      <c r="C275" s="19" t="s">
        <v>157</v>
      </c>
      <c r="D275" s="6">
        <v>45464</v>
      </c>
      <c r="E275" s="7">
        <v>45464.10229166667</v>
      </c>
      <c r="F275" t="s">
        <v>222</v>
      </c>
      <c r="H275" t="s">
        <v>68</v>
      </c>
      <c r="J275" s="11">
        <v>138.4</v>
      </c>
      <c r="K275" s="11"/>
      <c r="L275" s="4">
        <f t="shared" si="11"/>
        <v>138.4</v>
      </c>
      <c r="M275" t="s">
        <v>9</v>
      </c>
      <c r="N275" t="s">
        <v>45</v>
      </c>
      <c r="O275" t="s">
        <v>33</v>
      </c>
      <c r="R275" t="s">
        <v>9</v>
      </c>
      <c r="U275" t="e">
        <f>VLOOKUP(A275,#REF!,6,FALSE)</f>
        <v>#REF!</v>
      </c>
    </row>
    <row r="276" spans="1:21" x14ac:dyDescent="0.25">
      <c r="A276">
        <v>942</v>
      </c>
      <c r="B276" s="9" t="s">
        <v>58</v>
      </c>
      <c r="C276" s="19" t="s">
        <v>157</v>
      </c>
      <c r="D276" s="6">
        <v>45464</v>
      </c>
      <c r="E276" s="7">
        <v>45464.12909722222</v>
      </c>
      <c r="F276" t="s">
        <v>223</v>
      </c>
      <c r="G276">
        <v>1962493</v>
      </c>
      <c r="H276" t="s">
        <v>52</v>
      </c>
      <c r="J276" s="11">
        <v>375</v>
      </c>
      <c r="K276" s="11"/>
      <c r="L276" s="4">
        <f t="shared" si="11"/>
        <v>375</v>
      </c>
      <c r="M276" t="s">
        <v>7</v>
      </c>
      <c r="N276" t="s">
        <v>37</v>
      </c>
      <c r="O276" t="s">
        <v>33</v>
      </c>
      <c r="R276" t="s">
        <v>7</v>
      </c>
      <c r="U276" t="e">
        <f>VLOOKUP(A276,#REF!,6,FALSE)</f>
        <v>#REF!</v>
      </c>
    </row>
    <row r="277" spans="1:21" x14ac:dyDescent="0.25">
      <c r="A277">
        <v>943</v>
      </c>
      <c r="B277" s="9" t="s">
        <v>58</v>
      </c>
      <c r="C277" s="19" t="s">
        <v>157</v>
      </c>
      <c r="D277" s="6">
        <v>45464</v>
      </c>
      <c r="E277" s="7">
        <v>45464.368136574078</v>
      </c>
      <c r="F277" t="s">
        <v>221</v>
      </c>
      <c r="I277" t="s">
        <v>221</v>
      </c>
      <c r="J277" s="11"/>
      <c r="K277" s="11">
        <v>-6.23</v>
      </c>
      <c r="L277" s="4">
        <f t="shared" si="11"/>
        <v>-6.23</v>
      </c>
      <c r="N277" t="s">
        <v>36</v>
      </c>
      <c r="O277" t="s">
        <v>33</v>
      </c>
      <c r="R277" t="s">
        <v>61</v>
      </c>
      <c r="U277" t="e">
        <f>VLOOKUP(A277,#REF!,6,FALSE)</f>
        <v>#REF!</v>
      </c>
    </row>
    <row r="278" spans="1:21" x14ac:dyDescent="0.25">
      <c r="A278">
        <v>944</v>
      </c>
      <c r="B278" s="9" t="s">
        <v>58</v>
      </c>
      <c r="C278" s="19" t="s">
        <v>157</v>
      </c>
      <c r="D278" s="6">
        <v>45464</v>
      </c>
      <c r="E278" s="7">
        <v>45464.444907407407</v>
      </c>
      <c r="F278" t="s">
        <v>224</v>
      </c>
      <c r="I278" t="s">
        <v>224</v>
      </c>
      <c r="J278" s="11"/>
      <c r="K278" s="11">
        <v>-10.99</v>
      </c>
      <c r="L278" s="4">
        <f t="shared" si="11"/>
        <v>-10.99</v>
      </c>
      <c r="M278" t="s">
        <v>44</v>
      </c>
      <c r="N278" t="s">
        <v>36</v>
      </c>
      <c r="O278" t="s">
        <v>33</v>
      </c>
      <c r="R278" t="s">
        <v>11</v>
      </c>
      <c r="U278" t="e">
        <f>VLOOKUP(A278,#REF!,6,FALSE)</f>
        <v>#REF!</v>
      </c>
    </row>
    <row r="279" spans="1:21" x14ac:dyDescent="0.25">
      <c r="A279">
        <v>945</v>
      </c>
      <c r="B279" s="9" t="s">
        <v>58</v>
      </c>
      <c r="C279" s="19" t="s">
        <v>157</v>
      </c>
      <c r="D279" s="6">
        <v>45464</v>
      </c>
      <c r="E279" s="7">
        <v>45464.659918981481</v>
      </c>
      <c r="F279" t="s">
        <v>219</v>
      </c>
      <c r="I279" t="s">
        <v>219</v>
      </c>
      <c r="J279" s="11"/>
      <c r="K279" s="11">
        <v>-3.95</v>
      </c>
      <c r="L279" s="4">
        <f t="shared" si="11"/>
        <v>-3.95</v>
      </c>
      <c r="M279" t="s">
        <v>38</v>
      </c>
      <c r="N279" t="s">
        <v>36</v>
      </c>
      <c r="O279" t="s">
        <v>33</v>
      </c>
      <c r="R279" t="s">
        <v>61</v>
      </c>
      <c r="U279" t="e">
        <f>VLOOKUP(A279,#REF!,6,FALSE)</f>
        <v>#REF!</v>
      </c>
    </row>
    <row r="280" spans="1:21" x14ac:dyDescent="0.25">
      <c r="A280">
        <v>946</v>
      </c>
      <c r="B280" s="9" t="s">
        <v>58</v>
      </c>
      <c r="C280" s="19" t="s">
        <v>157</v>
      </c>
      <c r="D280" s="6">
        <v>45464</v>
      </c>
      <c r="E280" s="7">
        <v>45464.928078703706</v>
      </c>
      <c r="F280" t="s">
        <v>225</v>
      </c>
      <c r="H280" t="s">
        <v>219</v>
      </c>
      <c r="J280" s="11">
        <v>3.95</v>
      </c>
      <c r="K280" s="11"/>
      <c r="L280" s="4">
        <f t="shared" si="11"/>
        <v>3.95</v>
      </c>
      <c r="M280" t="s">
        <v>38</v>
      </c>
      <c r="N280" t="s">
        <v>226</v>
      </c>
      <c r="O280" t="s">
        <v>33</v>
      </c>
      <c r="R280" t="s">
        <v>61</v>
      </c>
      <c r="U280" t="e">
        <f>VLOOKUP(A280,#REF!,6,FALSE)</f>
        <v>#REF!</v>
      </c>
    </row>
    <row r="281" spans="1:21" x14ac:dyDescent="0.25">
      <c r="A281">
        <v>947</v>
      </c>
      <c r="B281" s="9" t="s">
        <v>58</v>
      </c>
      <c r="C281" s="19" t="s">
        <v>157</v>
      </c>
      <c r="D281" s="6">
        <v>45464</v>
      </c>
      <c r="E281" s="7">
        <v>45464.962037037039</v>
      </c>
      <c r="F281" t="s">
        <v>227</v>
      </c>
      <c r="I281" t="s">
        <v>227</v>
      </c>
      <c r="J281" s="11"/>
      <c r="K281" s="11">
        <v>-23.4</v>
      </c>
      <c r="L281" s="4">
        <f t="shared" si="11"/>
        <v>-23.4</v>
      </c>
      <c r="M281" t="s">
        <v>9</v>
      </c>
      <c r="N281" t="s">
        <v>36</v>
      </c>
      <c r="O281" t="s">
        <v>33</v>
      </c>
      <c r="R281" t="s">
        <v>9</v>
      </c>
      <c r="U281" t="e">
        <f>VLOOKUP(A281,#REF!,6,FALSE)</f>
        <v>#REF!</v>
      </c>
    </row>
    <row r="282" spans="1:21" x14ac:dyDescent="0.25">
      <c r="A282">
        <v>948</v>
      </c>
      <c r="B282" s="9" t="s">
        <v>58</v>
      </c>
      <c r="C282" s="19" t="s">
        <v>157</v>
      </c>
      <c r="D282" s="6">
        <v>45471</v>
      </c>
      <c r="E282" s="7">
        <v>45471.132592592592</v>
      </c>
      <c r="F282" t="s">
        <v>228</v>
      </c>
      <c r="G282" t="s">
        <v>229</v>
      </c>
      <c r="H282" t="s">
        <v>179</v>
      </c>
      <c r="J282" s="11">
        <v>375</v>
      </c>
      <c r="K282" s="11"/>
      <c r="L282" s="4">
        <f t="shared" si="11"/>
        <v>375</v>
      </c>
      <c r="M282" t="s">
        <v>7</v>
      </c>
      <c r="N282" t="s">
        <v>37</v>
      </c>
      <c r="O282" t="s">
        <v>33</v>
      </c>
      <c r="R282" t="s">
        <v>7</v>
      </c>
      <c r="U282" t="e">
        <f>VLOOKUP(A282,#REF!,6,FALSE)</f>
        <v>#REF!</v>
      </c>
    </row>
    <row r="283" spans="1:21" x14ac:dyDescent="0.25">
      <c r="A283">
        <v>949</v>
      </c>
      <c r="B283" s="9" t="s">
        <v>58</v>
      </c>
      <c r="C283" s="19" t="s">
        <v>157</v>
      </c>
      <c r="D283" s="6">
        <v>45471</v>
      </c>
      <c r="E283" s="7">
        <v>45471.132604166669</v>
      </c>
      <c r="F283" t="s">
        <v>230</v>
      </c>
      <c r="G283" t="s">
        <v>231</v>
      </c>
      <c r="H283" t="s">
        <v>41</v>
      </c>
      <c r="J283" s="11">
        <v>430</v>
      </c>
      <c r="K283" s="11"/>
      <c r="L283" s="4">
        <f t="shared" si="11"/>
        <v>430</v>
      </c>
      <c r="M283" t="s">
        <v>7</v>
      </c>
      <c r="N283" t="s">
        <v>37</v>
      </c>
      <c r="O283" t="s">
        <v>33</v>
      </c>
      <c r="R283" t="s">
        <v>7</v>
      </c>
      <c r="U283" t="e">
        <f>VLOOKUP(A283,#REF!,6,FALSE)</f>
        <v>#REF!</v>
      </c>
    </row>
    <row r="284" spans="1:21" x14ac:dyDescent="0.25">
      <c r="A284">
        <v>950</v>
      </c>
      <c r="B284" s="9" t="s">
        <v>58</v>
      </c>
      <c r="C284" s="19" t="s">
        <v>157</v>
      </c>
      <c r="D284" s="6">
        <v>45471</v>
      </c>
      <c r="E284" s="7">
        <v>45471.237673611111</v>
      </c>
      <c r="F284" t="s">
        <v>232</v>
      </c>
      <c r="I284" t="s">
        <v>232</v>
      </c>
      <c r="J284" s="11"/>
      <c r="K284" s="11">
        <v>-4.9800000000000004</v>
      </c>
      <c r="L284" s="4">
        <f t="shared" si="11"/>
        <v>-4.9800000000000004</v>
      </c>
      <c r="M284" t="s">
        <v>38</v>
      </c>
      <c r="N284" t="s">
        <v>36</v>
      </c>
      <c r="O284" t="s">
        <v>33</v>
      </c>
      <c r="R284" t="s">
        <v>61</v>
      </c>
      <c r="U284" t="e">
        <f>VLOOKUP(A284,#REF!,6,FALSE)</f>
        <v>#REF!</v>
      </c>
    </row>
    <row r="285" spans="1:21" x14ac:dyDescent="0.25">
      <c r="A285">
        <v>951</v>
      </c>
      <c r="B285" s="9" t="s">
        <v>58</v>
      </c>
      <c r="C285" s="19" t="s">
        <v>157</v>
      </c>
      <c r="D285" s="6">
        <v>45471</v>
      </c>
      <c r="E285" s="7">
        <v>45471.393182870372</v>
      </c>
      <c r="F285" t="s">
        <v>73</v>
      </c>
      <c r="I285" t="s">
        <v>73</v>
      </c>
      <c r="J285" s="11"/>
      <c r="K285" s="11">
        <v>-4.1500000000000004</v>
      </c>
      <c r="L285" s="4">
        <f t="shared" si="11"/>
        <v>-4.1500000000000004</v>
      </c>
      <c r="M285" t="s">
        <v>38</v>
      </c>
      <c r="N285" t="s">
        <v>36</v>
      </c>
      <c r="O285" t="s">
        <v>33</v>
      </c>
      <c r="R285" t="s">
        <v>61</v>
      </c>
      <c r="U285" t="e">
        <f>VLOOKUP(A285,#REF!,6,FALSE)</f>
        <v>#REF!</v>
      </c>
    </row>
    <row r="286" spans="1:21" x14ac:dyDescent="0.25">
      <c r="A286">
        <v>952</v>
      </c>
      <c r="B286" s="9" t="s">
        <v>58</v>
      </c>
      <c r="C286" s="19" t="s">
        <v>157</v>
      </c>
      <c r="D286" s="6">
        <v>45472</v>
      </c>
      <c r="E286" s="7">
        <v>45472.012569444443</v>
      </c>
      <c r="F286" t="s">
        <v>148</v>
      </c>
      <c r="G286" t="s">
        <v>149</v>
      </c>
      <c r="I286" t="s">
        <v>31</v>
      </c>
      <c r="J286" s="11"/>
      <c r="K286" s="11">
        <v>-1000</v>
      </c>
      <c r="L286" s="4">
        <f t="shared" si="11"/>
        <v>-1000</v>
      </c>
      <c r="N286" t="s">
        <v>32</v>
      </c>
      <c r="O286" t="s">
        <v>33</v>
      </c>
      <c r="R286" t="s">
        <v>6</v>
      </c>
      <c r="U286" t="e">
        <f>VLOOKUP(A286,#REF!,6,FALSE)</f>
        <v>#REF!</v>
      </c>
    </row>
    <row r="287" spans="1:21" x14ac:dyDescent="0.25">
      <c r="A287">
        <v>953</v>
      </c>
      <c r="B287" s="9" t="s">
        <v>58</v>
      </c>
      <c r="C287" s="19" t="s">
        <v>157</v>
      </c>
      <c r="D287" s="6">
        <v>45472</v>
      </c>
      <c r="E287" s="7">
        <v>45472.020648148151</v>
      </c>
      <c r="F287" t="s">
        <v>148</v>
      </c>
      <c r="G287" t="s">
        <v>149</v>
      </c>
      <c r="I287" t="s">
        <v>31</v>
      </c>
      <c r="J287" s="11"/>
      <c r="K287" s="11">
        <v>-200</v>
      </c>
      <c r="L287" s="4">
        <f t="shared" si="11"/>
        <v>-200</v>
      </c>
      <c r="N287" t="s">
        <v>32</v>
      </c>
      <c r="O287" t="s">
        <v>33</v>
      </c>
      <c r="R287" t="s">
        <v>6</v>
      </c>
      <c r="U287" t="e">
        <f>VLOOKUP(A287,#REF!,6,FALSE)</f>
        <v>#REF!</v>
      </c>
    </row>
    <row r="288" spans="1:21" x14ac:dyDescent="0.25">
      <c r="A288">
        <v>954</v>
      </c>
      <c r="B288" s="9" t="s">
        <v>58</v>
      </c>
      <c r="C288" s="19" t="s">
        <v>157</v>
      </c>
      <c r="D288" s="6">
        <v>45472</v>
      </c>
      <c r="E288" s="7">
        <v>45472.135104166664</v>
      </c>
      <c r="F288" t="s">
        <v>18</v>
      </c>
      <c r="I288" t="s">
        <v>18</v>
      </c>
      <c r="J288" s="11"/>
      <c r="K288" s="11">
        <v>-10</v>
      </c>
      <c r="L288" s="4">
        <f t="shared" si="11"/>
        <v>-10</v>
      </c>
      <c r="M288" t="s">
        <v>9</v>
      </c>
      <c r="N288" t="s">
        <v>36</v>
      </c>
      <c r="O288" t="s">
        <v>33</v>
      </c>
      <c r="R288" t="s">
        <v>9</v>
      </c>
      <c r="U288" t="e">
        <f>VLOOKUP(A288,#REF!,6,FALSE)</f>
        <v>#REF!</v>
      </c>
    </row>
    <row r="289" spans="1:21" x14ac:dyDescent="0.25">
      <c r="A289">
        <v>955</v>
      </c>
      <c r="B289" s="9" t="s">
        <v>58</v>
      </c>
      <c r="C289" s="19" t="s">
        <v>157</v>
      </c>
      <c r="D289" s="6">
        <v>45473</v>
      </c>
      <c r="E289" s="7">
        <v>45473.491527777776</v>
      </c>
      <c r="F289" t="s">
        <v>233</v>
      </c>
      <c r="I289" t="s">
        <v>233</v>
      </c>
      <c r="J289" s="11"/>
      <c r="K289" s="11">
        <v>-3.5</v>
      </c>
      <c r="L289" s="4">
        <f t="shared" si="11"/>
        <v>-3.5</v>
      </c>
      <c r="M289" t="s">
        <v>38</v>
      </c>
      <c r="N289" t="s">
        <v>36</v>
      </c>
      <c r="O289" t="s">
        <v>33</v>
      </c>
      <c r="R289" t="s">
        <v>61</v>
      </c>
      <c r="U289" t="e">
        <f>VLOOKUP(A289,#REF!,6,FALSE)</f>
        <v>#REF!</v>
      </c>
    </row>
    <row r="290" spans="1:21" x14ac:dyDescent="0.25">
      <c r="A290">
        <v>956</v>
      </c>
      <c r="B290" s="9" t="s">
        <v>58</v>
      </c>
      <c r="C290" s="19" t="s">
        <v>157</v>
      </c>
      <c r="D290" s="6">
        <v>45475</v>
      </c>
      <c r="E290" s="7">
        <v>45475.128206018519</v>
      </c>
      <c r="F290" t="s">
        <v>234</v>
      </c>
      <c r="G290">
        <v>1964089</v>
      </c>
      <c r="H290" t="s">
        <v>52</v>
      </c>
      <c r="J290" s="11">
        <v>725</v>
      </c>
      <c r="K290" s="11"/>
      <c r="L290" s="4">
        <f t="shared" si="11"/>
        <v>725</v>
      </c>
      <c r="M290" t="s">
        <v>7</v>
      </c>
      <c r="N290" t="s">
        <v>37</v>
      </c>
      <c r="O290" t="s">
        <v>33</v>
      </c>
      <c r="R290" t="s">
        <v>7</v>
      </c>
      <c r="U290" t="e">
        <f>VLOOKUP(A290,#REF!,6,FALSE)</f>
        <v>#REF!</v>
      </c>
    </row>
    <row r="291" spans="1:21" x14ac:dyDescent="0.25">
      <c r="A291">
        <v>957</v>
      </c>
      <c r="B291" s="9" t="s">
        <v>58</v>
      </c>
      <c r="C291" s="19" t="s">
        <v>157</v>
      </c>
      <c r="D291" s="6">
        <v>45475</v>
      </c>
      <c r="E291" s="7">
        <v>45475.171597222223</v>
      </c>
      <c r="F291" t="s">
        <v>235</v>
      </c>
      <c r="G291" t="s">
        <v>236</v>
      </c>
      <c r="I291" t="s">
        <v>237</v>
      </c>
      <c r="J291" s="11"/>
      <c r="K291" s="11">
        <v>-85.37</v>
      </c>
      <c r="L291" s="4">
        <f t="shared" si="11"/>
        <v>-85.37</v>
      </c>
      <c r="M291" t="s">
        <v>43</v>
      </c>
      <c r="N291" t="s">
        <v>238</v>
      </c>
      <c r="O291" t="s">
        <v>33</v>
      </c>
      <c r="R291" t="s">
        <v>12</v>
      </c>
      <c r="U291" t="e">
        <f>VLOOKUP(A291,#REF!,6,FALSE)</f>
        <v>#REF!</v>
      </c>
    </row>
    <row r="292" spans="1:21" x14ac:dyDescent="0.25">
      <c r="A292">
        <v>935</v>
      </c>
      <c r="B292" s="9" t="s">
        <v>58</v>
      </c>
      <c r="C292" s="19" t="s">
        <v>157</v>
      </c>
      <c r="D292" s="6">
        <v>45462</v>
      </c>
      <c r="E292" s="7">
        <v>45462.803402777776</v>
      </c>
      <c r="F292" t="s">
        <v>216</v>
      </c>
      <c r="I292" t="s">
        <v>216</v>
      </c>
      <c r="J292" s="11"/>
      <c r="K292" s="11">
        <v>-59.06</v>
      </c>
      <c r="L292" s="4">
        <f t="shared" si="11"/>
        <v>-59.06</v>
      </c>
      <c r="M292" t="s">
        <v>38</v>
      </c>
      <c r="N292" t="s">
        <v>36</v>
      </c>
      <c r="O292" t="s">
        <v>33</v>
      </c>
      <c r="R292" t="s">
        <v>159</v>
      </c>
      <c r="U292" t="e">
        <f>VLOOKUP(A292,#REF!,6,FALSE)</f>
        <v>#REF!</v>
      </c>
    </row>
    <row r="293" spans="1:21" x14ac:dyDescent="0.25">
      <c r="A293">
        <v>959</v>
      </c>
      <c r="B293" s="9" t="s">
        <v>58</v>
      </c>
      <c r="C293" s="19" t="s">
        <v>157</v>
      </c>
      <c r="D293" s="6">
        <v>45478</v>
      </c>
      <c r="E293" s="7">
        <v>45478.536469907405</v>
      </c>
      <c r="F293" t="s">
        <v>148</v>
      </c>
      <c r="G293" t="s">
        <v>149</v>
      </c>
      <c r="I293" t="s">
        <v>31</v>
      </c>
      <c r="J293" s="11"/>
      <c r="K293" s="11">
        <v>-200</v>
      </c>
      <c r="L293" s="4">
        <f t="shared" si="11"/>
        <v>-200</v>
      </c>
      <c r="N293" t="s">
        <v>32</v>
      </c>
      <c r="O293" t="s">
        <v>33</v>
      </c>
      <c r="R293" t="s">
        <v>6</v>
      </c>
      <c r="U293" t="e">
        <f>VLOOKUP(A293,#REF!,6,FALSE)</f>
        <v>#REF!</v>
      </c>
    </row>
    <row r="294" spans="1:21" x14ac:dyDescent="0.25">
      <c r="A294">
        <v>974</v>
      </c>
      <c r="B294" s="9" t="s">
        <v>58</v>
      </c>
      <c r="C294" s="19" t="s">
        <v>157</v>
      </c>
      <c r="D294" s="6">
        <v>45497</v>
      </c>
      <c r="E294" s="7">
        <v>45497.586631944447</v>
      </c>
      <c r="F294" t="s">
        <v>77</v>
      </c>
      <c r="I294" t="s">
        <v>77</v>
      </c>
      <c r="J294" s="11"/>
      <c r="K294" s="11">
        <v>-14.45</v>
      </c>
      <c r="L294" s="4">
        <f t="shared" si="11"/>
        <v>-14.45</v>
      </c>
      <c r="M294" t="s">
        <v>38</v>
      </c>
      <c r="N294" t="s">
        <v>36</v>
      </c>
      <c r="O294" t="s">
        <v>33</v>
      </c>
      <c r="R294" t="s">
        <v>465</v>
      </c>
      <c r="U294" t="e">
        <f>VLOOKUP(A294,#REF!,6,FALSE)</f>
        <v>#REF!</v>
      </c>
    </row>
    <row r="295" spans="1:21" x14ac:dyDescent="0.25">
      <c r="A295">
        <v>961</v>
      </c>
      <c r="B295" s="9" t="s">
        <v>58</v>
      </c>
      <c r="C295" s="19" t="s">
        <v>157</v>
      </c>
      <c r="D295" s="6">
        <v>45483</v>
      </c>
      <c r="E295" s="7">
        <v>45483.928553240738</v>
      </c>
      <c r="F295" t="s">
        <v>240</v>
      </c>
      <c r="I295" t="s">
        <v>240</v>
      </c>
      <c r="J295" s="11"/>
      <c r="K295" s="11">
        <v>-7.17</v>
      </c>
      <c r="L295" s="4">
        <f t="shared" si="11"/>
        <v>-7.17</v>
      </c>
      <c r="M295" t="s">
        <v>38</v>
      </c>
      <c r="N295" t="s">
        <v>36</v>
      </c>
      <c r="O295" t="s">
        <v>33</v>
      </c>
      <c r="R295" t="s">
        <v>61</v>
      </c>
      <c r="U295" t="e">
        <f>VLOOKUP(A295,#REF!,6,FALSE)</f>
        <v>#REF!</v>
      </c>
    </row>
    <row r="296" spans="1:21" x14ac:dyDescent="0.25">
      <c r="A296">
        <v>962</v>
      </c>
      <c r="B296" s="9" t="s">
        <v>58</v>
      </c>
      <c r="C296" s="19" t="s">
        <v>157</v>
      </c>
      <c r="D296" s="6">
        <v>45484</v>
      </c>
      <c r="E296" s="7">
        <v>45484.658043981479</v>
      </c>
      <c r="F296" t="s">
        <v>241</v>
      </c>
      <c r="I296" t="s">
        <v>241</v>
      </c>
      <c r="J296" s="11"/>
      <c r="K296" s="11">
        <v>-4.2</v>
      </c>
      <c r="L296" s="4">
        <f t="shared" si="11"/>
        <v>-4.2</v>
      </c>
      <c r="M296" t="s">
        <v>38</v>
      </c>
      <c r="N296" t="s">
        <v>36</v>
      </c>
      <c r="O296" t="s">
        <v>33</v>
      </c>
      <c r="R296" t="s">
        <v>61</v>
      </c>
      <c r="U296" t="e">
        <f>VLOOKUP(A296,#REF!,6,FALSE)</f>
        <v>#REF!</v>
      </c>
    </row>
    <row r="297" spans="1:21" x14ac:dyDescent="0.25">
      <c r="A297">
        <v>963</v>
      </c>
      <c r="B297" s="9" t="s">
        <v>58</v>
      </c>
      <c r="C297" s="19" t="s">
        <v>157</v>
      </c>
      <c r="D297" s="6">
        <v>45485</v>
      </c>
      <c r="E297" s="7">
        <v>45485.128078703703</v>
      </c>
      <c r="F297" t="s">
        <v>242</v>
      </c>
      <c r="G297" t="s">
        <v>243</v>
      </c>
      <c r="H297" t="s">
        <v>41</v>
      </c>
      <c r="J297" s="11">
        <v>860</v>
      </c>
      <c r="K297" s="11"/>
      <c r="L297" s="4">
        <f t="shared" si="11"/>
        <v>860</v>
      </c>
      <c r="M297" t="s">
        <v>7</v>
      </c>
      <c r="N297" t="s">
        <v>37</v>
      </c>
      <c r="O297" t="s">
        <v>33</v>
      </c>
      <c r="R297" t="s">
        <v>7</v>
      </c>
      <c r="U297" t="e">
        <f>VLOOKUP(A297,#REF!,6,FALSE)</f>
        <v>#REF!</v>
      </c>
    </row>
    <row r="298" spans="1:21" x14ac:dyDescent="0.25">
      <c r="A298">
        <v>964</v>
      </c>
      <c r="B298" s="9" t="s">
        <v>58</v>
      </c>
      <c r="C298" s="19" t="s">
        <v>157</v>
      </c>
      <c r="D298" s="6">
        <v>45485</v>
      </c>
      <c r="E298" s="7">
        <v>45485.133483796293</v>
      </c>
      <c r="F298" t="s">
        <v>244</v>
      </c>
      <c r="G298">
        <v>1965583</v>
      </c>
      <c r="H298" t="s">
        <v>52</v>
      </c>
      <c r="J298" s="11">
        <v>375</v>
      </c>
      <c r="K298" s="11"/>
      <c r="L298" s="4">
        <f t="shared" si="11"/>
        <v>375</v>
      </c>
      <c r="M298" t="s">
        <v>7</v>
      </c>
      <c r="N298" t="s">
        <v>37</v>
      </c>
      <c r="O298" t="s">
        <v>33</v>
      </c>
      <c r="R298" t="s">
        <v>7</v>
      </c>
      <c r="U298" t="e">
        <f>VLOOKUP(A298,#REF!,6,FALSE)</f>
        <v>#REF!</v>
      </c>
    </row>
    <row r="299" spans="1:21" x14ac:dyDescent="0.25">
      <c r="A299">
        <v>965</v>
      </c>
      <c r="B299" s="9" t="s">
        <v>58</v>
      </c>
      <c r="C299" s="19" t="s">
        <v>157</v>
      </c>
      <c r="D299" s="6">
        <v>45485</v>
      </c>
      <c r="E299" s="7">
        <v>45485.388553240744</v>
      </c>
      <c r="F299" t="s">
        <v>108</v>
      </c>
      <c r="G299" t="s">
        <v>110</v>
      </c>
      <c r="H299" t="s">
        <v>51</v>
      </c>
      <c r="J299" s="11">
        <v>300</v>
      </c>
      <c r="K299" s="11"/>
      <c r="L299" s="4">
        <f t="shared" si="11"/>
        <v>300</v>
      </c>
      <c r="M299" t="s">
        <v>7</v>
      </c>
      <c r="N299" t="s">
        <v>37</v>
      </c>
      <c r="O299" t="s">
        <v>33</v>
      </c>
      <c r="R299" t="s">
        <v>6</v>
      </c>
      <c r="U299" t="e">
        <f>VLOOKUP(A299,#REF!,6,FALSE)</f>
        <v>#REF!</v>
      </c>
    </row>
    <row r="300" spans="1:21" x14ac:dyDescent="0.25">
      <c r="A300">
        <v>966</v>
      </c>
      <c r="B300" s="9" t="s">
        <v>58</v>
      </c>
      <c r="C300" s="19" t="s">
        <v>157</v>
      </c>
      <c r="D300" s="6">
        <v>45485</v>
      </c>
      <c r="E300" s="7">
        <v>45485.575636574074</v>
      </c>
      <c r="F300" t="s">
        <v>18</v>
      </c>
      <c r="I300" t="s">
        <v>18</v>
      </c>
      <c r="J300" s="11"/>
      <c r="K300" s="11">
        <v>-6.2</v>
      </c>
      <c r="L300" s="4">
        <f t="shared" si="11"/>
        <v>-6.2</v>
      </c>
      <c r="M300" t="s">
        <v>9</v>
      </c>
      <c r="N300" t="s">
        <v>36</v>
      </c>
      <c r="O300" t="s">
        <v>33</v>
      </c>
      <c r="R300" t="s">
        <v>9</v>
      </c>
      <c r="U300" t="e">
        <f>VLOOKUP(A300,#REF!,6,FALSE)</f>
        <v>#REF!</v>
      </c>
    </row>
    <row r="301" spans="1:21" x14ac:dyDescent="0.25">
      <c r="A301">
        <v>967</v>
      </c>
      <c r="B301" s="9" t="s">
        <v>58</v>
      </c>
      <c r="C301" s="19" t="s">
        <v>157</v>
      </c>
      <c r="D301" s="6">
        <v>45487</v>
      </c>
      <c r="E301" s="7">
        <v>45487.320416666669</v>
      </c>
      <c r="F301" t="s">
        <v>18</v>
      </c>
      <c r="I301" t="s">
        <v>18</v>
      </c>
      <c r="J301" s="11"/>
      <c r="K301" s="11">
        <v>-12.9</v>
      </c>
      <c r="L301" s="4">
        <f t="shared" si="11"/>
        <v>-12.9</v>
      </c>
      <c r="M301" t="s">
        <v>9</v>
      </c>
      <c r="N301" t="s">
        <v>36</v>
      </c>
      <c r="O301" t="s">
        <v>33</v>
      </c>
      <c r="R301" t="s">
        <v>9</v>
      </c>
      <c r="U301" t="e">
        <f>VLOOKUP(A301,#REF!,6,FALSE)</f>
        <v>#REF!</v>
      </c>
    </row>
    <row r="302" spans="1:21" x14ac:dyDescent="0.25">
      <c r="A302">
        <v>968</v>
      </c>
      <c r="B302" s="9" t="s">
        <v>58</v>
      </c>
      <c r="C302" s="19" t="s">
        <v>157</v>
      </c>
      <c r="D302" s="6">
        <v>45487</v>
      </c>
      <c r="E302" s="7">
        <v>45487.685763888891</v>
      </c>
      <c r="F302" t="s">
        <v>69</v>
      </c>
      <c r="I302" t="s">
        <v>69</v>
      </c>
      <c r="J302" s="11"/>
      <c r="K302" s="11">
        <v>-11.9</v>
      </c>
      <c r="L302" s="4">
        <f t="shared" si="11"/>
        <v>-11.9</v>
      </c>
      <c r="M302" t="s">
        <v>9</v>
      </c>
      <c r="N302" t="s">
        <v>36</v>
      </c>
      <c r="O302" t="s">
        <v>33</v>
      </c>
      <c r="R302" t="s">
        <v>9</v>
      </c>
      <c r="U302" t="e">
        <f>VLOOKUP(A302,#REF!,6,FALSE)</f>
        <v>#REF!</v>
      </c>
    </row>
    <row r="303" spans="1:21" x14ac:dyDescent="0.25">
      <c r="A303">
        <v>969</v>
      </c>
      <c r="B303" s="9" t="s">
        <v>58</v>
      </c>
      <c r="C303" s="19" t="s">
        <v>157</v>
      </c>
      <c r="D303" s="6">
        <v>45488</v>
      </c>
      <c r="E303" s="7">
        <v>45488.342129629629</v>
      </c>
      <c r="F303" t="s">
        <v>56</v>
      </c>
      <c r="I303" t="s">
        <v>56</v>
      </c>
      <c r="J303" s="11"/>
      <c r="K303" s="11">
        <v>-3.5</v>
      </c>
      <c r="L303" s="4">
        <f t="shared" si="11"/>
        <v>-3.5</v>
      </c>
      <c r="N303" t="s">
        <v>36</v>
      </c>
      <c r="O303" t="s">
        <v>187</v>
      </c>
      <c r="R303" t="s">
        <v>61</v>
      </c>
      <c r="U303" t="e">
        <f>VLOOKUP(A303,#REF!,6,FALSE)</f>
        <v>#REF!</v>
      </c>
    </row>
    <row r="304" spans="1:21" x14ac:dyDescent="0.25">
      <c r="A304">
        <v>970</v>
      </c>
      <c r="B304" s="9" t="s">
        <v>58</v>
      </c>
      <c r="C304" s="19" t="s">
        <v>157</v>
      </c>
      <c r="D304" s="6">
        <v>45490</v>
      </c>
      <c r="E304" s="7">
        <v>45490.776724537034</v>
      </c>
      <c r="F304" t="s">
        <v>245</v>
      </c>
      <c r="G304" t="s">
        <v>245</v>
      </c>
      <c r="J304" s="11"/>
      <c r="K304" s="11">
        <v>-1.6</v>
      </c>
      <c r="L304" s="4">
        <f t="shared" si="11"/>
        <v>-1.6</v>
      </c>
      <c r="M304" t="s">
        <v>186</v>
      </c>
      <c r="N304" t="s">
        <v>17</v>
      </c>
      <c r="O304" t="s">
        <v>33</v>
      </c>
      <c r="R304" s="3" t="s">
        <v>63</v>
      </c>
      <c r="U304" t="e">
        <f>VLOOKUP(A304,#REF!,6,FALSE)</f>
        <v>#REF!</v>
      </c>
    </row>
    <row r="305" spans="1:21" x14ac:dyDescent="0.25">
      <c r="A305">
        <v>971</v>
      </c>
      <c r="B305" s="9" t="s">
        <v>58</v>
      </c>
      <c r="C305" s="19" t="s">
        <v>157</v>
      </c>
      <c r="D305" s="6">
        <v>45496</v>
      </c>
      <c r="E305" s="7">
        <v>45496.231400462966</v>
      </c>
      <c r="F305" t="s">
        <v>18</v>
      </c>
      <c r="I305" t="s">
        <v>18</v>
      </c>
      <c r="J305" s="11"/>
      <c r="K305" s="11">
        <v>-14.6</v>
      </c>
      <c r="L305" s="4">
        <f t="shared" si="11"/>
        <v>-14.6</v>
      </c>
      <c r="M305" t="s">
        <v>9</v>
      </c>
      <c r="N305" t="s">
        <v>36</v>
      </c>
      <c r="O305" t="s">
        <v>33</v>
      </c>
      <c r="R305" t="s">
        <v>9</v>
      </c>
      <c r="U305" t="e">
        <f>VLOOKUP(A305,#REF!,6,FALSE)</f>
        <v>#REF!</v>
      </c>
    </row>
    <row r="306" spans="1:21" x14ac:dyDescent="0.25">
      <c r="A306">
        <v>972</v>
      </c>
      <c r="B306" s="9" t="s">
        <v>58</v>
      </c>
      <c r="C306" s="19" t="s">
        <v>157</v>
      </c>
      <c r="D306" s="6">
        <v>45496</v>
      </c>
      <c r="E306" s="7">
        <v>45496.378437500003</v>
      </c>
      <c r="F306" t="s">
        <v>87</v>
      </c>
      <c r="I306" t="s">
        <v>87</v>
      </c>
      <c r="J306" s="11"/>
      <c r="K306" s="11">
        <v>-2.85</v>
      </c>
      <c r="L306" s="4">
        <f t="shared" si="11"/>
        <v>-2.85</v>
      </c>
      <c r="M306" t="s">
        <v>38</v>
      </c>
      <c r="N306" t="s">
        <v>36</v>
      </c>
      <c r="O306" t="s">
        <v>33</v>
      </c>
      <c r="R306" t="s">
        <v>61</v>
      </c>
      <c r="U306" t="e">
        <f>VLOOKUP(A306,#REF!,6,FALSE)</f>
        <v>#REF!</v>
      </c>
    </row>
    <row r="307" spans="1:21" x14ac:dyDescent="0.25">
      <c r="A307">
        <v>973</v>
      </c>
      <c r="B307" s="9" t="s">
        <v>58</v>
      </c>
      <c r="C307" s="19" t="s">
        <v>157</v>
      </c>
      <c r="D307" s="6">
        <v>45497</v>
      </c>
      <c r="E307" s="7">
        <v>45497.372986111113</v>
      </c>
      <c r="F307" t="s">
        <v>173</v>
      </c>
      <c r="I307" t="s">
        <v>173</v>
      </c>
      <c r="J307" s="11"/>
      <c r="K307" s="11">
        <v>-4.3499999999999996</v>
      </c>
      <c r="L307" s="4">
        <f t="shared" si="11"/>
        <v>-4.3499999999999996</v>
      </c>
      <c r="M307" t="s">
        <v>38</v>
      </c>
      <c r="N307" t="s">
        <v>36</v>
      </c>
      <c r="O307" t="s">
        <v>33</v>
      </c>
      <c r="R307" t="s">
        <v>61</v>
      </c>
      <c r="U307" t="e">
        <f>VLOOKUP(A307,#REF!,6,FALSE)</f>
        <v>#REF!</v>
      </c>
    </row>
    <row r="308" spans="1:21" x14ac:dyDescent="0.25">
      <c r="A308">
        <v>1067</v>
      </c>
      <c r="B308" s="9" t="s">
        <v>58</v>
      </c>
      <c r="C308" s="19" t="s">
        <v>157</v>
      </c>
      <c r="D308" s="6">
        <v>45543</v>
      </c>
      <c r="E308" s="7">
        <v>45543.61309027778</v>
      </c>
      <c r="F308" t="s">
        <v>297</v>
      </c>
      <c r="I308" t="s">
        <v>297</v>
      </c>
      <c r="J308" s="11"/>
      <c r="K308" s="11">
        <v>-53.16</v>
      </c>
      <c r="L308" s="4">
        <f t="shared" si="11"/>
        <v>-53.16</v>
      </c>
      <c r="M308" t="s">
        <v>38</v>
      </c>
      <c r="N308" t="s">
        <v>36</v>
      </c>
      <c r="O308" t="s">
        <v>33</v>
      </c>
      <c r="R308" t="s">
        <v>465</v>
      </c>
      <c r="U308" t="e">
        <f>VLOOKUP(A308,#REF!,6,FALSE)</f>
        <v>#REF!</v>
      </c>
    </row>
    <row r="309" spans="1:21" x14ac:dyDescent="0.25">
      <c r="A309">
        <v>975</v>
      </c>
      <c r="B309" s="9" t="s">
        <v>58</v>
      </c>
      <c r="C309" s="19" t="s">
        <v>157</v>
      </c>
      <c r="D309" s="6">
        <v>45498</v>
      </c>
      <c r="E309" s="7">
        <v>45498.166608796295</v>
      </c>
      <c r="F309" t="s">
        <v>18</v>
      </c>
      <c r="I309" t="s">
        <v>18</v>
      </c>
      <c r="J309" s="11"/>
      <c r="K309" s="11">
        <v>-10.199999999999999</v>
      </c>
      <c r="L309" s="4">
        <f t="shared" si="11"/>
        <v>-10.199999999999999</v>
      </c>
      <c r="M309" t="s">
        <v>9</v>
      </c>
      <c r="N309" t="s">
        <v>36</v>
      </c>
      <c r="O309" t="s">
        <v>33</v>
      </c>
      <c r="R309" t="s">
        <v>9</v>
      </c>
      <c r="U309" t="e">
        <f>VLOOKUP(A309,#REF!,6,FALSE)</f>
        <v>#REF!</v>
      </c>
    </row>
    <row r="310" spans="1:21" x14ac:dyDescent="0.25">
      <c r="A310">
        <v>976</v>
      </c>
      <c r="B310" s="9" t="s">
        <v>58</v>
      </c>
      <c r="C310" s="19" t="s">
        <v>157</v>
      </c>
      <c r="D310" s="6">
        <v>45498</v>
      </c>
      <c r="E310" s="7">
        <v>45498.369201388887</v>
      </c>
      <c r="F310" t="s">
        <v>173</v>
      </c>
      <c r="I310" t="s">
        <v>173</v>
      </c>
      <c r="J310" s="11"/>
      <c r="K310" s="11">
        <v>-3.3</v>
      </c>
      <c r="L310" s="4">
        <f t="shared" si="11"/>
        <v>-3.3</v>
      </c>
      <c r="M310" t="s">
        <v>38</v>
      </c>
      <c r="N310" t="s">
        <v>36</v>
      </c>
      <c r="O310" t="s">
        <v>33</v>
      </c>
      <c r="R310" t="s">
        <v>61</v>
      </c>
      <c r="U310" t="e">
        <f>VLOOKUP(A310,#REF!,6,FALSE)</f>
        <v>#REF!</v>
      </c>
    </row>
    <row r="311" spans="1:21" x14ac:dyDescent="0.25">
      <c r="A311">
        <v>977</v>
      </c>
      <c r="B311" s="9" t="s">
        <v>58</v>
      </c>
      <c r="C311" s="19" t="s">
        <v>157</v>
      </c>
      <c r="D311" s="6">
        <v>45498</v>
      </c>
      <c r="E311" s="7">
        <v>45498.386412037034</v>
      </c>
      <c r="F311" t="s">
        <v>171</v>
      </c>
      <c r="I311" t="s">
        <v>171</v>
      </c>
      <c r="J311" s="11"/>
      <c r="K311" s="11">
        <v>-4.7</v>
      </c>
      <c r="L311" s="4">
        <f t="shared" si="11"/>
        <v>-4.7</v>
      </c>
      <c r="M311" t="s">
        <v>38</v>
      </c>
      <c r="N311" t="s">
        <v>36</v>
      </c>
      <c r="O311" t="s">
        <v>33</v>
      </c>
      <c r="R311" t="s">
        <v>61</v>
      </c>
      <c r="U311" t="e">
        <f>VLOOKUP(A311,#REF!,6,FALSE)</f>
        <v>#REF!</v>
      </c>
    </row>
    <row r="312" spans="1:21" x14ac:dyDescent="0.25">
      <c r="A312">
        <v>978</v>
      </c>
      <c r="B312" s="9" t="s">
        <v>58</v>
      </c>
      <c r="C312" s="19" t="s">
        <v>157</v>
      </c>
      <c r="D312" s="6">
        <v>45498</v>
      </c>
      <c r="E312" s="7">
        <v>45498.732222222221</v>
      </c>
      <c r="F312" t="s">
        <v>69</v>
      </c>
      <c r="I312" t="s">
        <v>69</v>
      </c>
      <c r="J312" s="11"/>
      <c r="K312" s="11">
        <v>-11.51</v>
      </c>
      <c r="L312" s="4">
        <f t="shared" si="11"/>
        <v>-11.51</v>
      </c>
      <c r="M312" t="s">
        <v>9</v>
      </c>
      <c r="N312" t="s">
        <v>36</v>
      </c>
      <c r="O312" t="s">
        <v>33</v>
      </c>
      <c r="R312" t="s">
        <v>9</v>
      </c>
      <c r="U312" t="e">
        <f>VLOOKUP(A312,#REF!,6,FALSE)</f>
        <v>#REF!</v>
      </c>
    </row>
    <row r="313" spans="1:21" x14ac:dyDescent="0.25">
      <c r="A313">
        <v>979</v>
      </c>
      <c r="B313" s="9" t="s">
        <v>58</v>
      </c>
      <c r="C313" s="19" t="s">
        <v>157</v>
      </c>
      <c r="D313" s="6">
        <v>45499</v>
      </c>
      <c r="E313" s="7">
        <v>45499.360277777778</v>
      </c>
      <c r="F313" t="s">
        <v>114</v>
      </c>
      <c r="I313" t="s">
        <v>114</v>
      </c>
      <c r="J313" s="11"/>
      <c r="K313" s="11">
        <v>-3.98</v>
      </c>
      <c r="L313" s="4">
        <f t="shared" si="11"/>
        <v>-3.98</v>
      </c>
      <c r="M313" t="s">
        <v>38</v>
      </c>
      <c r="N313" t="s">
        <v>36</v>
      </c>
      <c r="O313" t="s">
        <v>33</v>
      </c>
      <c r="P313" t="s">
        <v>48</v>
      </c>
      <c r="R313" t="s">
        <v>61</v>
      </c>
      <c r="U313" t="e">
        <f>VLOOKUP(A313,#REF!,6,FALSE)</f>
        <v>#REF!</v>
      </c>
    </row>
    <row r="314" spans="1:21" x14ac:dyDescent="0.25">
      <c r="A314">
        <v>980</v>
      </c>
      <c r="B314" s="9" t="s">
        <v>58</v>
      </c>
      <c r="C314" s="19" t="s">
        <v>157</v>
      </c>
      <c r="D314" s="6">
        <v>45499</v>
      </c>
      <c r="E314" s="7">
        <v>45499.569016203706</v>
      </c>
      <c r="F314" t="s">
        <v>246</v>
      </c>
      <c r="I314" t="s">
        <v>246</v>
      </c>
      <c r="J314" s="11"/>
      <c r="K314" s="11">
        <v>-7.06</v>
      </c>
      <c r="L314" s="4">
        <f t="shared" si="11"/>
        <v>-7.06</v>
      </c>
      <c r="M314" t="s">
        <v>38</v>
      </c>
      <c r="N314" t="s">
        <v>36</v>
      </c>
      <c r="O314" t="s">
        <v>33</v>
      </c>
      <c r="P314" t="s">
        <v>48</v>
      </c>
      <c r="R314" t="s">
        <v>61</v>
      </c>
      <c r="U314" t="e">
        <f>VLOOKUP(A314,#REF!,6,FALSE)</f>
        <v>#REF!</v>
      </c>
    </row>
    <row r="315" spans="1:21" x14ac:dyDescent="0.25">
      <c r="A315">
        <v>981</v>
      </c>
      <c r="B315" s="9" t="s">
        <v>58</v>
      </c>
      <c r="C315" s="19" t="s">
        <v>157</v>
      </c>
      <c r="D315" s="6">
        <v>45499</v>
      </c>
      <c r="E315" s="7">
        <v>45499.592800925922</v>
      </c>
      <c r="F315" t="s">
        <v>18</v>
      </c>
      <c r="I315" t="s">
        <v>18</v>
      </c>
      <c r="J315" s="11"/>
      <c r="K315" s="11">
        <v>-14.6</v>
      </c>
      <c r="L315" s="4">
        <f t="shared" si="11"/>
        <v>-14.6</v>
      </c>
      <c r="M315" t="s">
        <v>9</v>
      </c>
      <c r="N315" t="s">
        <v>36</v>
      </c>
      <c r="O315" t="s">
        <v>33</v>
      </c>
      <c r="R315" t="s">
        <v>9</v>
      </c>
      <c r="U315" t="e">
        <f>VLOOKUP(A315,#REF!,6,FALSE)</f>
        <v>#REF!</v>
      </c>
    </row>
    <row r="316" spans="1:21" x14ac:dyDescent="0.25">
      <c r="A316">
        <v>982</v>
      </c>
      <c r="B316" s="9" t="s">
        <v>58</v>
      </c>
      <c r="C316" s="19" t="s">
        <v>157</v>
      </c>
      <c r="D316" s="6">
        <v>45500</v>
      </c>
      <c r="E316" s="7">
        <v>45500.149699074071</v>
      </c>
      <c r="F316" t="s">
        <v>18</v>
      </c>
      <c r="I316" t="s">
        <v>18</v>
      </c>
      <c r="J316" s="11"/>
      <c r="K316" s="11">
        <v>-7.7</v>
      </c>
      <c r="L316" s="4">
        <f t="shared" si="11"/>
        <v>-7.7</v>
      </c>
      <c r="M316" t="s">
        <v>9</v>
      </c>
      <c r="N316" t="s">
        <v>36</v>
      </c>
      <c r="O316" t="s">
        <v>33</v>
      </c>
      <c r="R316" t="s">
        <v>9</v>
      </c>
      <c r="U316" t="e">
        <f>VLOOKUP(A316,#REF!,6,FALSE)</f>
        <v>#REF!</v>
      </c>
    </row>
    <row r="317" spans="1:21" x14ac:dyDescent="0.25">
      <c r="A317">
        <v>983</v>
      </c>
      <c r="B317" s="9" t="s">
        <v>58</v>
      </c>
      <c r="C317" s="19" t="s">
        <v>157</v>
      </c>
      <c r="D317" s="6">
        <v>45500</v>
      </c>
      <c r="E317" s="7">
        <v>45500.345289351855</v>
      </c>
      <c r="F317" t="s">
        <v>173</v>
      </c>
      <c r="I317" t="s">
        <v>173</v>
      </c>
      <c r="J317" s="11"/>
      <c r="K317" s="11">
        <v>-2</v>
      </c>
      <c r="L317" s="4">
        <f t="shared" si="11"/>
        <v>-2</v>
      </c>
      <c r="M317" t="s">
        <v>38</v>
      </c>
      <c r="N317" t="s">
        <v>36</v>
      </c>
      <c r="O317" t="s">
        <v>33</v>
      </c>
      <c r="R317" t="s">
        <v>61</v>
      </c>
      <c r="U317" t="e">
        <f>VLOOKUP(A317,#REF!,6,FALSE)</f>
        <v>#REF!</v>
      </c>
    </row>
    <row r="318" spans="1:21" x14ac:dyDescent="0.25">
      <c r="A318">
        <v>984</v>
      </c>
      <c r="B318" s="9" t="s">
        <v>58</v>
      </c>
      <c r="C318" s="19" t="s">
        <v>157</v>
      </c>
      <c r="D318" s="6">
        <v>45500</v>
      </c>
      <c r="E318" s="7">
        <v>45500.349247685182</v>
      </c>
      <c r="F318" t="s">
        <v>80</v>
      </c>
      <c r="I318" t="s">
        <v>80</v>
      </c>
      <c r="J318" s="11"/>
      <c r="K318" s="11">
        <v>-4.2</v>
      </c>
      <c r="L318" s="4">
        <f t="shared" si="11"/>
        <v>-4.2</v>
      </c>
      <c r="M318" t="s">
        <v>38</v>
      </c>
      <c r="N318" t="s">
        <v>36</v>
      </c>
      <c r="O318" t="s">
        <v>33</v>
      </c>
      <c r="R318" t="s">
        <v>61</v>
      </c>
      <c r="U318" t="e">
        <f>VLOOKUP(A318,#REF!,6,FALSE)</f>
        <v>#REF!</v>
      </c>
    </row>
    <row r="319" spans="1:21" x14ac:dyDescent="0.25">
      <c r="A319">
        <v>1213</v>
      </c>
      <c r="B319" s="9" t="s">
        <v>58</v>
      </c>
      <c r="C319" s="19" t="s">
        <v>157</v>
      </c>
      <c r="D319" s="6">
        <v>45629</v>
      </c>
      <c r="E319" s="7">
        <v>45629.867349537039</v>
      </c>
      <c r="F319" t="s">
        <v>363</v>
      </c>
      <c r="I319" t="s">
        <v>363</v>
      </c>
      <c r="J319" s="11"/>
      <c r="K319" s="11">
        <v>-98</v>
      </c>
      <c r="L319" s="4">
        <f t="shared" si="11"/>
        <v>-98</v>
      </c>
      <c r="M319" t="s">
        <v>38</v>
      </c>
      <c r="N319" t="s">
        <v>36</v>
      </c>
      <c r="O319" t="s">
        <v>33</v>
      </c>
      <c r="R319" t="s">
        <v>465</v>
      </c>
      <c r="U319" t="e">
        <f>VLOOKUP(A319,#REF!,6,FALSE)</f>
        <v>#REF!</v>
      </c>
    </row>
    <row r="320" spans="1:21" x14ac:dyDescent="0.25">
      <c r="A320">
        <v>986</v>
      </c>
      <c r="B320" s="9" t="s">
        <v>58</v>
      </c>
      <c r="C320" s="19" t="s">
        <v>157</v>
      </c>
      <c r="D320" s="6">
        <v>45501</v>
      </c>
      <c r="E320" s="7">
        <v>45501.436041666668</v>
      </c>
      <c r="F320" t="s">
        <v>171</v>
      </c>
      <c r="I320" t="s">
        <v>171</v>
      </c>
      <c r="J320" s="11"/>
      <c r="K320" s="11">
        <v>-4.05</v>
      </c>
      <c r="L320" s="4">
        <f t="shared" si="11"/>
        <v>-4.05</v>
      </c>
      <c r="M320" t="s">
        <v>38</v>
      </c>
      <c r="N320" t="s">
        <v>36</v>
      </c>
      <c r="O320" t="s">
        <v>33</v>
      </c>
      <c r="R320" t="s">
        <v>61</v>
      </c>
      <c r="U320" t="e">
        <f>VLOOKUP(A320,#REF!,6,FALSE)</f>
        <v>#REF!</v>
      </c>
    </row>
    <row r="321" spans="1:21" x14ac:dyDescent="0.25">
      <c r="A321">
        <v>987</v>
      </c>
      <c r="B321" s="9" t="s">
        <v>58</v>
      </c>
      <c r="C321" s="19" t="s">
        <v>157</v>
      </c>
      <c r="D321" s="6">
        <v>45502</v>
      </c>
      <c r="E321" s="7">
        <v>45502.109722222223</v>
      </c>
      <c r="F321" t="s">
        <v>18</v>
      </c>
      <c r="I321" t="s">
        <v>18</v>
      </c>
      <c r="J321" s="11"/>
      <c r="K321" s="11">
        <v>-4.8499999999999996</v>
      </c>
      <c r="L321" s="4">
        <f t="shared" si="11"/>
        <v>-4.8499999999999996</v>
      </c>
      <c r="M321" t="s">
        <v>9</v>
      </c>
      <c r="N321" t="s">
        <v>36</v>
      </c>
      <c r="O321" t="s">
        <v>33</v>
      </c>
      <c r="R321" t="s">
        <v>9</v>
      </c>
      <c r="U321" t="e">
        <f>VLOOKUP(A321,#REF!,6,FALSE)</f>
        <v>#REF!</v>
      </c>
    </row>
    <row r="322" spans="1:21" x14ac:dyDescent="0.25">
      <c r="A322">
        <v>988</v>
      </c>
      <c r="B322" s="9" t="s">
        <v>58</v>
      </c>
      <c r="C322" s="19" t="s">
        <v>157</v>
      </c>
      <c r="D322" s="6">
        <v>45502</v>
      </c>
      <c r="E322" s="7">
        <v>45502.348692129628</v>
      </c>
      <c r="F322" t="s">
        <v>18</v>
      </c>
      <c r="I322" t="s">
        <v>18</v>
      </c>
      <c r="J322" s="11"/>
      <c r="K322" s="11">
        <v>-13.15</v>
      </c>
      <c r="L322" s="4">
        <f t="shared" si="11"/>
        <v>-13.15</v>
      </c>
      <c r="M322" t="s">
        <v>9</v>
      </c>
      <c r="N322" t="s">
        <v>36</v>
      </c>
      <c r="O322" t="s">
        <v>33</v>
      </c>
      <c r="R322" t="s">
        <v>9</v>
      </c>
      <c r="U322" t="e">
        <f>VLOOKUP(A322,#REF!,6,FALSE)</f>
        <v>#REF!</v>
      </c>
    </row>
    <row r="323" spans="1:21" x14ac:dyDescent="0.25">
      <c r="A323">
        <v>989</v>
      </c>
      <c r="B323" s="9" t="s">
        <v>58</v>
      </c>
      <c r="C323" s="19" t="s">
        <v>157</v>
      </c>
      <c r="D323" s="6">
        <v>45502</v>
      </c>
      <c r="E323" s="7">
        <v>45502.41609953704</v>
      </c>
      <c r="F323" t="s">
        <v>148</v>
      </c>
      <c r="G323" t="s">
        <v>149</v>
      </c>
      <c r="I323" t="s">
        <v>31</v>
      </c>
      <c r="J323" s="11"/>
      <c r="K323" s="11">
        <v>-2300</v>
      </c>
      <c r="L323" s="4">
        <f t="shared" si="11"/>
        <v>-2300</v>
      </c>
      <c r="N323" t="s">
        <v>32</v>
      </c>
      <c r="O323" t="s">
        <v>33</v>
      </c>
      <c r="R323" t="s">
        <v>6</v>
      </c>
      <c r="U323" t="e">
        <f>VLOOKUP(A323,#REF!,6,FALSE)</f>
        <v>#REF!</v>
      </c>
    </row>
    <row r="324" spans="1:21" x14ac:dyDescent="0.25">
      <c r="A324">
        <v>990</v>
      </c>
      <c r="B324" s="9" t="s">
        <v>58</v>
      </c>
      <c r="C324" s="19" t="s">
        <v>157</v>
      </c>
      <c r="D324" s="6">
        <v>45502</v>
      </c>
      <c r="E324" s="7">
        <v>45502.462199074071</v>
      </c>
      <c r="F324" t="s">
        <v>248</v>
      </c>
      <c r="G324" t="s">
        <v>249</v>
      </c>
      <c r="H324" t="s">
        <v>49</v>
      </c>
      <c r="J324" s="11">
        <v>225</v>
      </c>
      <c r="K324" s="11"/>
      <c r="L324" s="4">
        <f t="shared" si="11"/>
        <v>225</v>
      </c>
      <c r="M324" t="s">
        <v>7</v>
      </c>
      <c r="N324" t="s">
        <v>37</v>
      </c>
      <c r="O324" t="s">
        <v>33</v>
      </c>
      <c r="R324" t="s">
        <v>7</v>
      </c>
      <c r="U324" t="e">
        <f>VLOOKUP(A324,#REF!,6,FALSE)</f>
        <v>#REF!</v>
      </c>
    </row>
    <row r="325" spans="1:21" x14ac:dyDescent="0.25">
      <c r="A325">
        <v>991</v>
      </c>
      <c r="B325" s="9" t="s">
        <v>58</v>
      </c>
      <c r="C325" s="19" t="s">
        <v>157</v>
      </c>
      <c r="D325" s="6">
        <v>45503</v>
      </c>
      <c r="E325" s="7">
        <v>45503.242986111109</v>
      </c>
      <c r="F325" t="s">
        <v>250</v>
      </c>
      <c r="G325" t="s">
        <v>34</v>
      </c>
      <c r="I325" t="s">
        <v>35</v>
      </c>
      <c r="J325" s="11"/>
      <c r="K325" s="11">
        <v>-119.85</v>
      </c>
      <c r="L325" s="4">
        <f t="shared" si="11"/>
        <v>-119.85</v>
      </c>
      <c r="N325" t="s">
        <v>32</v>
      </c>
      <c r="O325" t="s">
        <v>33</v>
      </c>
      <c r="R325" t="s">
        <v>385</v>
      </c>
      <c r="U325" t="e">
        <f>VLOOKUP(A325,#REF!,6,FALSE)</f>
        <v>#REF!</v>
      </c>
    </row>
    <row r="326" spans="1:21" x14ac:dyDescent="0.25">
      <c r="A326">
        <v>992</v>
      </c>
      <c r="B326" s="9" t="s">
        <v>58</v>
      </c>
      <c r="C326" s="19" t="s">
        <v>157</v>
      </c>
      <c r="D326" s="6">
        <v>45504</v>
      </c>
      <c r="E326" s="7">
        <v>45504.508715277778</v>
      </c>
      <c r="F326" t="s">
        <v>251</v>
      </c>
      <c r="I326" t="s">
        <v>251</v>
      </c>
      <c r="J326" s="11"/>
      <c r="K326" s="11">
        <v>-5.6</v>
      </c>
      <c r="L326" s="4">
        <f t="shared" si="11"/>
        <v>-5.6</v>
      </c>
      <c r="M326" t="s">
        <v>38</v>
      </c>
      <c r="N326" t="s">
        <v>36</v>
      </c>
      <c r="O326" t="s">
        <v>33</v>
      </c>
      <c r="R326" t="s">
        <v>61</v>
      </c>
      <c r="U326" t="e">
        <f>VLOOKUP(A326,#REF!,6,FALSE)</f>
        <v>#REF!</v>
      </c>
    </row>
    <row r="327" spans="1:21" x14ac:dyDescent="0.25">
      <c r="A327">
        <v>993</v>
      </c>
      <c r="B327" s="9" t="s">
        <v>58</v>
      </c>
      <c r="C327" s="19" t="s">
        <v>157</v>
      </c>
      <c r="D327" s="6">
        <v>45504</v>
      </c>
      <c r="E327" s="7">
        <v>45504.584780092591</v>
      </c>
      <c r="F327" t="s">
        <v>148</v>
      </c>
      <c r="G327" t="s">
        <v>149</v>
      </c>
      <c r="I327" t="s">
        <v>31</v>
      </c>
      <c r="J327" s="11"/>
      <c r="K327" s="11">
        <v>-400</v>
      </c>
      <c r="L327" s="4">
        <f t="shared" si="11"/>
        <v>-400</v>
      </c>
      <c r="N327" t="s">
        <v>32</v>
      </c>
      <c r="O327" t="s">
        <v>33</v>
      </c>
      <c r="R327" t="s">
        <v>6</v>
      </c>
      <c r="U327" t="e">
        <f>VLOOKUP(A327,#REF!,6,FALSE)</f>
        <v>#REF!</v>
      </c>
    </row>
    <row r="328" spans="1:21" x14ac:dyDescent="0.25">
      <c r="A328">
        <v>1269</v>
      </c>
      <c r="B328" s="9" t="s">
        <v>58</v>
      </c>
      <c r="C328" s="19" t="s">
        <v>157</v>
      </c>
      <c r="D328" s="6">
        <v>45665</v>
      </c>
      <c r="E328" s="7">
        <v>45665.881689814814</v>
      </c>
      <c r="F328" t="s">
        <v>71</v>
      </c>
      <c r="I328" t="s">
        <v>71</v>
      </c>
      <c r="J328" s="11"/>
      <c r="K328" s="11">
        <v>-36.93</v>
      </c>
      <c r="L328" s="4">
        <f t="shared" si="11"/>
        <v>-36.93</v>
      </c>
      <c r="M328" t="s">
        <v>38</v>
      </c>
      <c r="N328" t="s">
        <v>36</v>
      </c>
      <c r="O328" t="s">
        <v>33</v>
      </c>
      <c r="R328" t="s">
        <v>465</v>
      </c>
      <c r="U328" t="e">
        <f>VLOOKUP(A328,#REF!,6,FALSE)</f>
        <v>#REF!</v>
      </c>
    </row>
    <row r="329" spans="1:21" x14ac:dyDescent="0.25">
      <c r="A329">
        <v>995</v>
      </c>
      <c r="B329" s="9" t="s">
        <v>58</v>
      </c>
      <c r="C329" s="19" t="s">
        <v>157</v>
      </c>
      <c r="D329" s="6">
        <v>45505</v>
      </c>
      <c r="E329" s="7">
        <v>45505.329918981479</v>
      </c>
      <c r="F329" t="s">
        <v>87</v>
      </c>
      <c r="I329" t="s">
        <v>87</v>
      </c>
      <c r="J329" s="11"/>
      <c r="K329" s="11">
        <v>-3.95</v>
      </c>
      <c r="L329" s="4">
        <f t="shared" si="11"/>
        <v>-3.95</v>
      </c>
      <c r="M329" t="s">
        <v>38</v>
      </c>
      <c r="N329" t="s">
        <v>36</v>
      </c>
      <c r="O329" t="s">
        <v>33</v>
      </c>
      <c r="R329" t="s">
        <v>61</v>
      </c>
      <c r="U329" t="e">
        <f>VLOOKUP(A329,#REF!,6,FALSE)</f>
        <v>#REF!</v>
      </c>
    </row>
    <row r="330" spans="1:21" x14ac:dyDescent="0.25">
      <c r="A330">
        <v>996</v>
      </c>
      <c r="B330" s="9" t="s">
        <v>58</v>
      </c>
      <c r="C330" s="19" t="s">
        <v>157</v>
      </c>
      <c r="D330" s="6">
        <v>45505</v>
      </c>
      <c r="E330" s="7">
        <v>45505.365995370368</v>
      </c>
      <c r="F330" t="s">
        <v>254</v>
      </c>
      <c r="I330" t="s">
        <v>254</v>
      </c>
      <c r="J330" s="11"/>
      <c r="K330" s="11">
        <v>-4.5</v>
      </c>
      <c r="L330" s="4">
        <f t="shared" si="11"/>
        <v>-4.5</v>
      </c>
      <c r="M330" t="s">
        <v>38</v>
      </c>
      <c r="N330" t="s">
        <v>36</v>
      </c>
      <c r="O330" t="s">
        <v>33</v>
      </c>
      <c r="R330" t="s">
        <v>61</v>
      </c>
      <c r="U330" t="e">
        <f>VLOOKUP(A330,#REF!,6,FALSE)</f>
        <v>#REF!</v>
      </c>
    </row>
    <row r="331" spans="1:21" x14ac:dyDescent="0.25">
      <c r="A331">
        <v>997</v>
      </c>
      <c r="B331" s="9" t="s">
        <v>58</v>
      </c>
      <c r="C331" s="19" t="s">
        <v>157</v>
      </c>
      <c r="D331" s="6">
        <v>45505</v>
      </c>
      <c r="E331" s="7">
        <v>45505.55641203704</v>
      </c>
      <c r="F331" t="s">
        <v>18</v>
      </c>
      <c r="I331" t="s">
        <v>18</v>
      </c>
      <c r="J331" s="11"/>
      <c r="K331" s="11">
        <v>-8.5</v>
      </c>
      <c r="L331" s="4">
        <f t="shared" ref="L331:L394" si="12">J331+K331</f>
        <v>-8.5</v>
      </c>
      <c r="M331" t="s">
        <v>9</v>
      </c>
      <c r="N331" t="s">
        <v>36</v>
      </c>
      <c r="O331" t="s">
        <v>33</v>
      </c>
      <c r="R331" t="s">
        <v>9</v>
      </c>
      <c r="U331" t="e">
        <f>VLOOKUP(A331,#REF!,6,FALSE)</f>
        <v>#REF!</v>
      </c>
    </row>
    <row r="332" spans="1:21" x14ac:dyDescent="0.25">
      <c r="A332">
        <v>998</v>
      </c>
      <c r="B332" s="9" t="s">
        <v>58</v>
      </c>
      <c r="C332" s="19" t="s">
        <v>157</v>
      </c>
      <c r="D332" s="6">
        <v>45506</v>
      </c>
      <c r="E332" s="7">
        <v>45506.086793981478</v>
      </c>
      <c r="F332" t="s">
        <v>255</v>
      </c>
      <c r="G332">
        <v>1968672</v>
      </c>
      <c r="H332" t="s">
        <v>52</v>
      </c>
      <c r="J332" s="11">
        <v>1710</v>
      </c>
      <c r="K332" s="11"/>
      <c r="L332" s="4">
        <f t="shared" si="12"/>
        <v>1710</v>
      </c>
      <c r="M332" t="s">
        <v>7</v>
      </c>
      <c r="N332" t="s">
        <v>37</v>
      </c>
      <c r="O332" t="s">
        <v>33</v>
      </c>
      <c r="R332" t="s">
        <v>7</v>
      </c>
      <c r="U332" t="e">
        <f>VLOOKUP(A332,#REF!,6,FALSE)</f>
        <v>#REF!</v>
      </c>
    </row>
    <row r="333" spans="1:21" x14ac:dyDescent="0.25">
      <c r="A333">
        <v>999</v>
      </c>
      <c r="B333" s="9" t="s">
        <v>58</v>
      </c>
      <c r="C333" s="19" t="s">
        <v>157</v>
      </c>
      <c r="D333" s="6">
        <v>45506</v>
      </c>
      <c r="E333" s="7">
        <v>45506.138599537036</v>
      </c>
      <c r="F333" t="s">
        <v>18</v>
      </c>
      <c r="I333" t="s">
        <v>18</v>
      </c>
      <c r="J333" s="11"/>
      <c r="K333" s="11">
        <v>-8.5</v>
      </c>
      <c r="L333" s="4">
        <f t="shared" si="12"/>
        <v>-8.5</v>
      </c>
      <c r="M333" t="s">
        <v>9</v>
      </c>
      <c r="N333" t="s">
        <v>36</v>
      </c>
      <c r="O333" t="s">
        <v>33</v>
      </c>
      <c r="R333" t="s">
        <v>9</v>
      </c>
      <c r="U333" t="e">
        <f>VLOOKUP(A333,#REF!,6,FALSE)</f>
        <v>#REF!</v>
      </c>
    </row>
    <row r="334" spans="1:21" x14ac:dyDescent="0.25">
      <c r="A334">
        <v>1000</v>
      </c>
      <c r="B334" s="9" t="s">
        <v>58</v>
      </c>
      <c r="C334" s="19" t="s">
        <v>157</v>
      </c>
      <c r="D334" s="6">
        <v>45506</v>
      </c>
      <c r="E334" s="7">
        <v>45506.177395833336</v>
      </c>
      <c r="F334" t="s">
        <v>256</v>
      </c>
      <c r="G334" t="s">
        <v>257</v>
      </c>
      <c r="I334" t="s">
        <v>237</v>
      </c>
      <c r="J334" s="11"/>
      <c r="K334" s="11">
        <v>-86.89</v>
      </c>
      <c r="L334" s="4">
        <f t="shared" si="12"/>
        <v>-86.89</v>
      </c>
      <c r="M334" t="s">
        <v>43</v>
      </c>
      <c r="N334" t="s">
        <v>238</v>
      </c>
      <c r="O334" t="s">
        <v>33</v>
      </c>
      <c r="R334" t="s">
        <v>12</v>
      </c>
      <c r="U334" t="e">
        <f>VLOOKUP(A334,#REF!,6,FALSE)</f>
        <v>#REF!</v>
      </c>
    </row>
    <row r="335" spans="1:21" x14ac:dyDescent="0.25">
      <c r="A335">
        <v>1267</v>
      </c>
      <c r="B335" s="9" t="s">
        <v>58</v>
      </c>
      <c r="C335" s="19" t="s">
        <v>157</v>
      </c>
      <c r="D335" s="6">
        <v>45665</v>
      </c>
      <c r="E335" s="7">
        <v>45665.665775462963</v>
      </c>
      <c r="F335" t="s">
        <v>404</v>
      </c>
      <c r="I335" t="s">
        <v>404</v>
      </c>
      <c r="J335" s="11"/>
      <c r="K335" s="11">
        <v>-25.5</v>
      </c>
      <c r="L335" s="4">
        <f t="shared" si="12"/>
        <v>-25.5</v>
      </c>
      <c r="M335" t="s">
        <v>199</v>
      </c>
      <c r="N335" t="s">
        <v>36</v>
      </c>
      <c r="O335" t="s">
        <v>33</v>
      </c>
      <c r="R335" t="s">
        <v>451</v>
      </c>
      <c r="U335" t="e">
        <f>VLOOKUP(A335,#REF!,6,FALSE)</f>
        <v>#REF!</v>
      </c>
    </row>
    <row r="336" spans="1:21" x14ac:dyDescent="0.25">
      <c r="A336">
        <v>813</v>
      </c>
      <c r="B336" s="9" t="s">
        <v>58</v>
      </c>
      <c r="C336" s="19" t="s">
        <v>157</v>
      </c>
      <c r="D336" s="6">
        <v>45408</v>
      </c>
      <c r="E336" s="7">
        <v>45408.740972222222</v>
      </c>
      <c r="F336" t="s">
        <v>150</v>
      </c>
      <c r="J336" s="11"/>
      <c r="K336" s="11">
        <v>-7.47</v>
      </c>
      <c r="L336" s="4">
        <f t="shared" si="12"/>
        <v>-7.47</v>
      </c>
      <c r="N336" t="s">
        <v>36</v>
      </c>
      <c r="O336" t="s">
        <v>33</v>
      </c>
      <c r="Q336" s="5">
        <f>Q335+L336</f>
        <v>-7.47</v>
      </c>
      <c r="R336" t="s">
        <v>463</v>
      </c>
      <c r="T336" t="s">
        <v>150</v>
      </c>
      <c r="U336" t="e">
        <f>VLOOKUP(A336,#REF!,6,FALSE)</f>
        <v>#REF!</v>
      </c>
    </row>
    <row r="337" spans="1:21" x14ac:dyDescent="0.25">
      <c r="A337">
        <v>1003</v>
      </c>
      <c r="B337" s="9" t="s">
        <v>58</v>
      </c>
      <c r="C337" s="19" t="s">
        <v>157</v>
      </c>
      <c r="D337" s="6">
        <v>45510</v>
      </c>
      <c r="E337" s="7">
        <v>45510.087453703702</v>
      </c>
      <c r="F337" t="s">
        <v>258</v>
      </c>
      <c r="G337">
        <v>1968839</v>
      </c>
      <c r="H337" t="s">
        <v>52</v>
      </c>
      <c r="J337" s="11">
        <v>375</v>
      </c>
      <c r="K337" s="11"/>
      <c r="L337" s="4">
        <f t="shared" si="12"/>
        <v>375</v>
      </c>
      <c r="M337" t="s">
        <v>7</v>
      </c>
      <c r="N337" t="s">
        <v>37</v>
      </c>
      <c r="O337" t="s">
        <v>33</v>
      </c>
      <c r="R337" t="s">
        <v>7</v>
      </c>
      <c r="U337" t="e">
        <f>VLOOKUP(A337,#REF!,6,FALSE)</f>
        <v>#REF!</v>
      </c>
    </row>
    <row r="338" spans="1:21" x14ac:dyDescent="0.25">
      <c r="A338">
        <v>1004</v>
      </c>
      <c r="B338" s="9" t="s">
        <v>58</v>
      </c>
      <c r="C338" s="19" t="s">
        <v>157</v>
      </c>
      <c r="D338" s="6">
        <v>45510</v>
      </c>
      <c r="E338" s="7">
        <v>45510.259594907409</v>
      </c>
      <c r="F338" t="s">
        <v>259</v>
      </c>
      <c r="G338" t="s">
        <v>260</v>
      </c>
      <c r="I338" t="s">
        <v>31</v>
      </c>
      <c r="J338" s="11"/>
      <c r="K338" s="11">
        <v>-300</v>
      </c>
      <c r="L338" s="4">
        <f t="shared" si="12"/>
        <v>-300</v>
      </c>
      <c r="N338" t="s">
        <v>32</v>
      </c>
      <c r="O338" t="s">
        <v>33</v>
      </c>
      <c r="R338" t="s">
        <v>6</v>
      </c>
      <c r="U338" t="e">
        <f>VLOOKUP(A338,#REF!,6,FALSE)</f>
        <v>#REF!</v>
      </c>
    </row>
    <row r="339" spans="1:21" x14ac:dyDescent="0.25">
      <c r="A339">
        <v>1005</v>
      </c>
      <c r="B339" s="9" t="s">
        <v>58</v>
      </c>
      <c r="C339" s="19" t="s">
        <v>157</v>
      </c>
      <c r="D339" s="6">
        <v>45511</v>
      </c>
      <c r="E339" s="7">
        <v>45511.088969907411</v>
      </c>
      <c r="F339" t="s">
        <v>261</v>
      </c>
      <c r="G339">
        <v>1969086</v>
      </c>
      <c r="H339" t="s">
        <v>52</v>
      </c>
      <c r="J339" s="11">
        <v>375</v>
      </c>
      <c r="K339" s="11"/>
      <c r="L339" s="4">
        <f t="shared" si="12"/>
        <v>375</v>
      </c>
      <c r="M339" t="s">
        <v>7</v>
      </c>
      <c r="N339" t="s">
        <v>37</v>
      </c>
      <c r="O339" t="s">
        <v>33</v>
      </c>
      <c r="R339" t="s">
        <v>7</v>
      </c>
      <c r="U339" t="e">
        <f>VLOOKUP(A339,#REF!,6,FALSE)</f>
        <v>#REF!</v>
      </c>
    </row>
    <row r="340" spans="1:21" x14ac:dyDescent="0.25">
      <c r="A340">
        <v>1006</v>
      </c>
      <c r="B340" s="9" t="s">
        <v>58</v>
      </c>
      <c r="C340" s="19" t="s">
        <v>157</v>
      </c>
      <c r="D340" s="6">
        <v>45511</v>
      </c>
      <c r="E340" s="7">
        <v>45511.271597222221</v>
      </c>
      <c r="F340" t="s">
        <v>259</v>
      </c>
      <c r="G340" t="s">
        <v>260</v>
      </c>
      <c r="I340" t="s">
        <v>31</v>
      </c>
      <c r="J340" s="11"/>
      <c r="K340" s="11">
        <v>-400</v>
      </c>
      <c r="L340" s="4">
        <f t="shared" si="12"/>
        <v>-400</v>
      </c>
      <c r="N340" t="s">
        <v>32</v>
      </c>
      <c r="O340" t="s">
        <v>33</v>
      </c>
      <c r="R340" t="s">
        <v>6</v>
      </c>
      <c r="U340" t="e">
        <f>VLOOKUP(A340,#REF!,6,FALSE)</f>
        <v>#REF!</v>
      </c>
    </row>
    <row r="341" spans="1:21" x14ac:dyDescent="0.25">
      <c r="A341">
        <v>1007</v>
      </c>
      <c r="B341" s="9" t="s">
        <v>58</v>
      </c>
      <c r="C341" s="19" t="s">
        <v>157</v>
      </c>
      <c r="D341" s="6">
        <v>45511</v>
      </c>
      <c r="E341" s="7">
        <v>45511.359606481485</v>
      </c>
      <c r="F341" t="s">
        <v>80</v>
      </c>
      <c r="I341" t="s">
        <v>80</v>
      </c>
      <c r="J341" s="11"/>
      <c r="K341" s="11">
        <v>-4.2</v>
      </c>
      <c r="L341" s="4">
        <f t="shared" si="12"/>
        <v>-4.2</v>
      </c>
      <c r="M341" t="s">
        <v>38</v>
      </c>
      <c r="N341" t="s">
        <v>36</v>
      </c>
      <c r="O341" t="s">
        <v>33</v>
      </c>
      <c r="R341" t="s">
        <v>61</v>
      </c>
      <c r="U341" t="e">
        <f>VLOOKUP(A341,#REF!,6,FALSE)</f>
        <v>#REF!</v>
      </c>
    </row>
    <row r="342" spans="1:21" x14ac:dyDescent="0.25">
      <c r="A342">
        <v>1008</v>
      </c>
      <c r="B342" s="9" t="s">
        <v>58</v>
      </c>
      <c r="C342" s="19" t="s">
        <v>157</v>
      </c>
      <c r="D342" s="6">
        <v>45512</v>
      </c>
      <c r="E342" s="7">
        <v>45512.560752314814</v>
      </c>
      <c r="F342" t="s">
        <v>18</v>
      </c>
      <c r="I342" t="s">
        <v>18</v>
      </c>
      <c r="J342" s="11"/>
      <c r="K342" s="11">
        <v>-11.95</v>
      </c>
      <c r="L342" s="4">
        <f t="shared" si="12"/>
        <v>-11.95</v>
      </c>
      <c r="M342" t="s">
        <v>9</v>
      </c>
      <c r="N342" t="s">
        <v>36</v>
      </c>
      <c r="O342" t="s">
        <v>33</v>
      </c>
      <c r="R342" t="s">
        <v>9</v>
      </c>
      <c r="U342" t="e">
        <f>VLOOKUP(A342,#REF!,6,FALSE)</f>
        <v>#REF!</v>
      </c>
    </row>
    <row r="343" spans="1:21" x14ac:dyDescent="0.25">
      <c r="A343">
        <v>1009</v>
      </c>
      <c r="B343" s="9" t="s">
        <v>58</v>
      </c>
      <c r="C343" s="19" t="s">
        <v>157</v>
      </c>
      <c r="D343" s="6">
        <v>45513</v>
      </c>
      <c r="E343" s="7">
        <v>45513.090567129628</v>
      </c>
      <c r="F343" t="s">
        <v>262</v>
      </c>
      <c r="G343">
        <v>1969485</v>
      </c>
      <c r="H343" t="s">
        <v>52</v>
      </c>
      <c r="J343" s="11">
        <v>1500</v>
      </c>
      <c r="K343" s="11"/>
      <c r="L343" s="4">
        <f t="shared" si="12"/>
        <v>1500</v>
      </c>
      <c r="M343" t="s">
        <v>7</v>
      </c>
      <c r="N343" t="s">
        <v>37</v>
      </c>
      <c r="O343" t="s">
        <v>33</v>
      </c>
      <c r="R343" t="s">
        <v>7</v>
      </c>
      <c r="U343" t="e">
        <f>VLOOKUP(A343,#REF!,6,FALSE)</f>
        <v>#REF!</v>
      </c>
    </row>
    <row r="344" spans="1:21" x14ac:dyDescent="0.25">
      <c r="A344">
        <v>1010</v>
      </c>
      <c r="B344" s="9" t="s">
        <v>58</v>
      </c>
      <c r="C344" s="19" t="s">
        <v>157</v>
      </c>
      <c r="D344" s="6">
        <v>45513</v>
      </c>
      <c r="E344" s="7">
        <v>45513.408541666664</v>
      </c>
      <c r="F344" t="s">
        <v>73</v>
      </c>
      <c r="I344" t="s">
        <v>73</v>
      </c>
      <c r="J344" s="11"/>
      <c r="K344" s="11">
        <v>-2.9</v>
      </c>
      <c r="L344" s="4">
        <f t="shared" si="12"/>
        <v>-2.9</v>
      </c>
      <c r="M344" t="s">
        <v>38</v>
      </c>
      <c r="N344" t="s">
        <v>36</v>
      </c>
      <c r="O344" t="s">
        <v>33</v>
      </c>
      <c r="R344" t="s">
        <v>61</v>
      </c>
      <c r="U344" t="e">
        <f>VLOOKUP(A344,#REF!,6,FALSE)</f>
        <v>#REF!</v>
      </c>
    </row>
    <row r="345" spans="1:21" x14ac:dyDescent="0.25">
      <c r="A345">
        <v>1011</v>
      </c>
      <c r="B345" s="9" t="s">
        <v>58</v>
      </c>
      <c r="C345" s="19" t="s">
        <v>157</v>
      </c>
      <c r="D345" s="6">
        <v>45514</v>
      </c>
      <c r="E345" s="7">
        <v>45514.132650462961</v>
      </c>
      <c r="F345" t="s">
        <v>18</v>
      </c>
      <c r="I345" t="s">
        <v>18</v>
      </c>
      <c r="J345" s="11"/>
      <c r="K345" s="11">
        <v>-20.8</v>
      </c>
      <c r="L345" s="4">
        <f t="shared" si="12"/>
        <v>-20.8</v>
      </c>
      <c r="M345" t="s">
        <v>9</v>
      </c>
      <c r="N345" t="s">
        <v>36</v>
      </c>
      <c r="O345" t="s">
        <v>33</v>
      </c>
      <c r="R345" t="s">
        <v>9</v>
      </c>
      <c r="U345" t="e">
        <f>VLOOKUP(A345,#REF!,6,FALSE)</f>
        <v>#REF!</v>
      </c>
    </row>
    <row r="346" spans="1:21" x14ac:dyDescent="0.25">
      <c r="A346">
        <v>820</v>
      </c>
      <c r="B346" s="9" t="s">
        <v>58</v>
      </c>
      <c r="C346" s="19" t="s">
        <v>157</v>
      </c>
      <c r="D346" s="6">
        <v>45412</v>
      </c>
      <c r="E346" s="7">
        <v>45412.531944444447</v>
      </c>
      <c r="F346" t="s">
        <v>156</v>
      </c>
      <c r="J346" s="11"/>
      <c r="K346" s="11">
        <v>-10.65</v>
      </c>
      <c r="L346" s="4">
        <f t="shared" si="12"/>
        <v>-10.65</v>
      </c>
      <c r="M346" t="s">
        <v>44</v>
      </c>
      <c r="N346" t="s">
        <v>36</v>
      </c>
      <c r="O346" t="s">
        <v>33</v>
      </c>
      <c r="Q346" s="5">
        <f>Q345+L346</f>
        <v>-10.65</v>
      </c>
      <c r="R346" t="s">
        <v>463</v>
      </c>
      <c r="T346" t="s">
        <v>156</v>
      </c>
      <c r="U346" t="e">
        <f>VLOOKUP(A346,#REF!,6,FALSE)</f>
        <v>#REF!</v>
      </c>
    </row>
    <row r="347" spans="1:21" x14ac:dyDescent="0.25">
      <c r="A347">
        <v>1013</v>
      </c>
      <c r="B347" s="9" t="s">
        <v>58</v>
      </c>
      <c r="C347" s="19" t="s">
        <v>157</v>
      </c>
      <c r="D347" s="6">
        <v>45515</v>
      </c>
      <c r="E347" s="7">
        <v>45515.454143518517</v>
      </c>
      <c r="F347" t="s">
        <v>148</v>
      </c>
      <c r="G347" t="s">
        <v>149</v>
      </c>
      <c r="I347" t="s">
        <v>31</v>
      </c>
      <c r="J347" s="11"/>
      <c r="K347" s="11">
        <v>-2000</v>
      </c>
      <c r="L347" s="4">
        <f t="shared" si="12"/>
        <v>-2000</v>
      </c>
      <c r="N347" t="s">
        <v>32</v>
      </c>
      <c r="O347" t="s">
        <v>33</v>
      </c>
      <c r="R347" t="s">
        <v>6</v>
      </c>
      <c r="U347" t="e">
        <f>VLOOKUP(A347,#REF!,6,FALSE)</f>
        <v>#REF!</v>
      </c>
    </row>
    <row r="348" spans="1:21" x14ac:dyDescent="0.25">
      <c r="A348">
        <v>1014</v>
      </c>
      <c r="B348" s="9" t="s">
        <v>58</v>
      </c>
      <c r="C348" s="19" t="s">
        <v>157</v>
      </c>
      <c r="D348" s="6">
        <v>45515</v>
      </c>
      <c r="E348" s="7">
        <v>45515.455636574072</v>
      </c>
      <c r="F348" t="s">
        <v>108</v>
      </c>
      <c r="G348" t="s">
        <v>110</v>
      </c>
      <c r="H348" t="s">
        <v>51</v>
      </c>
      <c r="J348" s="11">
        <v>700</v>
      </c>
      <c r="K348" s="11"/>
      <c r="L348" s="4">
        <f t="shared" si="12"/>
        <v>700</v>
      </c>
      <c r="M348" t="s">
        <v>7</v>
      </c>
      <c r="N348" t="s">
        <v>37</v>
      </c>
      <c r="O348" t="s">
        <v>33</v>
      </c>
      <c r="R348" t="s">
        <v>6</v>
      </c>
      <c r="U348" t="e">
        <f>VLOOKUP(A348,#REF!,6,FALSE)</f>
        <v>#REF!</v>
      </c>
    </row>
    <row r="349" spans="1:21" x14ac:dyDescent="0.25">
      <c r="A349">
        <v>1015</v>
      </c>
      <c r="B349" s="9" t="s">
        <v>58</v>
      </c>
      <c r="C349" s="19" t="s">
        <v>157</v>
      </c>
      <c r="D349" s="6">
        <v>45517</v>
      </c>
      <c r="E349" s="7">
        <v>45517.560370370367</v>
      </c>
      <c r="F349" t="s">
        <v>18</v>
      </c>
      <c r="I349" t="s">
        <v>18</v>
      </c>
      <c r="J349" s="11"/>
      <c r="K349" s="11">
        <v>-4.55</v>
      </c>
      <c r="L349" s="4">
        <f t="shared" si="12"/>
        <v>-4.55</v>
      </c>
      <c r="M349" t="s">
        <v>9</v>
      </c>
      <c r="N349" t="s">
        <v>36</v>
      </c>
      <c r="O349" t="s">
        <v>33</v>
      </c>
      <c r="R349" t="s">
        <v>9</v>
      </c>
      <c r="U349" t="e">
        <f>VLOOKUP(A349,#REF!,6,FALSE)</f>
        <v>#REF!</v>
      </c>
    </row>
    <row r="350" spans="1:21" x14ac:dyDescent="0.25">
      <c r="A350">
        <v>1016</v>
      </c>
      <c r="B350" s="9" t="s">
        <v>58</v>
      </c>
      <c r="C350" s="19" t="s">
        <v>157</v>
      </c>
      <c r="D350" s="6">
        <v>45518</v>
      </c>
      <c r="E350" s="7">
        <v>45518.666192129633</v>
      </c>
      <c r="F350" t="s">
        <v>265</v>
      </c>
      <c r="I350" t="s">
        <v>265</v>
      </c>
      <c r="J350" s="11"/>
      <c r="K350" s="11">
        <v>-4.7</v>
      </c>
      <c r="L350" s="4">
        <f t="shared" si="12"/>
        <v>-4.7</v>
      </c>
      <c r="M350" t="s">
        <v>38</v>
      </c>
      <c r="N350" t="s">
        <v>36</v>
      </c>
      <c r="O350" t="s">
        <v>33</v>
      </c>
      <c r="R350" t="s">
        <v>61</v>
      </c>
      <c r="U350" t="e">
        <f>VLOOKUP(A350,#REF!,6,FALSE)</f>
        <v>#REF!</v>
      </c>
    </row>
    <row r="351" spans="1:21" x14ac:dyDescent="0.25">
      <c r="A351">
        <v>1017</v>
      </c>
      <c r="B351" s="9" t="s">
        <v>58</v>
      </c>
      <c r="C351" s="19" t="s">
        <v>157</v>
      </c>
      <c r="D351" s="6">
        <v>45519</v>
      </c>
      <c r="E351" s="7">
        <v>45519.559247685182</v>
      </c>
      <c r="F351" t="s">
        <v>18</v>
      </c>
      <c r="I351" t="s">
        <v>18</v>
      </c>
      <c r="J351" s="11"/>
      <c r="K351" s="11">
        <v>-8.5</v>
      </c>
      <c r="L351" s="4">
        <f t="shared" si="12"/>
        <v>-8.5</v>
      </c>
      <c r="M351" t="s">
        <v>9</v>
      </c>
      <c r="N351" t="s">
        <v>36</v>
      </c>
      <c r="O351" t="s">
        <v>33</v>
      </c>
      <c r="R351" t="s">
        <v>9</v>
      </c>
      <c r="U351" t="e">
        <f>VLOOKUP(A351,#REF!,6,FALSE)</f>
        <v>#REF!</v>
      </c>
    </row>
    <row r="352" spans="1:21" x14ac:dyDescent="0.25">
      <c r="A352">
        <v>1018</v>
      </c>
      <c r="B352" s="9" t="s">
        <v>58</v>
      </c>
      <c r="C352" s="19" t="s">
        <v>157</v>
      </c>
      <c r="D352" s="6">
        <v>45521</v>
      </c>
      <c r="E352" s="7">
        <v>45521.364120370374</v>
      </c>
      <c r="F352" t="s">
        <v>266</v>
      </c>
      <c r="I352" t="s">
        <v>266</v>
      </c>
      <c r="J352" s="11"/>
      <c r="K352" s="11">
        <v>-1.5</v>
      </c>
      <c r="L352" s="4">
        <f t="shared" si="12"/>
        <v>-1.5</v>
      </c>
      <c r="M352" t="s">
        <v>38</v>
      </c>
      <c r="N352" t="s">
        <v>36</v>
      </c>
      <c r="O352" t="s">
        <v>33</v>
      </c>
      <c r="R352" t="s">
        <v>61</v>
      </c>
      <c r="U352" t="e">
        <f>VLOOKUP(A352,#REF!,6,FALSE)</f>
        <v>#REF!</v>
      </c>
    </row>
    <row r="353" spans="1:21" x14ac:dyDescent="0.25">
      <c r="A353">
        <v>1019</v>
      </c>
      <c r="B353" s="9" t="s">
        <v>58</v>
      </c>
      <c r="C353" s="19" t="s">
        <v>157</v>
      </c>
      <c r="D353" s="6">
        <v>45521</v>
      </c>
      <c r="E353" s="7">
        <v>45521.370312500003</v>
      </c>
      <c r="F353" t="s">
        <v>267</v>
      </c>
      <c r="I353" t="s">
        <v>267</v>
      </c>
      <c r="J353" s="11"/>
      <c r="K353" s="11">
        <v>-3.7</v>
      </c>
      <c r="L353" s="4">
        <f t="shared" si="12"/>
        <v>-3.7</v>
      </c>
      <c r="M353" t="s">
        <v>38</v>
      </c>
      <c r="N353" t="s">
        <v>36</v>
      </c>
      <c r="O353" t="s">
        <v>33</v>
      </c>
      <c r="R353" t="s">
        <v>61</v>
      </c>
      <c r="U353" t="e">
        <f>VLOOKUP(A353,#REF!,6,FALSE)</f>
        <v>#REF!</v>
      </c>
    </row>
    <row r="354" spans="1:21" x14ac:dyDescent="0.25">
      <c r="A354">
        <v>1020</v>
      </c>
      <c r="B354" s="9" t="s">
        <v>58</v>
      </c>
      <c r="C354" s="19" t="s">
        <v>157</v>
      </c>
      <c r="D354" s="6">
        <v>45521</v>
      </c>
      <c r="E354" s="7">
        <v>45521.556064814817</v>
      </c>
      <c r="F354" t="s">
        <v>268</v>
      </c>
      <c r="I354" t="s">
        <v>268</v>
      </c>
      <c r="J354" s="11"/>
      <c r="K354" s="11">
        <v>-7.98</v>
      </c>
      <c r="L354" s="4">
        <f t="shared" si="12"/>
        <v>-7.98</v>
      </c>
      <c r="M354" t="s">
        <v>38</v>
      </c>
      <c r="N354" t="s">
        <v>36</v>
      </c>
      <c r="O354" t="s">
        <v>33</v>
      </c>
      <c r="R354" t="s">
        <v>61</v>
      </c>
      <c r="U354" t="e">
        <f>VLOOKUP(A354,#REF!,6,FALSE)</f>
        <v>#REF!</v>
      </c>
    </row>
    <row r="355" spans="1:21" x14ac:dyDescent="0.25">
      <c r="A355">
        <v>1021</v>
      </c>
      <c r="B355" s="9" t="s">
        <v>58</v>
      </c>
      <c r="C355" s="19" t="s">
        <v>157</v>
      </c>
      <c r="D355" s="6">
        <v>45522</v>
      </c>
      <c r="E355" s="7">
        <v>45522.122233796297</v>
      </c>
      <c r="F355" t="s">
        <v>18</v>
      </c>
      <c r="I355" t="s">
        <v>18</v>
      </c>
      <c r="J355" s="11"/>
      <c r="K355" s="11">
        <v>-9.65</v>
      </c>
      <c r="L355" s="4">
        <f t="shared" si="12"/>
        <v>-9.65</v>
      </c>
      <c r="M355" t="s">
        <v>9</v>
      </c>
      <c r="N355" t="s">
        <v>36</v>
      </c>
      <c r="O355" t="s">
        <v>33</v>
      </c>
      <c r="R355" t="s">
        <v>9</v>
      </c>
      <c r="U355" t="e">
        <f>VLOOKUP(A355,#REF!,6,FALSE)</f>
        <v>#REF!</v>
      </c>
    </row>
    <row r="356" spans="1:21" x14ac:dyDescent="0.25">
      <c r="A356">
        <v>1022</v>
      </c>
      <c r="B356" s="9" t="s">
        <v>58</v>
      </c>
      <c r="C356" s="19" t="s">
        <v>157</v>
      </c>
      <c r="D356" s="6">
        <v>45523</v>
      </c>
      <c r="E356" s="7">
        <v>45523.359768518516</v>
      </c>
      <c r="F356" t="s">
        <v>269</v>
      </c>
      <c r="G356" t="s">
        <v>270</v>
      </c>
      <c r="I356" t="s">
        <v>31</v>
      </c>
      <c r="J356" s="11"/>
      <c r="K356" s="11">
        <v>-200</v>
      </c>
      <c r="L356" s="4">
        <f t="shared" si="12"/>
        <v>-200</v>
      </c>
      <c r="N356" t="s">
        <v>32</v>
      </c>
      <c r="O356" t="s">
        <v>33</v>
      </c>
      <c r="R356" t="s">
        <v>6</v>
      </c>
      <c r="U356" t="e">
        <f>VLOOKUP(A356,#REF!,6,FALSE)</f>
        <v>#REF!</v>
      </c>
    </row>
    <row r="357" spans="1:21" x14ac:dyDescent="0.25">
      <c r="A357">
        <v>1023</v>
      </c>
      <c r="B357" s="9" t="s">
        <v>58</v>
      </c>
      <c r="C357" s="19" t="s">
        <v>157</v>
      </c>
      <c r="D357" s="6">
        <v>45523</v>
      </c>
      <c r="E357" s="7">
        <v>45523.818749999999</v>
      </c>
      <c r="F357" t="s">
        <v>271</v>
      </c>
      <c r="G357" t="s">
        <v>271</v>
      </c>
      <c r="J357" s="11"/>
      <c r="K357" s="11">
        <v>-2.2000000000000002</v>
      </c>
      <c r="L357" s="4">
        <f t="shared" si="12"/>
        <v>-2.2000000000000002</v>
      </c>
      <c r="M357" t="s">
        <v>186</v>
      </c>
      <c r="N357" t="s">
        <v>17</v>
      </c>
      <c r="O357" t="s">
        <v>33</v>
      </c>
      <c r="R357" s="3" t="s">
        <v>63</v>
      </c>
      <c r="U357" t="e">
        <f>VLOOKUP(A357,#REF!,6,FALSE)</f>
        <v>#REF!</v>
      </c>
    </row>
    <row r="358" spans="1:21" x14ac:dyDescent="0.25">
      <c r="A358">
        <v>1024</v>
      </c>
      <c r="B358" s="9" t="s">
        <v>58</v>
      </c>
      <c r="C358" s="19" t="s">
        <v>157</v>
      </c>
      <c r="D358" s="6">
        <v>45525</v>
      </c>
      <c r="E358" s="7">
        <v>45525.535636574074</v>
      </c>
      <c r="F358" t="s">
        <v>272</v>
      </c>
      <c r="I358" t="s">
        <v>272</v>
      </c>
      <c r="J358" s="11"/>
      <c r="K358" s="11">
        <v>-4.0999999999999996</v>
      </c>
      <c r="L358" s="4">
        <f t="shared" si="12"/>
        <v>-4.0999999999999996</v>
      </c>
      <c r="M358" t="s">
        <v>38</v>
      </c>
      <c r="N358" t="s">
        <v>36</v>
      </c>
      <c r="O358" t="s">
        <v>33</v>
      </c>
      <c r="R358" t="s">
        <v>61</v>
      </c>
      <c r="U358" t="e">
        <f>VLOOKUP(A358,#REF!,6,FALSE)</f>
        <v>#REF!</v>
      </c>
    </row>
    <row r="359" spans="1:21" x14ac:dyDescent="0.25">
      <c r="A359">
        <v>1025</v>
      </c>
      <c r="B359" s="9" t="s">
        <v>58</v>
      </c>
      <c r="C359" s="19" t="s">
        <v>157</v>
      </c>
      <c r="D359" s="6">
        <v>45525</v>
      </c>
      <c r="E359" s="7">
        <v>45525.653055555558</v>
      </c>
      <c r="F359" t="s">
        <v>241</v>
      </c>
      <c r="I359" t="s">
        <v>241</v>
      </c>
      <c r="J359" s="11"/>
      <c r="K359" s="11">
        <v>-3</v>
      </c>
      <c r="L359" s="4">
        <f t="shared" si="12"/>
        <v>-3</v>
      </c>
      <c r="M359" t="s">
        <v>38</v>
      </c>
      <c r="N359" t="s">
        <v>36</v>
      </c>
      <c r="O359" t="s">
        <v>33</v>
      </c>
      <c r="R359" t="s">
        <v>61</v>
      </c>
      <c r="U359" t="e">
        <f>VLOOKUP(A359,#REF!,6,FALSE)</f>
        <v>#REF!</v>
      </c>
    </row>
    <row r="360" spans="1:21" x14ac:dyDescent="0.25">
      <c r="A360">
        <v>1026</v>
      </c>
      <c r="B360" s="9" t="s">
        <v>58</v>
      </c>
      <c r="C360" s="19" t="s">
        <v>157</v>
      </c>
      <c r="D360" s="6">
        <v>45526</v>
      </c>
      <c r="E360" s="7">
        <v>45526.421331018515</v>
      </c>
      <c r="F360" t="s">
        <v>273</v>
      </c>
      <c r="I360" t="s">
        <v>273</v>
      </c>
      <c r="J360" s="11"/>
      <c r="K360" s="11">
        <v>-5.2</v>
      </c>
      <c r="L360" s="4">
        <f t="shared" si="12"/>
        <v>-5.2</v>
      </c>
      <c r="M360" t="s">
        <v>38</v>
      </c>
      <c r="N360" t="s">
        <v>36</v>
      </c>
      <c r="O360" t="s">
        <v>33</v>
      </c>
      <c r="R360" t="s">
        <v>61</v>
      </c>
      <c r="U360" t="e">
        <f>VLOOKUP(A360,#REF!,6,FALSE)</f>
        <v>#REF!</v>
      </c>
    </row>
    <row r="361" spans="1:21" x14ac:dyDescent="0.25">
      <c r="A361">
        <v>1027</v>
      </c>
      <c r="B361" s="9" t="s">
        <v>58</v>
      </c>
      <c r="C361" s="19" t="s">
        <v>157</v>
      </c>
      <c r="D361" s="6">
        <v>45526</v>
      </c>
      <c r="E361" s="7">
        <v>45526.556331018517</v>
      </c>
      <c r="F361" t="s">
        <v>18</v>
      </c>
      <c r="I361" t="s">
        <v>18</v>
      </c>
      <c r="J361" s="11"/>
      <c r="K361" s="11">
        <v>-6.2</v>
      </c>
      <c r="L361" s="4">
        <f t="shared" si="12"/>
        <v>-6.2</v>
      </c>
      <c r="M361" t="s">
        <v>9</v>
      </c>
      <c r="N361" t="s">
        <v>36</v>
      </c>
      <c r="O361" t="s">
        <v>33</v>
      </c>
      <c r="R361" t="s">
        <v>9</v>
      </c>
      <c r="U361" t="e">
        <f>VLOOKUP(A361,#REF!,6,FALSE)</f>
        <v>#REF!</v>
      </c>
    </row>
    <row r="362" spans="1:21" x14ac:dyDescent="0.25">
      <c r="A362">
        <v>1028</v>
      </c>
      <c r="B362" s="9" t="s">
        <v>58</v>
      </c>
      <c r="C362" s="19" t="s">
        <v>157</v>
      </c>
      <c r="D362" s="6">
        <v>45526</v>
      </c>
      <c r="E362" s="7">
        <v>45526.5781712963</v>
      </c>
      <c r="F362" t="s">
        <v>274</v>
      </c>
      <c r="I362" t="s">
        <v>274</v>
      </c>
      <c r="J362" s="11"/>
      <c r="K362" s="11">
        <v>-8</v>
      </c>
      <c r="L362" s="4">
        <f t="shared" si="12"/>
        <v>-8</v>
      </c>
      <c r="M362" t="s">
        <v>38</v>
      </c>
      <c r="N362" t="s">
        <v>36</v>
      </c>
      <c r="O362" t="s">
        <v>33</v>
      </c>
      <c r="R362" t="s">
        <v>61</v>
      </c>
      <c r="U362" t="e">
        <f>VLOOKUP(A362,#REF!,6,FALSE)</f>
        <v>#REF!</v>
      </c>
    </row>
    <row r="363" spans="1:21" x14ac:dyDescent="0.25">
      <c r="A363">
        <v>1029</v>
      </c>
      <c r="B363" s="9" t="s">
        <v>58</v>
      </c>
      <c r="C363" s="19" t="s">
        <v>157</v>
      </c>
      <c r="D363" s="6">
        <v>45527</v>
      </c>
      <c r="E363" s="7">
        <v>45527.569050925929</v>
      </c>
      <c r="F363" t="s">
        <v>18</v>
      </c>
      <c r="I363" t="s">
        <v>18</v>
      </c>
      <c r="J363" s="11"/>
      <c r="K363" s="11">
        <v>-8.5</v>
      </c>
      <c r="L363" s="4">
        <f t="shared" si="12"/>
        <v>-8.5</v>
      </c>
      <c r="M363" t="s">
        <v>9</v>
      </c>
      <c r="N363" t="s">
        <v>36</v>
      </c>
      <c r="O363" t="s">
        <v>33</v>
      </c>
      <c r="R363" t="s">
        <v>9</v>
      </c>
      <c r="U363" t="e">
        <f>VLOOKUP(A363,#REF!,6,FALSE)</f>
        <v>#REF!</v>
      </c>
    </row>
    <row r="364" spans="1:21" x14ac:dyDescent="0.25">
      <c r="A364">
        <v>1030</v>
      </c>
      <c r="B364" s="9" t="s">
        <v>58</v>
      </c>
      <c r="C364" s="19" t="s">
        <v>157</v>
      </c>
      <c r="D364" s="6">
        <v>45527</v>
      </c>
      <c r="E364" s="7">
        <v>45527.598171296297</v>
      </c>
      <c r="F364" t="s">
        <v>269</v>
      </c>
      <c r="G364" t="s">
        <v>270</v>
      </c>
      <c r="I364" t="s">
        <v>31</v>
      </c>
      <c r="J364" s="11"/>
      <c r="K364" s="11">
        <v>-300</v>
      </c>
      <c r="L364" s="4">
        <f t="shared" si="12"/>
        <v>-300</v>
      </c>
      <c r="N364" t="s">
        <v>32</v>
      </c>
      <c r="O364" t="s">
        <v>33</v>
      </c>
      <c r="R364" t="s">
        <v>6</v>
      </c>
      <c r="U364" t="e">
        <f>VLOOKUP(A364,#REF!,6,FALSE)</f>
        <v>#REF!</v>
      </c>
    </row>
    <row r="365" spans="1:21" x14ac:dyDescent="0.25">
      <c r="A365">
        <v>1031</v>
      </c>
      <c r="B365" s="9" t="s">
        <v>58</v>
      </c>
      <c r="C365" s="19" t="s">
        <v>157</v>
      </c>
      <c r="D365" s="6">
        <v>45527</v>
      </c>
      <c r="E365" s="7">
        <v>45527.701192129629</v>
      </c>
      <c r="F365" t="s">
        <v>275</v>
      </c>
      <c r="I365" t="s">
        <v>275</v>
      </c>
      <c r="J365" s="11"/>
      <c r="K365" s="11">
        <v>-2.5</v>
      </c>
      <c r="L365" s="4">
        <f t="shared" si="12"/>
        <v>-2.5</v>
      </c>
      <c r="M365" t="s">
        <v>38</v>
      </c>
      <c r="N365" t="s">
        <v>36</v>
      </c>
      <c r="O365" t="s">
        <v>33</v>
      </c>
      <c r="R365" t="s">
        <v>61</v>
      </c>
      <c r="U365" t="e">
        <f>VLOOKUP(A365,#REF!,6,FALSE)</f>
        <v>#REF!</v>
      </c>
    </row>
    <row r="366" spans="1:21" x14ac:dyDescent="0.25">
      <c r="A366">
        <v>1032</v>
      </c>
      <c r="B366" s="9" t="s">
        <v>58</v>
      </c>
      <c r="C366" s="19" t="s">
        <v>157</v>
      </c>
      <c r="D366" s="6">
        <v>45528</v>
      </c>
      <c r="E366" s="7">
        <v>45528.117974537039</v>
      </c>
      <c r="F366" t="s">
        <v>18</v>
      </c>
      <c r="I366" t="s">
        <v>18</v>
      </c>
      <c r="J366" s="11"/>
      <c r="K366" s="11">
        <v>-5.5</v>
      </c>
      <c r="L366" s="4">
        <f t="shared" si="12"/>
        <v>-5.5</v>
      </c>
      <c r="M366" t="s">
        <v>9</v>
      </c>
      <c r="N366" t="s">
        <v>36</v>
      </c>
      <c r="O366" t="s">
        <v>33</v>
      </c>
      <c r="R366" t="s">
        <v>9</v>
      </c>
      <c r="U366" t="e">
        <f>VLOOKUP(A366,#REF!,6,FALSE)</f>
        <v>#REF!</v>
      </c>
    </row>
    <row r="367" spans="1:21" x14ac:dyDescent="0.25">
      <c r="A367">
        <v>1033</v>
      </c>
      <c r="B367" s="9" t="s">
        <v>58</v>
      </c>
      <c r="C367" s="19" t="s">
        <v>157</v>
      </c>
      <c r="D367" s="6">
        <v>45528</v>
      </c>
      <c r="E367" s="7">
        <v>45528.347291666665</v>
      </c>
      <c r="F367" t="s">
        <v>78</v>
      </c>
      <c r="I367" t="s">
        <v>78</v>
      </c>
      <c r="J367" s="11"/>
      <c r="K367" s="11">
        <v>-2.4</v>
      </c>
      <c r="L367" s="4">
        <f t="shared" si="12"/>
        <v>-2.4</v>
      </c>
      <c r="M367" t="s">
        <v>38</v>
      </c>
      <c r="N367" t="s">
        <v>36</v>
      </c>
      <c r="O367" t="s">
        <v>33</v>
      </c>
      <c r="P367" t="s">
        <v>48</v>
      </c>
      <c r="R367" t="s">
        <v>61</v>
      </c>
      <c r="U367" t="e">
        <f>VLOOKUP(A367,#REF!,6,FALSE)</f>
        <v>#REF!</v>
      </c>
    </row>
    <row r="368" spans="1:21" x14ac:dyDescent="0.25">
      <c r="A368">
        <v>1034</v>
      </c>
      <c r="B368" s="9" t="s">
        <v>58</v>
      </c>
      <c r="C368" s="19" t="s">
        <v>157</v>
      </c>
      <c r="D368" s="6">
        <v>45528</v>
      </c>
      <c r="E368" s="7">
        <v>45528.361643518518</v>
      </c>
      <c r="F368" t="s">
        <v>276</v>
      </c>
      <c r="I368" t="s">
        <v>276</v>
      </c>
      <c r="J368" s="11"/>
      <c r="K368" s="11">
        <v>-3.98</v>
      </c>
      <c r="L368" s="4">
        <f t="shared" si="12"/>
        <v>-3.98</v>
      </c>
      <c r="M368" t="s">
        <v>38</v>
      </c>
      <c r="N368" t="s">
        <v>36</v>
      </c>
      <c r="O368" t="s">
        <v>33</v>
      </c>
      <c r="R368" t="s">
        <v>61</v>
      </c>
      <c r="U368" t="e">
        <f>VLOOKUP(A368,#REF!,6,FALSE)</f>
        <v>#REF!</v>
      </c>
    </row>
    <row r="369" spans="1:21" x14ac:dyDescent="0.25">
      <c r="A369">
        <v>1035</v>
      </c>
      <c r="B369" s="9" t="s">
        <v>58</v>
      </c>
      <c r="C369" s="19" t="s">
        <v>157</v>
      </c>
      <c r="D369" s="6">
        <v>45528</v>
      </c>
      <c r="E369" s="7">
        <v>45528.565127314818</v>
      </c>
      <c r="F369" t="s">
        <v>277</v>
      </c>
      <c r="I369" t="s">
        <v>277</v>
      </c>
      <c r="J369" s="11"/>
      <c r="K369" s="11">
        <v>-7.8</v>
      </c>
      <c r="L369" s="4">
        <f t="shared" si="12"/>
        <v>-7.8</v>
      </c>
      <c r="M369" t="s">
        <v>38</v>
      </c>
      <c r="N369" t="s">
        <v>36</v>
      </c>
      <c r="O369" t="s">
        <v>33</v>
      </c>
      <c r="R369" t="s">
        <v>61</v>
      </c>
      <c r="U369" t="e">
        <f>VLOOKUP(A369,#REF!,6,FALSE)</f>
        <v>#REF!</v>
      </c>
    </row>
    <row r="370" spans="1:21" x14ac:dyDescent="0.25">
      <c r="A370">
        <v>1036</v>
      </c>
      <c r="B370" s="9" t="s">
        <v>58</v>
      </c>
      <c r="C370" s="19" t="s">
        <v>157</v>
      </c>
      <c r="D370" s="6">
        <v>45529</v>
      </c>
      <c r="E370" s="7">
        <v>45529.550138888888</v>
      </c>
      <c r="F370" t="s">
        <v>18</v>
      </c>
      <c r="I370" t="s">
        <v>18</v>
      </c>
      <c r="J370" s="11"/>
      <c r="K370" s="11">
        <v>-3.8</v>
      </c>
      <c r="L370" s="4">
        <f t="shared" si="12"/>
        <v>-3.8</v>
      </c>
      <c r="M370" t="s">
        <v>9</v>
      </c>
      <c r="N370" t="s">
        <v>36</v>
      </c>
      <c r="O370" t="s">
        <v>33</v>
      </c>
      <c r="R370" t="s">
        <v>9</v>
      </c>
      <c r="U370" t="e">
        <f>VLOOKUP(A370,#REF!,6,FALSE)</f>
        <v>#REF!</v>
      </c>
    </row>
    <row r="371" spans="1:21" x14ac:dyDescent="0.25">
      <c r="A371">
        <v>1037</v>
      </c>
      <c r="B371" s="9" t="s">
        <v>58</v>
      </c>
      <c r="C371" s="19" t="s">
        <v>157</v>
      </c>
      <c r="D371" s="6">
        <v>45531</v>
      </c>
      <c r="E371" s="7">
        <v>45531.509270833332</v>
      </c>
      <c r="F371" t="s">
        <v>278</v>
      </c>
      <c r="I371" t="s">
        <v>278</v>
      </c>
      <c r="J371" s="11"/>
      <c r="K371" s="11">
        <v>-4</v>
      </c>
      <c r="L371" s="4">
        <f t="shared" si="12"/>
        <v>-4</v>
      </c>
      <c r="M371" t="s">
        <v>38</v>
      </c>
      <c r="N371" t="s">
        <v>36</v>
      </c>
      <c r="O371" t="s">
        <v>33</v>
      </c>
      <c r="R371" t="s">
        <v>61</v>
      </c>
      <c r="U371" t="e">
        <f>VLOOKUP(A371,#REF!,6,FALSE)</f>
        <v>#REF!</v>
      </c>
    </row>
    <row r="372" spans="1:21" x14ac:dyDescent="0.25">
      <c r="A372">
        <v>1038</v>
      </c>
      <c r="B372" s="9" t="s">
        <v>58</v>
      </c>
      <c r="C372" s="19" t="s">
        <v>157</v>
      </c>
      <c r="D372" s="6">
        <v>45531</v>
      </c>
      <c r="E372" s="7">
        <v>45531.552141203705</v>
      </c>
      <c r="F372" t="s">
        <v>18</v>
      </c>
      <c r="I372" t="s">
        <v>18</v>
      </c>
      <c r="J372" s="11"/>
      <c r="K372" s="11">
        <v>-6</v>
      </c>
      <c r="L372" s="4">
        <f t="shared" si="12"/>
        <v>-6</v>
      </c>
      <c r="M372" t="s">
        <v>9</v>
      </c>
      <c r="N372" t="s">
        <v>36</v>
      </c>
      <c r="O372" t="s">
        <v>33</v>
      </c>
      <c r="R372" t="s">
        <v>9</v>
      </c>
      <c r="U372" t="e">
        <f>VLOOKUP(A372,#REF!,6,FALSE)</f>
        <v>#REF!</v>
      </c>
    </row>
    <row r="373" spans="1:21" x14ac:dyDescent="0.25">
      <c r="A373">
        <v>1039</v>
      </c>
      <c r="B373" s="9" t="s">
        <v>58</v>
      </c>
      <c r="C373" s="19" t="s">
        <v>157</v>
      </c>
      <c r="D373" s="6">
        <v>45531</v>
      </c>
      <c r="E373" s="7">
        <v>45531.647951388892</v>
      </c>
      <c r="F373" t="s">
        <v>148</v>
      </c>
      <c r="G373" t="s">
        <v>149</v>
      </c>
      <c r="I373" t="s">
        <v>31</v>
      </c>
      <c r="J373" s="11"/>
      <c r="K373" s="11">
        <v>-3000</v>
      </c>
      <c r="L373" s="4">
        <f t="shared" si="12"/>
        <v>-3000</v>
      </c>
      <c r="N373" t="s">
        <v>32</v>
      </c>
      <c r="O373" t="s">
        <v>33</v>
      </c>
      <c r="R373" t="s">
        <v>6</v>
      </c>
      <c r="U373" t="e">
        <f>VLOOKUP(A373,#REF!,6,FALSE)</f>
        <v>#REF!</v>
      </c>
    </row>
    <row r="374" spans="1:21" x14ac:dyDescent="0.25">
      <c r="A374">
        <v>1040</v>
      </c>
      <c r="B374" s="9" t="s">
        <v>58</v>
      </c>
      <c r="C374" s="19" t="s">
        <v>157</v>
      </c>
      <c r="D374" s="6">
        <v>45531</v>
      </c>
      <c r="E374" s="7">
        <v>45531.658645833333</v>
      </c>
      <c r="F374" t="s">
        <v>272</v>
      </c>
      <c r="I374" t="s">
        <v>272</v>
      </c>
      <c r="J374" s="11"/>
      <c r="K374" s="11">
        <v>-3.8</v>
      </c>
      <c r="L374" s="4">
        <f t="shared" si="12"/>
        <v>-3.8</v>
      </c>
      <c r="M374" t="s">
        <v>38</v>
      </c>
      <c r="N374" t="s">
        <v>36</v>
      </c>
      <c r="O374" t="s">
        <v>33</v>
      </c>
      <c r="R374" t="s">
        <v>61</v>
      </c>
      <c r="U374" t="e">
        <f>VLOOKUP(A374,#REF!,6,FALSE)</f>
        <v>#REF!</v>
      </c>
    </row>
    <row r="375" spans="1:21" x14ac:dyDescent="0.25">
      <c r="A375">
        <v>985</v>
      </c>
      <c r="B375" s="9" t="s">
        <v>58</v>
      </c>
      <c r="C375" s="19" t="s">
        <v>157</v>
      </c>
      <c r="D375" s="6">
        <v>45501</v>
      </c>
      <c r="E375" s="7">
        <v>45501.432812500003</v>
      </c>
      <c r="F375" t="s">
        <v>247</v>
      </c>
      <c r="I375" t="s">
        <v>247</v>
      </c>
      <c r="J375" s="11"/>
      <c r="K375" s="11">
        <v>-6.27</v>
      </c>
      <c r="L375" s="4">
        <f t="shared" si="12"/>
        <v>-6.27</v>
      </c>
      <c r="M375" t="s">
        <v>44</v>
      </c>
      <c r="N375" t="s">
        <v>36</v>
      </c>
      <c r="O375" t="s">
        <v>33</v>
      </c>
      <c r="R375" t="s">
        <v>61</v>
      </c>
      <c r="U375" t="e">
        <f>VLOOKUP(A375,#REF!,6,FALSE)</f>
        <v>#REF!</v>
      </c>
    </row>
    <row r="376" spans="1:21" x14ac:dyDescent="0.25">
      <c r="A376">
        <v>1042</v>
      </c>
      <c r="B376" s="9" t="s">
        <v>58</v>
      </c>
      <c r="C376" s="19" t="s">
        <v>157</v>
      </c>
      <c r="D376" s="6">
        <v>45532</v>
      </c>
      <c r="E376" s="7">
        <v>45532.122731481482</v>
      </c>
      <c r="F376" t="s">
        <v>18</v>
      </c>
      <c r="I376" t="s">
        <v>18</v>
      </c>
      <c r="J376" s="11"/>
      <c r="K376" s="11">
        <v>-7.35</v>
      </c>
      <c r="L376" s="4">
        <f t="shared" si="12"/>
        <v>-7.35</v>
      </c>
      <c r="M376" t="s">
        <v>9</v>
      </c>
      <c r="N376" t="s">
        <v>36</v>
      </c>
      <c r="O376" t="s">
        <v>33</v>
      </c>
      <c r="R376" t="s">
        <v>9</v>
      </c>
      <c r="U376" t="e">
        <f>VLOOKUP(A376,#REF!,6,FALSE)</f>
        <v>#REF!</v>
      </c>
    </row>
    <row r="377" spans="1:21" x14ac:dyDescent="0.25">
      <c r="A377">
        <v>1043</v>
      </c>
      <c r="B377" s="9" t="s">
        <v>58</v>
      </c>
      <c r="C377" s="19" t="s">
        <v>157</v>
      </c>
      <c r="D377" s="6">
        <v>45532</v>
      </c>
      <c r="E377" s="7">
        <v>45532.909155092595</v>
      </c>
      <c r="F377" t="s">
        <v>280</v>
      </c>
      <c r="G377" t="s">
        <v>281</v>
      </c>
      <c r="I377" t="s">
        <v>282</v>
      </c>
      <c r="J377" s="11"/>
      <c r="K377" s="11">
        <v>-0.92</v>
      </c>
      <c r="L377" s="4">
        <f t="shared" si="12"/>
        <v>-0.92</v>
      </c>
      <c r="N377" t="s">
        <v>283</v>
      </c>
      <c r="O377" t="s">
        <v>33</v>
      </c>
      <c r="R377" t="s">
        <v>453</v>
      </c>
      <c r="U377" t="e">
        <f>VLOOKUP(A377,#REF!,6,FALSE)</f>
        <v>#REF!</v>
      </c>
    </row>
    <row r="378" spans="1:21" x14ac:dyDescent="0.25">
      <c r="A378">
        <v>1044</v>
      </c>
      <c r="B378" s="9" t="s">
        <v>58</v>
      </c>
      <c r="C378" s="19" t="s">
        <v>157</v>
      </c>
      <c r="D378" s="6">
        <v>45533</v>
      </c>
      <c r="E378" s="7">
        <v>45533.377106481479</v>
      </c>
      <c r="F378" t="s">
        <v>284</v>
      </c>
      <c r="I378" t="s">
        <v>284</v>
      </c>
      <c r="J378" s="11"/>
      <c r="K378" s="11">
        <v>-8.7799999999999994</v>
      </c>
      <c r="L378" s="4">
        <f t="shared" si="12"/>
        <v>-8.7799999999999994</v>
      </c>
      <c r="M378" t="s">
        <v>38</v>
      </c>
      <c r="N378" t="s">
        <v>36</v>
      </c>
      <c r="O378" t="s">
        <v>33</v>
      </c>
      <c r="R378" t="s">
        <v>61</v>
      </c>
      <c r="U378" t="e">
        <f>VLOOKUP(A378,#REF!,6,FALSE)</f>
        <v>#REF!</v>
      </c>
    </row>
    <row r="379" spans="1:21" x14ac:dyDescent="0.25">
      <c r="A379">
        <v>1045</v>
      </c>
      <c r="B379" s="9" t="s">
        <v>58</v>
      </c>
      <c r="C379" s="19" t="s">
        <v>157</v>
      </c>
      <c r="D379" s="6">
        <v>45534</v>
      </c>
      <c r="E379" s="7">
        <v>45534.085219907407</v>
      </c>
      <c r="F379" t="s">
        <v>285</v>
      </c>
      <c r="G379" t="s">
        <v>286</v>
      </c>
      <c r="H379" t="s">
        <v>41</v>
      </c>
      <c r="J379" s="11">
        <v>400</v>
      </c>
      <c r="K379" s="11"/>
      <c r="L379" s="4">
        <f t="shared" si="12"/>
        <v>400</v>
      </c>
      <c r="M379" t="s">
        <v>7</v>
      </c>
      <c r="N379" t="s">
        <v>37</v>
      </c>
      <c r="O379" t="s">
        <v>33</v>
      </c>
      <c r="R379" t="s">
        <v>7</v>
      </c>
      <c r="U379" t="e">
        <f>VLOOKUP(A379,#REF!,6,FALSE)</f>
        <v>#REF!</v>
      </c>
    </row>
    <row r="380" spans="1:21" x14ac:dyDescent="0.25">
      <c r="A380">
        <v>1046</v>
      </c>
      <c r="B380" s="9" t="s">
        <v>58</v>
      </c>
      <c r="C380" s="19" t="s">
        <v>157</v>
      </c>
      <c r="D380" s="6">
        <v>45534</v>
      </c>
      <c r="E380" s="7">
        <v>45534.382037037038</v>
      </c>
      <c r="F380" t="s">
        <v>184</v>
      </c>
      <c r="I380" t="s">
        <v>184</v>
      </c>
      <c r="J380" s="11"/>
      <c r="K380" s="11">
        <v>-4.2</v>
      </c>
      <c r="L380" s="4">
        <f t="shared" si="12"/>
        <v>-4.2</v>
      </c>
      <c r="M380" t="s">
        <v>38</v>
      </c>
      <c r="N380" t="s">
        <v>36</v>
      </c>
      <c r="O380" t="s">
        <v>33</v>
      </c>
      <c r="R380" t="s">
        <v>61</v>
      </c>
      <c r="U380" t="e">
        <f>VLOOKUP(A380,#REF!,6,FALSE)</f>
        <v>#REF!</v>
      </c>
    </row>
    <row r="381" spans="1:21" x14ac:dyDescent="0.25">
      <c r="A381">
        <v>1047</v>
      </c>
      <c r="B381" s="9" t="s">
        <v>58</v>
      </c>
      <c r="C381" s="19" t="s">
        <v>157</v>
      </c>
      <c r="D381" s="6">
        <v>45534</v>
      </c>
      <c r="E381" s="7">
        <v>45534.424456018518</v>
      </c>
      <c r="F381" t="s">
        <v>287</v>
      </c>
      <c r="G381" t="s">
        <v>288</v>
      </c>
      <c r="H381" t="s">
        <v>49</v>
      </c>
      <c r="J381" s="11">
        <v>225</v>
      </c>
      <c r="K381" s="11"/>
      <c r="L381" s="4">
        <f t="shared" si="12"/>
        <v>225</v>
      </c>
      <c r="M381" t="s">
        <v>7</v>
      </c>
      <c r="N381" t="s">
        <v>37</v>
      </c>
      <c r="O381" t="s">
        <v>33</v>
      </c>
      <c r="R381" t="s">
        <v>7</v>
      </c>
      <c r="U381" t="e">
        <f>VLOOKUP(A381,#REF!,6,FALSE)</f>
        <v>#REF!</v>
      </c>
    </row>
    <row r="382" spans="1:21" x14ac:dyDescent="0.25">
      <c r="A382">
        <v>1048</v>
      </c>
      <c r="B382" s="9" t="s">
        <v>58</v>
      </c>
      <c r="C382" s="19" t="s">
        <v>157</v>
      </c>
      <c r="D382" s="6">
        <v>45534</v>
      </c>
      <c r="E382" s="7">
        <v>45534.43041666667</v>
      </c>
      <c r="F382" t="s">
        <v>289</v>
      </c>
      <c r="G382" t="s">
        <v>290</v>
      </c>
      <c r="H382" t="s">
        <v>49</v>
      </c>
      <c r="J382" s="11">
        <v>225</v>
      </c>
      <c r="K382" s="11"/>
      <c r="L382" s="4">
        <f t="shared" si="12"/>
        <v>225</v>
      </c>
      <c r="M382" t="s">
        <v>7</v>
      </c>
      <c r="N382" t="s">
        <v>37</v>
      </c>
      <c r="O382" t="s">
        <v>33</v>
      </c>
      <c r="R382" t="s">
        <v>7</v>
      </c>
      <c r="U382" t="e">
        <f>VLOOKUP(A382,#REF!,6,FALSE)</f>
        <v>#REF!</v>
      </c>
    </row>
    <row r="383" spans="1:21" x14ac:dyDescent="0.25">
      <c r="A383">
        <v>1049</v>
      </c>
      <c r="B383" s="9" t="s">
        <v>58</v>
      </c>
      <c r="C383" s="19" t="s">
        <v>157</v>
      </c>
      <c r="D383" s="6">
        <v>45534</v>
      </c>
      <c r="E383" s="7">
        <v>45534.555902777778</v>
      </c>
      <c r="F383" t="s">
        <v>18</v>
      </c>
      <c r="I383" t="s">
        <v>18</v>
      </c>
      <c r="J383" s="11"/>
      <c r="K383" s="11">
        <v>-4.2</v>
      </c>
      <c r="L383" s="4">
        <f t="shared" si="12"/>
        <v>-4.2</v>
      </c>
      <c r="M383" t="s">
        <v>9</v>
      </c>
      <c r="N383" t="s">
        <v>36</v>
      </c>
      <c r="O383" t="s">
        <v>33</v>
      </c>
      <c r="R383" t="s">
        <v>9</v>
      </c>
      <c r="U383" t="e">
        <f>VLOOKUP(A383,#REF!,6,FALSE)</f>
        <v>#REF!</v>
      </c>
    </row>
    <row r="384" spans="1:21" x14ac:dyDescent="0.25">
      <c r="A384">
        <v>1050</v>
      </c>
      <c r="B384" s="9" t="s">
        <v>58</v>
      </c>
      <c r="C384" s="19" t="s">
        <v>157</v>
      </c>
      <c r="D384" s="6">
        <v>45535</v>
      </c>
      <c r="E384" s="7">
        <v>45535.124247685184</v>
      </c>
      <c r="F384" t="s">
        <v>18</v>
      </c>
      <c r="I384" t="s">
        <v>18</v>
      </c>
      <c r="J384" s="11"/>
      <c r="K384" s="11">
        <v>-14.6</v>
      </c>
      <c r="L384" s="4">
        <f t="shared" si="12"/>
        <v>-14.6</v>
      </c>
      <c r="M384" t="s">
        <v>9</v>
      </c>
      <c r="N384" t="s">
        <v>36</v>
      </c>
      <c r="O384" t="s">
        <v>33</v>
      </c>
      <c r="R384" t="s">
        <v>9</v>
      </c>
      <c r="U384" t="e">
        <f>VLOOKUP(A384,#REF!,6,FALSE)</f>
        <v>#REF!</v>
      </c>
    </row>
    <row r="385" spans="1:21" x14ac:dyDescent="0.25">
      <c r="A385">
        <v>1051</v>
      </c>
      <c r="B385" s="9" t="s">
        <v>58</v>
      </c>
      <c r="C385" s="19" t="s">
        <v>157</v>
      </c>
      <c r="D385" s="6">
        <v>45536</v>
      </c>
      <c r="E385" s="7">
        <v>45536.784386574072</v>
      </c>
      <c r="F385" t="s">
        <v>148</v>
      </c>
      <c r="G385" t="s">
        <v>149</v>
      </c>
      <c r="I385" t="s">
        <v>31</v>
      </c>
      <c r="J385" s="11"/>
      <c r="K385" s="11">
        <v>-350</v>
      </c>
      <c r="L385" s="4">
        <f t="shared" si="12"/>
        <v>-350</v>
      </c>
      <c r="N385" t="s">
        <v>32</v>
      </c>
      <c r="O385" t="s">
        <v>33</v>
      </c>
      <c r="R385" t="s">
        <v>6</v>
      </c>
      <c r="U385" t="e">
        <f>VLOOKUP(A385,#REF!,6,FALSE)</f>
        <v>#REF!</v>
      </c>
    </row>
    <row r="386" spans="1:21" x14ac:dyDescent="0.25">
      <c r="A386">
        <v>1052</v>
      </c>
      <c r="B386" s="9" t="s">
        <v>58</v>
      </c>
      <c r="C386" s="19" t="s">
        <v>157</v>
      </c>
      <c r="D386" s="6">
        <v>45537</v>
      </c>
      <c r="E386" s="7">
        <v>45537.186701388891</v>
      </c>
      <c r="F386" t="s">
        <v>291</v>
      </c>
      <c r="G386" t="s">
        <v>292</v>
      </c>
      <c r="I386" t="s">
        <v>237</v>
      </c>
      <c r="J386" s="11"/>
      <c r="K386" s="11">
        <v>-66.599999999999994</v>
      </c>
      <c r="L386" s="4">
        <f t="shared" si="12"/>
        <v>-66.599999999999994</v>
      </c>
      <c r="M386" t="s">
        <v>43</v>
      </c>
      <c r="N386" t="s">
        <v>238</v>
      </c>
      <c r="O386" t="s">
        <v>33</v>
      </c>
      <c r="R386" t="s">
        <v>12</v>
      </c>
      <c r="U386" t="e">
        <f>VLOOKUP(A386,#REF!,6,FALSE)</f>
        <v>#REF!</v>
      </c>
    </row>
    <row r="387" spans="1:21" x14ac:dyDescent="0.25">
      <c r="A387">
        <v>1053</v>
      </c>
      <c r="B387" s="9" t="s">
        <v>58</v>
      </c>
      <c r="C387" s="19" t="s">
        <v>157</v>
      </c>
      <c r="D387" s="6">
        <v>45537</v>
      </c>
      <c r="E387" s="7">
        <v>45537.325729166667</v>
      </c>
      <c r="F387" t="s">
        <v>18</v>
      </c>
      <c r="I387" t="s">
        <v>18</v>
      </c>
      <c r="J387" s="11"/>
      <c r="K387" s="11">
        <v>-4.45</v>
      </c>
      <c r="L387" s="4">
        <f t="shared" si="12"/>
        <v>-4.45</v>
      </c>
      <c r="M387" t="s">
        <v>9</v>
      </c>
      <c r="N387" t="s">
        <v>36</v>
      </c>
      <c r="O387" t="s">
        <v>33</v>
      </c>
      <c r="R387" t="s">
        <v>9</v>
      </c>
      <c r="U387" t="e">
        <f>VLOOKUP(A387,#REF!,6,FALSE)</f>
        <v>#REF!</v>
      </c>
    </row>
    <row r="388" spans="1:21" x14ac:dyDescent="0.25">
      <c r="A388">
        <v>1054</v>
      </c>
      <c r="B388" s="9" t="s">
        <v>58</v>
      </c>
      <c r="C388" s="19" t="s">
        <v>157</v>
      </c>
      <c r="D388" s="6">
        <v>45537</v>
      </c>
      <c r="E388" s="7">
        <v>45537.383530092593</v>
      </c>
      <c r="F388" t="s">
        <v>100</v>
      </c>
      <c r="I388" t="s">
        <v>100</v>
      </c>
      <c r="J388" s="11"/>
      <c r="K388" s="11">
        <v>-4.3499999999999996</v>
      </c>
      <c r="L388" s="4">
        <f t="shared" si="12"/>
        <v>-4.3499999999999996</v>
      </c>
      <c r="M388" t="s">
        <v>38</v>
      </c>
      <c r="N388" t="s">
        <v>36</v>
      </c>
      <c r="O388" t="s">
        <v>33</v>
      </c>
      <c r="R388" t="s">
        <v>61</v>
      </c>
      <c r="U388" t="e">
        <f>VLOOKUP(A388,#REF!,6,FALSE)</f>
        <v>#REF!</v>
      </c>
    </row>
    <row r="389" spans="1:21" x14ac:dyDescent="0.25">
      <c r="A389">
        <v>882</v>
      </c>
      <c r="B389" s="9" t="s">
        <v>58</v>
      </c>
      <c r="C389" s="19" t="s">
        <v>157</v>
      </c>
      <c r="D389" s="6">
        <v>45437</v>
      </c>
      <c r="E389" s="7">
        <v>45437.376539351855</v>
      </c>
      <c r="F389" t="s">
        <v>191</v>
      </c>
      <c r="I389" t="s">
        <v>191</v>
      </c>
      <c r="J389" s="11"/>
      <c r="K389" s="11">
        <v>-49.99</v>
      </c>
      <c r="L389" s="4">
        <f t="shared" si="12"/>
        <v>-49.99</v>
      </c>
      <c r="M389" t="s">
        <v>192</v>
      </c>
      <c r="N389" t="s">
        <v>36</v>
      </c>
      <c r="O389" t="s">
        <v>33</v>
      </c>
      <c r="R389" t="s">
        <v>461</v>
      </c>
      <c r="U389" t="e">
        <f>VLOOKUP(A389,#REF!,6,FALSE)</f>
        <v>#REF!</v>
      </c>
    </row>
    <row r="390" spans="1:21" x14ac:dyDescent="0.25">
      <c r="A390">
        <v>1056</v>
      </c>
      <c r="B390" s="9" t="s">
        <v>58</v>
      </c>
      <c r="C390" s="19" t="s">
        <v>157</v>
      </c>
      <c r="D390" s="6">
        <v>45537</v>
      </c>
      <c r="E390" s="7">
        <v>45537.935856481483</v>
      </c>
      <c r="F390" t="s">
        <v>69</v>
      </c>
      <c r="I390" t="s">
        <v>69</v>
      </c>
      <c r="J390" s="11"/>
      <c r="K390" s="11">
        <v>-14.94</v>
      </c>
      <c r="L390" s="4">
        <f t="shared" si="12"/>
        <v>-14.94</v>
      </c>
      <c r="M390" t="s">
        <v>9</v>
      </c>
      <c r="N390" t="s">
        <v>36</v>
      </c>
      <c r="O390" t="s">
        <v>33</v>
      </c>
      <c r="R390" t="s">
        <v>9</v>
      </c>
      <c r="U390" t="e">
        <f>VLOOKUP(A390,#REF!,6,FALSE)</f>
        <v>#REF!</v>
      </c>
    </row>
    <row r="391" spans="1:21" x14ac:dyDescent="0.25">
      <c r="A391">
        <v>1057</v>
      </c>
      <c r="B391" s="9" t="s">
        <v>58</v>
      </c>
      <c r="C391" s="19" t="s">
        <v>157</v>
      </c>
      <c r="D391" s="6">
        <v>45537</v>
      </c>
      <c r="E391" s="7">
        <v>45537.976875</v>
      </c>
      <c r="F391" t="s">
        <v>293</v>
      </c>
      <c r="I391" t="s">
        <v>293</v>
      </c>
      <c r="J391" s="11"/>
      <c r="K391" s="11">
        <v>-4.45</v>
      </c>
      <c r="L391" s="4">
        <f t="shared" si="12"/>
        <v>-4.45</v>
      </c>
      <c r="M391" t="s">
        <v>38</v>
      </c>
      <c r="N391" t="s">
        <v>36</v>
      </c>
      <c r="O391" t="s">
        <v>33</v>
      </c>
      <c r="R391" t="s">
        <v>61</v>
      </c>
      <c r="U391" t="e">
        <f>VLOOKUP(A391,#REF!,6,FALSE)</f>
        <v>#REF!</v>
      </c>
    </row>
    <row r="392" spans="1:21" x14ac:dyDescent="0.25">
      <c r="A392">
        <v>1058</v>
      </c>
      <c r="B392" s="9" t="s">
        <v>58</v>
      </c>
      <c r="C392" s="19" t="s">
        <v>157</v>
      </c>
      <c r="D392" s="6">
        <v>45538</v>
      </c>
      <c r="E392" s="7">
        <v>45538.383923611109</v>
      </c>
      <c r="F392" t="s">
        <v>148</v>
      </c>
      <c r="G392" t="s">
        <v>149</v>
      </c>
      <c r="I392" t="s">
        <v>31</v>
      </c>
      <c r="J392" s="11"/>
      <c r="K392" s="11">
        <v>-100</v>
      </c>
      <c r="L392" s="4">
        <f t="shared" si="12"/>
        <v>-100</v>
      </c>
      <c r="N392" t="s">
        <v>32</v>
      </c>
      <c r="O392" t="s">
        <v>33</v>
      </c>
      <c r="R392" t="s">
        <v>6</v>
      </c>
      <c r="U392" t="e">
        <f>VLOOKUP(A392,#REF!,6,FALSE)</f>
        <v>#REF!</v>
      </c>
    </row>
    <row r="393" spans="1:21" x14ac:dyDescent="0.25">
      <c r="A393">
        <v>1059</v>
      </c>
      <c r="B393" s="9" t="s">
        <v>58</v>
      </c>
      <c r="C393" s="19" t="s">
        <v>157</v>
      </c>
      <c r="D393" s="6">
        <v>45538</v>
      </c>
      <c r="E393" s="7">
        <v>45538.555173611108</v>
      </c>
      <c r="F393" t="s">
        <v>18</v>
      </c>
      <c r="I393" t="s">
        <v>18</v>
      </c>
      <c r="J393" s="11"/>
      <c r="K393" s="11">
        <v>-8.5</v>
      </c>
      <c r="L393" s="4">
        <f t="shared" si="12"/>
        <v>-8.5</v>
      </c>
      <c r="M393" t="s">
        <v>9</v>
      </c>
      <c r="N393" t="s">
        <v>36</v>
      </c>
      <c r="O393" t="s">
        <v>33</v>
      </c>
      <c r="R393" t="s">
        <v>9</v>
      </c>
      <c r="U393" t="e">
        <f>VLOOKUP(A393,#REF!,6,FALSE)</f>
        <v>#REF!</v>
      </c>
    </row>
    <row r="394" spans="1:21" x14ac:dyDescent="0.25">
      <c r="A394">
        <v>1060</v>
      </c>
      <c r="B394" s="9" t="s">
        <v>58</v>
      </c>
      <c r="C394" s="19" t="s">
        <v>157</v>
      </c>
      <c r="D394" s="6">
        <v>45539</v>
      </c>
      <c r="E394" s="7">
        <v>45539.047222222223</v>
      </c>
      <c r="F394" t="s">
        <v>294</v>
      </c>
      <c r="G394" t="s">
        <v>295</v>
      </c>
      <c r="I394" t="s">
        <v>282</v>
      </c>
      <c r="J394" s="11"/>
      <c r="K394" s="11">
        <v>-7.18</v>
      </c>
      <c r="L394" s="4">
        <f t="shared" si="12"/>
        <v>-7.18</v>
      </c>
      <c r="N394" t="s">
        <v>283</v>
      </c>
      <c r="O394" t="s">
        <v>33</v>
      </c>
      <c r="R394" t="s">
        <v>453</v>
      </c>
      <c r="U394" t="e">
        <f>VLOOKUP(A394,#REF!,6,FALSE)</f>
        <v>#REF!</v>
      </c>
    </row>
    <row r="395" spans="1:21" x14ac:dyDescent="0.25">
      <c r="A395">
        <v>1061</v>
      </c>
      <c r="B395" s="9" t="s">
        <v>58</v>
      </c>
      <c r="C395" s="19" t="s">
        <v>157</v>
      </c>
      <c r="D395" s="6">
        <v>45539</v>
      </c>
      <c r="E395" s="7">
        <v>45539.498090277775</v>
      </c>
      <c r="F395" t="s">
        <v>296</v>
      </c>
      <c r="I395" t="s">
        <v>296</v>
      </c>
      <c r="J395" s="11"/>
      <c r="K395" s="11">
        <v>-16.7</v>
      </c>
      <c r="L395" s="4">
        <f t="shared" ref="L395:L458" si="13">J395+K395</f>
        <v>-16.7</v>
      </c>
      <c r="M395" t="s">
        <v>38</v>
      </c>
      <c r="N395" t="s">
        <v>36</v>
      </c>
      <c r="O395" t="s">
        <v>33</v>
      </c>
      <c r="R395" t="s">
        <v>61</v>
      </c>
      <c r="U395" t="e">
        <f>VLOOKUP(A395,#REF!,6,FALSE)</f>
        <v>#REF!</v>
      </c>
    </row>
    <row r="396" spans="1:21" x14ac:dyDescent="0.25">
      <c r="A396">
        <v>1062</v>
      </c>
      <c r="B396" s="9" t="s">
        <v>58</v>
      </c>
      <c r="C396" s="19" t="s">
        <v>157</v>
      </c>
      <c r="D396" s="6">
        <v>45540</v>
      </c>
      <c r="E396" s="7">
        <v>45540.149907407409</v>
      </c>
      <c r="F396" t="s">
        <v>18</v>
      </c>
      <c r="I396" t="s">
        <v>18</v>
      </c>
      <c r="J396" s="11"/>
      <c r="K396" s="11">
        <v>-8.5</v>
      </c>
      <c r="L396" s="4">
        <f t="shared" si="13"/>
        <v>-8.5</v>
      </c>
      <c r="M396" t="s">
        <v>9</v>
      </c>
      <c r="N396" t="s">
        <v>36</v>
      </c>
      <c r="O396" t="s">
        <v>33</v>
      </c>
      <c r="R396" t="s">
        <v>9</v>
      </c>
      <c r="U396" t="e">
        <f>VLOOKUP(A396,#REF!,6,FALSE)</f>
        <v>#REF!</v>
      </c>
    </row>
    <row r="397" spans="1:21" x14ac:dyDescent="0.25">
      <c r="A397">
        <v>893</v>
      </c>
      <c r="B397" s="9" t="s">
        <v>58</v>
      </c>
      <c r="C397" s="19" t="s">
        <v>157</v>
      </c>
      <c r="D397" s="6">
        <v>45445</v>
      </c>
      <c r="E397" s="7">
        <v>45445.729131944441</v>
      </c>
      <c r="F397" t="s">
        <v>191</v>
      </c>
      <c r="I397" t="s">
        <v>191</v>
      </c>
      <c r="J397" s="11"/>
      <c r="K397" s="11">
        <v>-2.99</v>
      </c>
      <c r="L397" s="4">
        <f t="shared" si="13"/>
        <v>-2.99</v>
      </c>
      <c r="M397" t="s">
        <v>194</v>
      </c>
      <c r="N397" t="s">
        <v>36</v>
      </c>
      <c r="O397" t="s">
        <v>33</v>
      </c>
      <c r="R397" t="s">
        <v>461</v>
      </c>
      <c r="U397" t="e">
        <f>VLOOKUP(A397,#REF!,6,FALSE)</f>
        <v>#REF!</v>
      </c>
    </row>
    <row r="398" spans="1:21" x14ac:dyDescent="0.25">
      <c r="A398">
        <v>1064</v>
      </c>
      <c r="B398" s="9" t="s">
        <v>58</v>
      </c>
      <c r="C398" s="19" t="s">
        <v>157</v>
      </c>
      <c r="D398" s="6">
        <v>45540</v>
      </c>
      <c r="E398" s="7">
        <v>45540.381018518521</v>
      </c>
      <c r="F398" t="s">
        <v>284</v>
      </c>
      <c r="I398" t="s">
        <v>284</v>
      </c>
      <c r="J398" s="11"/>
      <c r="K398" s="11">
        <v>-6.08</v>
      </c>
      <c r="L398" s="4">
        <f t="shared" si="13"/>
        <v>-6.08</v>
      </c>
      <c r="M398" t="s">
        <v>38</v>
      </c>
      <c r="N398" t="s">
        <v>36</v>
      </c>
      <c r="O398" t="s">
        <v>33</v>
      </c>
      <c r="R398" t="s">
        <v>61</v>
      </c>
      <c r="U398" t="e">
        <f>VLOOKUP(A398,#REF!,6,FALSE)</f>
        <v>#REF!</v>
      </c>
    </row>
    <row r="399" spans="1:21" x14ac:dyDescent="0.25">
      <c r="A399">
        <v>1065</v>
      </c>
      <c r="B399" s="9" t="s">
        <v>58</v>
      </c>
      <c r="C399" s="19" t="s">
        <v>157</v>
      </c>
      <c r="D399" s="6">
        <v>45540</v>
      </c>
      <c r="E399" s="7">
        <v>45540.575706018521</v>
      </c>
      <c r="F399" t="s">
        <v>108</v>
      </c>
      <c r="G399" t="s">
        <v>110</v>
      </c>
      <c r="H399" t="s">
        <v>51</v>
      </c>
      <c r="J399" s="11">
        <v>100</v>
      </c>
      <c r="K399" s="11"/>
      <c r="L399" s="4">
        <f t="shared" si="13"/>
        <v>100</v>
      </c>
      <c r="M399" t="s">
        <v>7</v>
      </c>
      <c r="N399" t="s">
        <v>37</v>
      </c>
      <c r="O399" t="s">
        <v>33</v>
      </c>
      <c r="R399" t="s">
        <v>6</v>
      </c>
      <c r="U399" t="e">
        <f>VLOOKUP(A399,#REF!,6,FALSE)</f>
        <v>#REF!</v>
      </c>
    </row>
    <row r="400" spans="1:21" x14ac:dyDescent="0.25">
      <c r="A400">
        <v>1066</v>
      </c>
      <c r="B400" s="9" t="s">
        <v>58</v>
      </c>
      <c r="C400" s="19" t="s">
        <v>157</v>
      </c>
      <c r="D400" s="6">
        <v>45541</v>
      </c>
      <c r="E400" s="7">
        <v>45541.588287037041</v>
      </c>
      <c r="F400" t="s">
        <v>18</v>
      </c>
      <c r="I400" t="s">
        <v>18</v>
      </c>
      <c r="J400" s="11"/>
      <c r="K400" s="11">
        <v>-10</v>
      </c>
      <c r="L400" s="4">
        <f t="shared" si="13"/>
        <v>-10</v>
      </c>
      <c r="M400" t="s">
        <v>9</v>
      </c>
      <c r="N400" t="s">
        <v>36</v>
      </c>
      <c r="O400" t="s">
        <v>33</v>
      </c>
      <c r="R400" t="s">
        <v>9</v>
      </c>
      <c r="U400" t="e">
        <f>VLOOKUP(A400,#REF!,6,FALSE)</f>
        <v>#REF!</v>
      </c>
    </row>
    <row r="401" spans="1:21" x14ac:dyDescent="0.25">
      <c r="A401">
        <v>958</v>
      </c>
      <c r="B401" s="9" t="s">
        <v>58</v>
      </c>
      <c r="C401" s="19" t="s">
        <v>157</v>
      </c>
      <c r="D401" s="6">
        <v>45475</v>
      </c>
      <c r="E401" s="7">
        <v>45475.395960648151</v>
      </c>
      <c r="F401" t="s">
        <v>239</v>
      </c>
      <c r="I401" t="s">
        <v>239</v>
      </c>
      <c r="J401" s="11"/>
      <c r="K401" s="11">
        <v>-2.99</v>
      </c>
      <c r="L401" s="4">
        <f t="shared" si="13"/>
        <v>-2.99</v>
      </c>
      <c r="M401" t="s">
        <v>54</v>
      </c>
      <c r="N401" t="s">
        <v>36</v>
      </c>
      <c r="O401" t="s">
        <v>33</v>
      </c>
      <c r="R401" t="s">
        <v>461</v>
      </c>
      <c r="U401" t="e">
        <f>VLOOKUP(A401,#REF!,6,FALSE)</f>
        <v>#REF!</v>
      </c>
    </row>
    <row r="402" spans="1:21" x14ac:dyDescent="0.25">
      <c r="A402">
        <v>1068</v>
      </c>
      <c r="B402" s="9" t="s">
        <v>58</v>
      </c>
      <c r="C402" s="19" t="s">
        <v>157</v>
      </c>
      <c r="D402" s="6">
        <v>45544</v>
      </c>
      <c r="E402" s="7">
        <v>45544.089513888888</v>
      </c>
      <c r="F402" t="s">
        <v>298</v>
      </c>
      <c r="G402" t="s">
        <v>299</v>
      </c>
      <c r="H402" t="s">
        <v>179</v>
      </c>
      <c r="J402" s="11">
        <v>425</v>
      </c>
      <c r="K402" s="11"/>
      <c r="L402" s="4">
        <f t="shared" si="13"/>
        <v>425</v>
      </c>
      <c r="M402" t="s">
        <v>7</v>
      </c>
      <c r="N402" t="s">
        <v>37</v>
      </c>
      <c r="O402" t="s">
        <v>33</v>
      </c>
      <c r="R402" t="s">
        <v>7</v>
      </c>
      <c r="U402" t="e">
        <f>VLOOKUP(A402,#REF!,6,FALSE)</f>
        <v>#REF!</v>
      </c>
    </row>
    <row r="403" spans="1:21" x14ac:dyDescent="0.25">
      <c r="A403">
        <v>1069</v>
      </c>
      <c r="B403" s="9" t="s">
        <v>58</v>
      </c>
      <c r="C403" s="19" t="s">
        <v>157</v>
      </c>
      <c r="D403" s="6">
        <v>45544</v>
      </c>
      <c r="E403" s="7">
        <v>45544.437175925923</v>
      </c>
      <c r="F403" t="s">
        <v>148</v>
      </c>
      <c r="G403" t="s">
        <v>149</v>
      </c>
      <c r="I403" t="s">
        <v>31</v>
      </c>
      <c r="J403" s="11"/>
      <c r="K403" s="11">
        <v>-400</v>
      </c>
      <c r="L403" s="4">
        <f t="shared" si="13"/>
        <v>-400</v>
      </c>
      <c r="N403" t="s">
        <v>32</v>
      </c>
      <c r="O403" t="s">
        <v>33</v>
      </c>
      <c r="R403" t="s">
        <v>6</v>
      </c>
      <c r="U403" t="e">
        <f>VLOOKUP(A403,#REF!,6,FALSE)</f>
        <v>#REF!</v>
      </c>
    </row>
    <row r="404" spans="1:21" x14ac:dyDescent="0.25">
      <c r="A404">
        <v>1070</v>
      </c>
      <c r="B404" s="9" t="s">
        <v>58</v>
      </c>
      <c r="C404" s="19" t="s">
        <v>157</v>
      </c>
      <c r="D404" s="6">
        <v>45546</v>
      </c>
      <c r="E404" s="7">
        <v>45546.499652777777</v>
      </c>
      <c r="F404" t="s">
        <v>148</v>
      </c>
      <c r="G404" t="s">
        <v>149</v>
      </c>
      <c r="I404" t="s">
        <v>31</v>
      </c>
      <c r="J404" s="11"/>
      <c r="K404" s="11">
        <v>-200</v>
      </c>
      <c r="L404" s="4">
        <f t="shared" si="13"/>
        <v>-200</v>
      </c>
      <c r="N404" t="s">
        <v>32</v>
      </c>
      <c r="O404" t="s">
        <v>33</v>
      </c>
      <c r="R404" t="s">
        <v>6</v>
      </c>
      <c r="U404" t="e">
        <f>VLOOKUP(A404,#REF!,6,FALSE)</f>
        <v>#REF!</v>
      </c>
    </row>
    <row r="405" spans="1:21" x14ac:dyDescent="0.25">
      <c r="A405">
        <v>1071</v>
      </c>
      <c r="B405" s="9" t="s">
        <v>58</v>
      </c>
      <c r="C405" s="19" t="s">
        <v>157</v>
      </c>
      <c r="D405" s="6">
        <v>45547</v>
      </c>
      <c r="E405" s="7">
        <v>45547.734456018516</v>
      </c>
      <c r="F405" t="s">
        <v>300</v>
      </c>
      <c r="I405" t="s">
        <v>300</v>
      </c>
      <c r="J405" s="11"/>
      <c r="K405" s="11">
        <v>-4.4800000000000004</v>
      </c>
      <c r="L405" s="4">
        <f t="shared" si="13"/>
        <v>-4.4800000000000004</v>
      </c>
      <c r="M405" t="s">
        <v>38</v>
      </c>
      <c r="N405" t="s">
        <v>36</v>
      </c>
      <c r="O405" t="s">
        <v>33</v>
      </c>
      <c r="R405" t="s">
        <v>61</v>
      </c>
      <c r="U405" t="e">
        <f>VLOOKUP(A405,#REF!,6,FALSE)</f>
        <v>#REF!</v>
      </c>
    </row>
    <row r="406" spans="1:21" x14ac:dyDescent="0.25">
      <c r="A406">
        <v>1072</v>
      </c>
      <c r="B406" s="9" t="s">
        <v>58</v>
      </c>
      <c r="C406" s="19" t="s">
        <v>157</v>
      </c>
      <c r="D406" s="6">
        <v>45548</v>
      </c>
      <c r="E406" s="7">
        <v>45548.086215277777</v>
      </c>
      <c r="F406" t="s">
        <v>301</v>
      </c>
      <c r="G406">
        <v>1974088</v>
      </c>
      <c r="H406" t="s">
        <v>52</v>
      </c>
      <c r="J406" s="11">
        <v>750</v>
      </c>
      <c r="K406" s="11"/>
      <c r="L406" s="4">
        <f t="shared" si="13"/>
        <v>750</v>
      </c>
      <c r="M406" t="s">
        <v>7</v>
      </c>
      <c r="N406" t="s">
        <v>37</v>
      </c>
      <c r="O406" t="s">
        <v>33</v>
      </c>
      <c r="R406" t="s">
        <v>7</v>
      </c>
      <c r="U406" t="e">
        <f>VLOOKUP(A406,#REF!,6,FALSE)</f>
        <v>#REF!</v>
      </c>
    </row>
    <row r="407" spans="1:21" x14ac:dyDescent="0.25">
      <c r="A407">
        <v>1073</v>
      </c>
      <c r="B407" s="9" t="s">
        <v>58</v>
      </c>
      <c r="C407" s="19" t="s">
        <v>157</v>
      </c>
      <c r="D407" s="6">
        <v>45548</v>
      </c>
      <c r="E407" s="7">
        <v>45548.086886574078</v>
      </c>
      <c r="F407" t="s">
        <v>302</v>
      </c>
      <c r="G407" t="s">
        <v>303</v>
      </c>
      <c r="H407" t="s">
        <v>179</v>
      </c>
      <c r="J407" s="11">
        <v>325</v>
      </c>
      <c r="K407" s="11"/>
      <c r="L407" s="4">
        <f t="shared" si="13"/>
        <v>325</v>
      </c>
      <c r="M407" t="s">
        <v>7</v>
      </c>
      <c r="N407" t="s">
        <v>37</v>
      </c>
      <c r="O407" t="s">
        <v>33</v>
      </c>
      <c r="R407" t="s">
        <v>7</v>
      </c>
      <c r="U407" t="e">
        <f>VLOOKUP(A407,#REF!,6,FALSE)</f>
        <v>#REF!</v>
      </c>
    </row>
    <row r="408" spans="1:21" x14ac:dyDescent="0.25">
      <c r="A408">
        <v>1074</v>
      </c>
      <c r="B408" s="9" t="s">
        <v>58</v>
      </c>
      <c r="C408" s="19" t="s">
        <v>157</v>
      </c>
      <c r="D408" s="6">
        <v>45548</v>
      </c>
      <c r="E408" s="7">
        <v>45548.181493055556</v>
      </c>
      <c r="F408" t="s">
        <v>18</v>
      </c>
      <c r="I408" t="s">
        <v>18</v>
      </c>
      <c r="J408" s="11"/>
      <c r="K408" s="11">
        <v>-7.95</v>
      </c>
      <c r="L408" s="4">
        <f t="shared" si="13"/>
        <v>-7.95</v>
      </c>
      <c r="M408" t="s">
        <v>9</v>
      </c>
      <c r="N408" t="s">
        <v>36</v>
      </c>
      <c r="O408" t="s">
        <v>33</v>
      </c>
      <c r="R408" t="s">
        <v>9</v>
      </c>
      <c r="U408" t="e">
        <f>VLOOKUP(A408,#REF!,6,FALSE)</f>
        <v>#REF!</v>
      </c>
    </row>
    <row r="409" spans="1:21" x14ac:dyDescent="0.25">
      <c r="A409">
        <v>1075</v>
      </c>
      <c r="B409" s="9" t="s">
        <v>58</v>
      </c>
      <c r="C409" s="19" t="s">
        <v>157</v>
      </c>
      <c r="D409" s="6">
        <v>45548</v>
      </c>
      <c r="E409" s="7">
        <v>45548.463761574072</v>
      </c>
      <c r="F409" t="s">
        <v>108</v>
      </c>
      <c r="G409" t="s">
        <v>110</v>
      </c>
      <c r="H409" t="s">
        <v>51</v>
      </c>
      <c r="J409" s="11">
        <v>2500</v>
      </c>
      <c r="K409" s="11"/>
      <c r="L409" s="4">
        <f t="shared" si="13"/>
        <v>2500</v>
      </c>
      <c r="M409" t="s">
        <v>7</v>
      </c>
      <c r="N409" t="s">
        <v>37</v>
      </c>
      <c r="O409" t="s">
        <v>33</v>
      </c>
      <c r="R409" t="s">
        <v>6</v>
      </c>
      <c r="U409" t="e">
        <f>VLOOKUP(A409,#REF!,6,FALSE)</f>
        <v>#REF!</v>
      </c>
    </row>
    <row r="410" spans="1:21" x14ac:dyDescent="0.25">
      <c r="A410">
        <v>1076</v>
      </c>
      <c r="B410" s="9" t="s">
        <v>58</v>
      </c>
      <c r="C410" s="19" t="s">
        <v>157</v>
      </c>
      <c r="D410" s="6">
        <v>45549</v>
      </c>
      <c r="E410" s="7">
        <v>45549.361273148148</v>
      </c>
      <c r="F410" t="s">
        <v>153</v>
      </c>
      <c r="I410" t="s">
        <v>153</v>
      </c>
      <c r="J410" s="11"/>
      <c r="K410" s="11">
        <v>-4.2</v>
      </c>
      <c r="L410" s="4">
        <f t="shared" si="13"/>
        <v>-4.2</v>
      </c>
      <c r="M410" t="s">
        <v>38</v>
      </c>
      <c r="N410" t="s">
        <v>36</v>
      </c>
      <c r="O410" t="s">
        <v>33</v>
      </c>
      <c r="R410" t="s">
        <v>61</v>
      </c>
      <c r="U410" t="e">
        <f>VLOOKUP(A410,#REF!,6,FALSE)</f>
        <v>#REF!</v>
      </c>
    </row>
    <row r="411" spans="1:21" x14ac:dyDescent="0.25">
      <c r="A411">
        <v>1077</v>
      </c>
      <c r="B411" s="9" t="s">
        <v>58</v>
      </c>
      <c r="C411" s="19" t="s">
        <v>157</v>
      </c>
      <c r="D411" s="6">
        <v>45550</v>
      </c>
      <c r="E411" s="7">
        <v>45550.508449074077</v>
      </c>
      <c r="F411" t="s">
        <v>18</v>
      </c>
      <c r="I411" t="s">
        <v>18</v>
      </c>
      <c r="J411" s="11"/>
      <c r="K411" s="11">
        <v>-3.8</v>
      </c>
      <c r="L411" s="4">
        <f t="shared" si="13"/>
        <v>-3.8</v>
      </c>
      <c r="M411" t="s">
        <v>9</v>
      </c>
      <c r="N411" t="s">
        <v>36</v>
      </c>
      <c r="O411" t="s">
        <v>33</v>
      </c>
      <c r="R411" t="s">
        <v>9</v>
      </c>
      <c r="U411" t="e">
        <f>VLOOKUP(A411,#REF!,6,FALSE)</f>
        <v>#REF!</v>
      </c>
    </row>
    <row r="412" spans="1:21" x14ac:dyDescent="0.25">
      <c r="A412">
        <v>1078</v>
      </c>
      <c r="B412" s="9" t="s">
        <v>58</v>
      </c>
      <c r="C412" s="19" t="s">
        <v>157</v>
      </c>
      <c r="D412" s="6">
        <v>45552</v>
      </c>
      <c r="E412" s="7">
        <v>45552.426631944443</v>
      </c>
      <c r="F412" t="s">
        <v>304</v>
      </c>
      <c r="G412" t="s">
        <v>304</v>
      </c>
      <c r="J412" s="11"/>
      <c r="K412" s="11">
        <v>-3</v>
      </c>
      <c r="L412" s="4">
        <f t="shared" si="13"/>
        <v>-3</v>
      </c>
      <c r="M412" t="s">
        <v>186</v>
      </c>
      <c r="N412" t="s">
        <v>17</v>
      </c>
      <c r="O412" t="s">
        <v>33</v>
      </c>
      <c r="R412" s="3" t="s">
        <v>63</v>
      </c>
      <c r="U412" t="e">
        <f>VLOOKUP(A412,#REF!,6,FALSE)</f>
        <v>#REF!</v>
      </c>
    </row>
    <row r="413" spans="1:21" x14ac:dyDescent="0.25">
      <c r="A413">
        <v>1079</v>
      </c>
      <c r="B413" s="9" t="s">
        <v>58</v>
      </c>
      <c r="C413" s="19" t="s">
        <v>157</v>
      </c>
      <c r="D413" s="6">
        <v>45552</v>
      </c>
      <c r="E413" s="7">
        <v>45552.559305555558</v>
      </c>
      <c r="F413" t="s">
        <v>18</v>
      </c>
      <c r="I413" t="s">
        <v>18</v>
      </c>
      <c r="J413" s="11"/>
      <c r="K413" s="11">
        <v>-8.5</v>
      </c>
      <c r="L413" s="4">
        <f t="shared" si="13"/>
        <v>-8.5</v>
      </c>
      <c r="M413" t="s">
        <v>9</v>
      </c>
      <c r="N413" t="s">
        <v>36</v>
      </c>
      <c r="O413" t="s">
        <v>33</v>
      </c>
      <c r="R413" t="s">
        <v>9</v>
      </c>
      <c r="U413" t="e">
        <f>VLOOKUP(A413,#REF!,6,FALSE)</f>
        <v>#REF!</v>
      </c>
    </row>
    <row r="414" spans="1:21" x14ac:dyDescent="0.25">
      <c r="A414">
        <v>1080</v>
      </c>
      <c r="B414" s="9" t="s">
        <v>58</v>
      </c>
      <c r="C414" s="19" t="s">
        <v>157</v>
      </c>
      <c r="D414" s="6">
        <v>45552</v>
      </c>
      <c r="E414" s="7">
        <v>45552.961412037039</v>
      </c>
      <c r="F414" t="s">
        <v>305</v>
      </c>
      <c r="G414" t="s">
        <v>305</v>
      </c>
      <c r="J414" s="11"/>
      <c r="K414" s="11">
        <v>-1</v>
      </c>
      <c r="L414" s="4">
        <f t="shared" si="13"/>
        <v>-1</v>
      </c>
      <c r="M414" t="s">
        <v>186</v>
      </c>
      <c r="N414" t="s">
        <v>17</v>
      </c>
      <c r="O414" t="s">
        <v>33</v>
      </c>
      <c r="R414" s="3" t="s">
        <v>63</v>
      </c>
      <c r="U414" t="e">
        <f>VLOOKUP(A414,#REF!,6,FALSE)</f>
        <v>#REF!</v>
      </c>
    </row>
    <row r="415" spans="1:21" x14ac:dyDescent="0.25">
      <c r="A415">
        <v>1081</v>
      </c>
      <c r="B415" s="9" t="s">
        <v>58</v>
      </c>
      <c r="C415" s="19" t="s">
        <v>157</v>
      </c>
      <c r="D415" s="6">
        <v>45552</v>
      </c>
      <c r="E415" s="7">
        <v>45552.962060185186</v>
      </c>
      <c r="F415" t="s">
        <v>306</v>
      </c>
      <c r="G415" t="s">
        <v>306</v>
      </c>
      <c r="J415" s="11"/>
      <c r="K415" s="11">
        <v>-0.4</v>
      </c>
      <c r="L415" s="4">
        <f t="shared" si="13"/>
        <v>-0.4</v>
      </c>
      <c r="M415" t="s">
        <v>186</v>
      </c>
      <c r="N415" t="s">
        <v>17</v>
      </c>
      <c r="O415" t="s">
        <v>33</v>
      </c>
      <c r="R415" s="3" t="s">
        <v>63</v>
      </c>
      <c r="U415" t="e">
        <f>VLOOKUP(A415,#REF!,6,FALSE)</f>
        <v>#REF!</v>
      </c>
    </row>
    <row r="416" spans="1:21" x14ac:dyDescent="0.25">
      <c r="A416">
        <v>1082</v>
      </c>
      <c r="B416" s="9" t="s">
        <v>58</v>
      </c>
      <c r="C416" s="19" t="s">
        <v>157</v>
      </c>
      <c r="D416" s="6">
        <v>45553</v>
      </c>
      <c r="E416" s="7">
        <v>45553.284050925926</v>
      </c>
      <c r="F416" t="s">
        <v>148</v>
      </c>
      <c r="G416" t="s">
        <v>149</v>
      </c>
      <c r="I416" t="s">
        <v>31</v>
      </c>
      <c r="J416" s="11"/>
      <c r="K416" s="11">
        <v>-425</v>
      </c>
      <c r="L416" s="4">
        <f t="shared" si="13"/>
        <v>-425</v>
      </c>
      <c r="N416" t="s">
        <v>32</v>
      </c>
      <c r="O416" t="s">
        <v>33</v>
      </c>
      <c r="R416" t="s">
        <v>6</v>
      </c>
      <c r="U416" t="e">
        <f>VLOOKUP(A416,#REF!,6,FALSE)</f>
        <v>#REF!</v>
      </c>
    </row>
    <row r="417" spans="1:21" x14ac:dyDescent="0.25">
      <c r="A417">
        <v>1083</v>
      </c>
      <c r="B417" s="9" t="s">
        <v>58</v>
      </c>
      <c r="C417" s="19" t="s">
        <v>157</v>
      </c>
      <c r="D417" s="6">
        <v>45554</v>
      </c>
      <c r="E417" s="7">
        <v>45554.200173611112</v>
      </c>
      <c r="F417" t="s">
        <v>18</v>
      </c>
      <c r="I417" t="s">
        <v>18</v>
      </c>
      <c r="J417" s="11"/>
      <c r="K417" s="11">
        <v>-14.45</v>
      </c>
      <c r="L417" s="4">
        <f t="shared" si="13"/>
        <v>-14.45</v>
      </c>
      <c r="M417" t="s">
        <v>9</v>
      </c>
      <c r="N417" t="s">
        <v>36</v>
      </c>
      <c r="O417" t="s">
        <v>33</v>
      </c>
      <c r="R417" t="s">
        <v>9</v>
      </c>
      <c r="U417" t="e">
        <f>VLOOKUP(A417,#REF!,6,FALSE)</f>
        <v>#REF!</v>
      </c>
    </row>
    <row r="418" spans="1:21" x14ac:dyDescent="0.25">
      <c r="A418">
        <v>1084</v>
      </c>
      <c r="B418" s="9" t="s">
        <v>58</v>
      </c>
      <c r="C418" s="19" t="s">
        <v>157</v>
      </c>
      <c r="D418" s="6">
        <v>45558</v>
      </c>
      <c r="E418" s="7">
        <v>45558.544999999998</v>
      </c>
      <c r="F418" t="s">
        <v>207</v>
      </c>
      <c r="I418" t="s">
        <v>207</v>
      </c>
      <c r="J418" s="11"/>
      <c r="K418" s="11">
        <v>-4.05</v>
      </c>
      <c r="L418" s="4">
        <f t="shared" si="13"/>
        <v>-4.05</v>
      </c>
      <c r="M418" t="s">
        <v>38</v>
      </c>
      <c r="N418" t="s">
        <v>36</v>
      </c>
      <c r="O418" t="s">
        <v>33</v>
      </c>
      <c r="R418" t="s">
        <v>61</v>
      </c>
      <c r="U418" t="e">
        <f>VLOOKUP(A418,#REF!,6,FALSE)</f>
        <v>#REF!</v>
      </c>
    </row>
    <row r="419" spans="1:21" x14ac:dyDescent="0.25">
      <c r="A419">
        <v>1085</v>
      </c>
      <c r="B419" s="9" t="s">
        <v>58</v>
      </c>
      <c r="C419" s="19" t="s">
        <v>157</v>
      </c>
      <c r="D419" s="6">
        <v>45559</v>
      </c>
      <c r="E419" s="7">
        <v>45559.411099537036</v>
      </c>
      <c r="F419" t="s">
        <v>307</v>
      </c>
      <c r="I419" t="s">
        <v>307</v>
      </c>
      <c r="J419" s="11"/>
      <c r="K419" s="11">
        <v>-3.85</v>
      </c>
      <c r="L419" s="4">
        <f t="shared" si="13"/>
        <v>-3.85</v>
      </c>
      <c r="M419" t="s">
        <v>38</v>
      </c>
      <c r="N419" t="s">
        <v>36</v>
      </c>
      <c r="O419" t="s">
        <v>33</v>
      </c>
      <c r="R419" t="s">
        <v>61</v>
      </c>
      <c r="U419" t="e">
        <f>VLOOKUP(A419,#REF!,6,FALSE)</f>
        <v>#REF!</v>
      </c>
    </row>
    <row r="420" spans="1:21" x14ac:dyDescent="0.25">
      <c r="A420">
        <v>1086</v>
      </c>
      <c r="B420" s="9" t="s">
        <v>58</v>
      </c>
      <c r="C420" s="19" t="s">
        <v>157</v>
      </c>
      <c r="D420" s="6">
        <v>45559</v>
      </c>
      <c r="E420" s="7">
        <v>45559.552222222221</v>
      </c>
      <c r="F420" t="s">
        <v>18</v>
      </c>
      <c r="I420" t="s">
        <v>18</v>
      </c>
      <c r="J420" s="11"/>
      <c r="K420" s="11">
        <v>-9.1</v>
      </c>
      <c r="L420" s="4">
        <f t="shared" si="13"/>
        <v>-9.1</v>
      </c>
      <c r="M420" t="s">
        <v>9</v>
      </c>
      <c r="N420" t="s">
        <v>36</v>
      </c>
      <c r="O420" t="s">
        <v>33</v>
      </c>
      <c r="R420" t="s">
        <v>9</v>
      </c>
      <c r="U420" t="e">
        <f>VLOOKUP(A420,#REF!,6,FALSE)</f>
        <v>#REF!</v>
      </c>
    </row>
    <row r="421" spans="1:21" x14ac:dyDescent="0.25">
      <c r="A421">
        <v>1087</v>
      </c>
      <c r="B421" s="9" t="s">
        <v>58</v>
      </c>
      <c r="C421" s="19" t="s">
        <v>157</v>
      </c>
      <c r="D421" s="6">
        <v>45559</v>
      </c>
      <c r="E421" s="7">
        <v>45559.580405092594</v>
      </c>
      <c r="F421" t="s">
        <v>307</v>
      </c>
      <c r="I421" t="s">
        <v>307</v>
      </c>
      <c r="J421" s="11"/>
      <c r="K421" s="11">
        <v>-3.15</v>
      </c>
      <c r="L421" s="4">
        <f t="shared" si="13"/>
        <v>-3.15</v>
      </c>
      <c r="M421" t="s">
        <v>38</v>
      </c>
      <c r="N421" t="s">
        <v>36</v>
      </c>
      <c r="O421" t="s">
        <v>33</v>
      </c>
      <c r="R421" t="s">
        <v>61</v>
      </c>
      <c r="U421" t="e">
        <f>VLOOKUP(A421,#REF!,6,FALSE)</f>
        <v>#REF!</v>
      </c>
    </row>
    <row r="422" spans="1:21" x14ac:dyDescent="0.25">
      <c r="A422">
        <v>1088</v>
      </c>
      <c r="B422" s="9" t="s">
        <v>58</v>
      </c>
      <c r="C422" s="19" t="s">
        <v>157</v>
      </c>
      <c r="D422" s="6">
        <v>45560</v>
      </c>
      <c r="E422" s="7">
        <v>45560.146620370368</v>
      </c>
      <c r="F422" t="s">
        <v>18</v>
      </c>
      <c r="I422" t="s">
        <v>18</v>
      </c>
      <c r="J422" s="11"/>
      <c r="K422" s="11">
        <v>-8.5</v>
      </c>
      <c r="L422" s="4">
        <f t="shared" si="13"/>
        <v>-8.5</v>
      </c>
      <c r="M422" t="s">
        <v>9</v>
      </c>
      <c r="N422" t="s">
        <v>36</v>
      </c>
      <c r="O422" t="s">
        <v>33</v>
      </c>
      <c r="R422" t="s">
        <v>9</v>
      </c>
      <c r="U422" t="e">
        <f>VLOOKUP(A422,#REF!,6,FALSE)</f>
        <v>#REF!</v>
      </c>
    </row>
    <row r="423" spans="1:21" x14ac:dyDescent="0.25">
      <c r="A423">
        <v>1089</v>
      </c>
      <c r="B423" s="9" t="s">
        <v>58</v>
      </c>
      <c r="C423" s="19" t="s">
        <v>157</v>
      </c>
      <c r="D423" s="6">
        <v>45560</v>
      </c>
      <c r="E423" s="7">
        <v>45560.389236111114</v>
      </c>
      <c r="F423" t="s">
        <v>272</v>
      </c>
      <c r="I423" t="s">
        <v>272</v>
      </c>
      <c r="J423" s="11"/>
      <c r="K423" s="11">
        <v>-4.3</v>
      </c>
      <c r="L423" s="4">
        <f t="shared" si="13"/>
        <v>-4.3</v>
      </c>
      <c r="M423" t="s">
        <v>38</v>
      </c>
      <c r="N423" t="s">
        <v>36</v>
      </c>
      <c r="O423" t="s">
        <v>33</v>
      </c>
      <c r="R423" t="s">
        <v>61</v>
      </c>
      <c r="U423" t="e">
        <f>VLOOKUP(A423,#REF!,6,FALSE)</f>
        <v>#REF!</v>
      </c>
    </row>
    <row r="424" spans="1:21" x14ac:dyDescent="0.25">
      <c r="A424">
        <v>1090</v>
      </c>
      <c r="B424" s="9" t="s">
        <v>58</v>
      </c>
      <c r="C424" s="19" t="s">
        <v>157</v>
      </c>
      <c r="D424" s="6">
        <v>45561</v>
      </c>
      <c r="E424" s="7">
        <v>45561.540358796294</v>
      </c>
      <c r="F424" t="s">
        <v>18</v>
      </c>
      <c r="I424" t="s">
        <v>18</v>
      </c>
      <c r="J424" s="11"/>
      <c r="K424" s="11">
        <v>-7.35</v>
      </c>
      <c r="L424" s="4">
        <f t="shared" si="13"/>
        <v>-7.35</v>
      </c>
      <c r="M424" t="s">
        <v>9</v>
      </c>
      <c r="N424" t="s">
        <v>36</v>
      </c>
      <c r="O424" t="s">
        <v>33</v>
      </c>
      <c r="R424" t="s">
        <v>9</v>
      </c>
      <c r="U424" t="e">
        <f>VLOOKUP(A424,#REF!,6,FALSE)</f>
        <v>#REF!</v>
      </c>
    </row>
    <row r="425" spans="1:21" x14ac:dyDescent="0.25">
      <c r="A425">
        <v>1091</v>
      </c>
      <c r="B425" s="9" t="s">
        <v>58</v>
      </c>
      <c r="C425" s="19" t="s">
        <v>157</v>
      </c>
      <c r="D425" s="6">
        <v>45561</v>
      </c>
      <c r="E425" s="7">
        <v>45561.575706018521</v>
      </c>
      <c r="F425" t="s">
        <v>148</v>
      </c>
      <c r="G425" t="s">
        <v>149</v>
      </c>
      <c r="I425" t="s">
        <v>31</v>
      </c>
      <c r="J425" s="11"/>
      <c r="K425" s="11">
        <v>-3500</v>
      </c>
      <c r="L425" s="4">
        <f t="shared" si="13"/>
        <v>-3500</v>
      </c>
      <c r="N425" t="s">
        <v>32</v>
      </c>
      <c r="O425" t="s">
        <v>33</v>
      </c>
      <c r="R425" t="s">
        <v>6</v>
      </c>
      <c r="U425" t="e">
        <f>VLOOKUP(A425,#REF!,6,FALSE)</f>
        <v>#REF!</v>
      </c>
    </row>
    <row r="426" spans="1:21" x14ac:dyDescent="0.25">
      <c r="A426">
        <v>1092</v>
      </c>
      <c r="B426" s="9" t="s">
        <v>58</v>
      </c>
      <c r="C426" s="19" t="s">
        <v>157</v>
      </c>
      <c r="D426" s="6">
        <v>45562</v>
      </c>
      <c r="E426" s="7">
        <v>45562.415185185186</v>
      </c>
      <c r="F426" t="s">
        <v>307</v>
      </c>
      <c r="I426" t="s">
        <v>307</v>
      </c>
      <c r="J426" s="11"/>
      <c r="K426" s="11">
        <v>-3.45</v>
      </c>
      <c r="L426" s="4">
        <f t="shared" si="13"/>
        <v>-3.45</v>
      </c>
      <c r="M426" t="s">
        <v>38</v>
      </c>
      <c r="N426" t="s">
        <v>36</v>
      </c>
      <c r="O426" t="s">
        <v>33</v>
      </c>
      <c r="R426" t="s">
        <v>61</v>
      </c>
      <c r="U426" t="e">
        <f>VLOOKUP(A426,#REF!,6,FALSE)</f>
        <v>#REF!</v>
      </c>
    </row>
    <row r="427" spans="1:21" x14ac:dyDescent="0.25">
      <c r="A427">
        <v>1093</v>
      </c>
      <c r="B427" s="9" t="s">
        <v>58</v>
      </c>
      <c r="C427" s="19" t="s">
        <v>157</v>
      </c>
      <c r="D427" s="6">
        <v>45562</v>
      </c>
      <c r="E427" s="7">
        <v>45562.46503472222</v>
      </c>
      <c r="F427" t="s">
        <v>308</v>
      </c>
      <c r="G427" t="s">
        <v>309</v>
      </c>
      <c r="H427" t="s">
        <v>49</v>
      </c>
      <c r="J427" s="11">
        <v>225</v>
      </c>
      <c r="K427" s="11"/>
      <c r="L427" s="4">
        <f t="shared" si="13"/>
        <v>225</v>
      </c>
      <c r="M427" t="s">
        <v>7</v>
      </c>
      <c r="N427" t="s">
        <v>37</v>
      </c>
      <c r="O427" t="s">
        <v>33</v>
      </c>
      <c r="R427" t="s">
        <v>7</v>
      </c>
      <c r="U427" t="e">
        <f>VLOOKUP(A427,#REF!,6,FALSE)</f>
        <v>#REF!</v>
      </c>
    </row>
    <row r="428" spans="1:21" x14ac:dyDescent="0.25">
      <c r="A428">
        <v>1094</v>
      </c>
      <c r="B428" s="9" t="s">
        <v>58</v>
      </c>
      <c r="C428" s="19" t="s">
        <v>157</v>
      </c>
      <c r="D428" s="6">
        <v>45562</v>
      </c>
      <c r="E428" s="7">
        <v>45562.582303240742</v>
      </c>
      <c r="F428" t="s">
        <v>307</v>
      </c>
      <c r="I428" t="s">
        <v>307</v>
      </c>
      <c r="J428" s="11"/>
      <c r="K428" s="11">
        <v>-3.15</v>
      </c>
      <c r="L428" s="4">
        <f t="shared" si="13"/>
        <v>-3.15</v>
      </c>
      <c r="M428" t="s">
        <v>38</v>
      </c>
      <c r="N428" t="s">
        <v>36</v>
      </c>
      <c r="O428" t="s">
        <v>33</v>
      </c>
      <c r="R428" t="s">
        <v>61</v>
      </c>
      <c r="U428" t="e">
        <f>VLOOKUP(A428,#REF!,6,FALSE)</f>
        <v>#REF!</v>
      </c>
    </row>
    <row r="429" spans="1:21" x14ac:dyDescent="0.25">
      <c r="A429">
        <v>1095</v>
      </c>
      <c r="B429" s="9" t="s">
        <v>58</v>
      </c>
      <c r="C429" s="19" t="s">
        <v>157</v>
      </c>
      <c r="D429" s="6">
        <v>45563</v>
      </c>
      <c r="E429" s="7">
        <v>45563.145671296297</v>
      </c>
      <c r="F429" t="s">
        <v>18</v>
      </c>
      <c r="I429" t="s">
        <v>18</v>
      </c>
      <c r="J429" s="11"/>
      <c r="K429" s="11">
        <v>-8.5</v>
      </c>
      <c r="L429" s="4">
        <f t="shared" si="13"/>
        <v>-8.5</v>
      </c>
      <c r="M429" t="s">
        <v>9</v>
      </c>
      <c r="N429" t="s">
        <v>36</v>
      </c>
      <c r="O429" t="s">
        <v>33</v>
      </c>
      <c r="R429" t="s">
        <v>9</v>
      </c>
      <c r="U429" t="e">
        <f>VLOOKUP(A429,#REF!,6,FALSE)</f>
        <v>#REF!</v>
      </c>
    </row>
    <row r="430" spans="1:21" x14ac:dyDescent="0.25">
      <c r="A430">
        <v>1096</v>
      </c>
      <c r="B430" s="9" t="s">
        <v>58</v>
      </c>
      <c r="C430" s="19" t="s">
        <v>157</v>
      </c>
      <c r="D430" s="6">
        <v>45563</v>
      </c>
      <c r="E430" s="7">
        <v>45563.399467592593</v>
      </c>
      <c r="F430" t="s">
        <v>310</v>
      </c>
      <c r="I430" t="s">
        <v>310</v>
      </c>
      <c r="J430" s="11"/>
      <c r="K430" s="11">
        <v>-3.1</v>
      </c>
      <c r="L430" s="4">
        <f t="shared" si="13"/>
        <v>-3.1</v>
      </c>
      <c r="M430" t="s">
        <v>38</v>
      </c>
      <c r="N430" t="s">
        <v>36</v>
      </c>
      <c r="O430" t="s">
        <v>33</v>
      </c>
      <c r="R430" t="s">
        <v>61</v>
      </c>
      <c r="U430" t="e">
        <f>VLOOKUP(A430,#REF!,6,FALSE)</f>
        <v>#REF!</v>
      </c>
    </row>
    <row r="431" spans="1:21" x14ac:dyDescent="0.25">
      <c r="A431">
        <v>1097</v>
      </c>
      <c r="B431" s="9" t="s">
        <v>58</v>
      </c>
      <c r="C431" s="19" t="s">
        <v>157</v>
      </c>
      <c r="D431" s="6">
        <v>45563</v>
      </c>
      <c r="E431" s="7">
        <v>45563.40289351852</v>
      </c>
      <c r="F431" t="s">
        <v>307</v>
      </c>
      <c r="I431" t="s">
        <v>307</v>
      </c>
      <c r="J431" s="11"/>
      <c r="K431" s="11">
        <v>-3.15</v>
      </c>
      <c r="L431" s="4">
        <f t="shared" si="13"/>
        <v>-3.15</v>
      </c>
      <c r="M431" t="s">
        <v>38</v>
      </c>
      <c r="N431" t="s">
        <v>36</v>
      </c>
      <c r="O431" t="s">
        <v>33</v>
      </c>
      <c r="R431" t="s">
        <v>61</v>
      </c>
      <c r="U431" t="e">
        <f>VLOOKUP(A431,#REF!,6,FALSE)</f>
        <v>#REF!</v>
      </c>
    </row>
    <row r="432" spans="1:21" x14ac:dyDescent="0.25">
      <c r="A432">
        <v>1098</v>
      </c>
      <c r="B432" s="9" t="s">
        <v>58</v>
      </c>
      <c r="C432" s="19" t="s">
        <v>157</v>
      </c>
      <c r="D432" s="6">
        <v>45564</v>
      </c>
      <c r="E432" s="7">
        <v>45564.568715277775</v>
      </c>
      <c r="F432" t="s">
        <v>18</v>
      </c>
      <c r="I432" t="s">
        <v>18</v>
      </c>
      <c r="J432" s="11"/>
      <c r="K432" s="11">
        <v>-8.4</v>
      </c>
      <c r="L432" s="4">
        <f t="shared" si="13"/>
        <v>-8.4</v>
      </c>
      <c r="M432" t="s">
        <v>9</v>
      </c>
      <c r="N432" t="s">
        <v>36</v>
      </c>
      <c r="O432" t="s">
        <v>33</v>
      </c>
      <c r="R432" t="s">
        <v>9</v>
      </c>
      <c r="U432" t="e">
        <f>VLOOKUP(A432,#REF!,6,FALSE)</f>
        <v>#REF!</v>
      </c>
    </row>
    <row r="433" spans="1:21" x14ac:dyDescent="0.25">
      <c r="A433">
        <v>1099</v>
      </c>
      <c r="B433" s="9" t="s">
        <v>58</v>
      </c>
      <c r="C433" s="19" t="s">
        <v>157</v>
      </c>
      <c r="D433" s="6">
        <v>45565</v>
      </c>
      <c r="E433" s="7">
        <v>45565.089178240742</v>
      </c>
      <c r="F433" t="s">
        <v>311</v>
      </c>
      <c r="G433" t="s">
        <v>312</v>
      </c>
      <c r="H433" t="s">
        <v>179</v>
      </c>
      <c r="J433" s="11">
        <v>400</v>
      </c>
      <c r="K433" s="11"/>
      <c r="L433" s="4">
        <f t="shared" si="13"/>
        <v>400</v>
      </c>
      <c r="M433" t="s">
        <v>7</v>
      </c>
      <c r="N433" t="s">
        <v>37</v>
      </c>
      <c r="O433" t="s">
        <v>33</v>
      </c>
      <c r="R433" t="s">
        <v>7</v>
      </c>
      <c r="U433" t="e">
        <f>VLOOKUP(A433,#REF!,6,FALSE)</f>
        <v>#REF!</v>
      </c>
    </row>
    <row r="434" spans="1:21" x14ac:dyDescent="0.25">
      <c r="A434">
        <v>960</v>
      </c>
      <c r="B434" s="9" t="s">
        <v>58</v>
      </c>
      <c r="C434" s="19" t="s">
        <v>157</v>
      </c>
      <c r="D434" s="6">
        <v>45478</v>
      </c>
      <c r="E434" s="7">
        <v>45478.675902777781</v>
      </c>
      <c r="F434" t="s">
        <v>191</v>
      </c>
      <c r="I434" t="s">
        <v>191</v>
      </c>
      <c r="J434" s="11"/>
      <c r="K434" s="11">
        <v>-9.99</v>
      </c>
      <c r="L434" s="4">
        <f t="shared" si="13"/>
        <v>-9.99</v>
      </c>
      <c r="M434" t="s">
        <v>194</v>
      </c>
      <c r="N434" t="s">
        <v>36</v>
      </c>
      <c r="O434" t="s">
        <v>33</v>
      </c>
      <c r="R434" t="s">
        <v>461</v>
      </c>
      <c r="U434" t="e">
        <f>VLOOKUP(A434,#REF!,6,FALSE)</f>
        <v>#REF!</v>
      </c>
    </row>
    <row r="435" spans="1:21" x14ac:dyDescent="0.25">
      <c r="A435">
        <v>1101</v>
      </c>
      <c r="B435" s="9" t="s">
        <v>58</v>
      </c>
      <c r="C435" s="19" t="s">
        <v>157</v>
      </c>
      <c r="D435" s="6">
        <v>45567</v>
      </c>
      <c r="E435" s="7">
        <v>45567.184444444443</v>
      </c>
      <c r="F435" t="s">
        <v>316</v>
      </c>
      <c r="G435" t="s">
        <v>317</v>
      </c>
      <c r="I435" t="s">
        <v>237</v>
      </c>
      <c r="J435" s="11"/>
      <c r="K435" s="11">
        <v>-88.47</v>
      </c>
      <c r="L435" s="4">
        <f t="shared" si="13"/>
        <v>-88.47</v>
      </c>
      <c r="M435" t="s">
        <v>43</v>
      </c>
      <c r="N435" t="s">
        <v>238</v>
      </c>
      <c r="O435" t="s">
        <v>33</v>
      </c>
      <c r="R435" t="s">
        <v>12</v>
      </c>
      <c r="U435" t="e">
        <f>VLOOKUP(A435,#REF!,6,FALSE)</f>
        <v>#REF!</v>
      </c>
    </row>
    <row r="436" spans="1:21" x14ac:dyDescent="0.25">
      <c r="A436">
        <v>994</v>
      </c>
      <c r="B436" s="9" t="s">
        <v>58</v>
      </c>
      <c r="C436" s="19" t="s">
        <v>157</v>
      </c>
      <c r="D436" s="6">
        <v>45504</v>
      </c>
      <c r="E436" s="7">
        <v>45504.585775462961</v>
      </c>
      <c r="F436" t="s">
        <v>252</v>
      </c>
      <c r="G436" t="s">
        <v>15</v>
      </c>
      <c r="I436" t="s">
        <v>253</v>
      </c>
      <c r="J436" s="11"/>
      <c r="K436" s="11">
        <v>-20</v>
      </c>
      <c r="L436" s="4">
        <f t="shared" si="13"/>
        <v>-20</v>
      </c>
      <c r="M436" t="s">
        <v>53</v>
      </c>
      <c r="N436" t="s">
        <v>32</v>
      </c>
      <c r="O436" t="s">
        <v>33</v>
      </c>
      <c r="R436" t="s">
        <v>15</v>
      </c>
      <c r="U436" t="e">
        <f>VLOOKUP(A436,#REF!,6,FALSE)</f>
        <v>#REF!</v>
      </c>
    </row>
    <row r="437" spans="1:21" x14ac:dyDescent="0.25">
      <c r="A437">
        <v>1103</v>
      </c>
      <c r="B437" s="9" t="s">
        <v>58</v>
      </c>
      <c r="C437" s="19" t="s">
        <v>157</v>
      </c>
      <c r="D437" s="6">
        <v>45569</v>
      </c>
      <c r="E437" s="7">
        <v>45569.383148148147</v>
      </c>
      <c r="F437" t="s">
        <v>318</v>
      </c>
      <c r="G437" t="s">
        <v>319</v>
      </c>
      <c r="I437" t="s">
        <v>282</v>
      </c>
      <c r="J437" s="11"/>
      <c r="K437" s="11">
        <v>-7.18</v>
      </c>
      <c r="L437" s="4">
        <f t="shared" si="13"/>
        <v>-7.18</v>
      </c>
      <c r="N437" t="s">
        <v>283</v>
      </c>
      <c r="O437" t="s">
        <v>33</v>
      </c>
      <c r="R437" t="s">
        <v>453</v>
      </c>
      <c r="U437" t="e">
        <f>VLOOKUP(A437,#REF!,6,FALSE)</f>
        <v>#REF!</v>
      </c>
    </row>
    <row r="438" spans="1:21" x14ac:dyDescent="0.25">
      <c r="A438">
        <v>1104</v>
      </c>
      <c r="B438" s="9" t="s">
        <v>58</v>
      </c>
      <c r="C438" s="19" t="s">
        <v>157</v>
      </c>
      <c r="D438" s="6">
        <v>45569</v>
      </c>
      <c r="E438" s="7">
        <v>45569.403229166666</v>
      </c>
      <c r="F438" t="s">
        <v>320</v>
      </c>
      <c r="I438" t="s">
        <v>320</v>
      </c>
      <c r="J438" s="11"/>
      <c r="K438" s="11">
        <v>-3.59</v>
      </c>
      <c r="L438" s="4">
        <f t="shared" si="13"/>
        <v>-3.59</v>
      </c>
      <c r="M438" t="s">
        <v>47</v>
      </c>
      <c r="N438" t="s">
        <v>36</v>
      </c>
      <c r="O438" t="s">
        <v>33</v>
      </c>
      <c r="R438" t="s">
        <v>61</v>
      </c>
      <c r="U438" t="e">
        <f>VLOOKUP(A438,#REF!,6,FALSE)</f>
        <v>#REF!</v>
      </c>
    </row>
    <row r="439" spans="1:21" x14ac:dyDescent="0.25">
      <c r="A439">
        <v>1105</v>
      </c>
      <c r="B439" s="9" t="s">
        <v>58</v>
      </c>
      <c r="C439" s="19" t="s">
        <v>157</v>
      </c>
      <c r="D439" s="6">
        <v>45569</v>
      </c>
      <c r="E439" s="7">
        <v>45569.405324074076</v>
      </c>
      <c r="F439" t="s">
        <v>321</v>
      </c>
      <c r="I439" t="s">
        <v>321</v>
      </c>
      <c r="J439" s="11"/>
      <c r="K439" s="11">
        <v>-4.5</v>
      </c>
      <c r="L439" s="4">
        <f t="shared" si="13"/>
        <v>-4.5</v>
      </c>
      <c r="M439" t="s">
        <v>38</v>
      </c>
      <c r="N439" t="s">
        <v>36</v>
      </c>
      <c r="O439" t="s">
        <v>33</v>
      </c>
      <c r="R439" t="s">
        <v>61</v>
      </c>
      <c r="U439" t="e">
        <f>VLOOKUP(A439,#REF!,6,FALSE)</f>
        <v>#REF!</v>
      </c>
    </row>
    <row r="440" spans="1:21" x14ac:dyDescent="0.25">
      <c r="A440">
        <v>1106</v>
      </c>
      <c r="B440" s="9" t="s">
        <v>58</v>
      </c>
      <c r="C440" s="19" t="s">
        <v>157</v>
      </c>
      <c r="D440" s="6">
        <v>45570</v>
      </c>
      <c r="E440" s="7">
        <v>45570.14675925926</v>
      </c>
      <c r="F440" t="s">
        <v>18</v>
      </c>
      <c r="I440" t="s">
        <v>18</v>
      </c>
      <c r="J440" s="11"/>
      <c r="K440" s="11">
        <v>-7.95</v>
      </c>
      <c r="L440" s="4">
        <f t="shared" si="13"/>
        <v>-7.95</v>
      </c>
      <c r="M440" t="s">
        <v>9</v>
      </c>
      <c r="N440" t="s">
        <v>36</v>
      </c>
      <c r="O440" t="s">
        <v>33</v>
      </c>
      <c r="R440" t="s">
        <v>9</v>
      </c>
      <c r="U440" t="e">
        <f>VLOOKUP(A440,#REF!,6,FALSE)</f>
        <v>#REF!</v>
      </c>
    </row>
    <row r="441" spans="1:21" x14ac:dyDescent="0.25">
      <c r="A441">
        <v>1107</v>
      </c>
      <c r="B441" s="9" t="s">
        <v>58</v>
      </c>
      <c r="C441" s="19" t="s">
        <v>157</v>
      </c>
      <c r="D441" s="6">
        <v>45570</v>
      </c>
      <c r="E441" s="7">
        <v>45570.751342592594</v>
      </c>
      <c r="F441" t="s">
        <v>69</v>
      </c>
      <c r="I441" t="s">
        <v>69</v>
      </c>
      <c r="J441" s="11"/>
      <c r="K441" s="11">
        <v>-12.93</v>
      </c>
      <c r="L441" s="4">
        <f t="shared" si="13"/>
        <v>-12.93</v>
      </c>
      <c r="M441" t="s">
        <v>9</v>
      </c>
      <c r="N441" t="s">
        <v>36</v>
      </c>
      <c r="O441" t="s">
        <v>33</v>
      </c>
      <c r="R441" t="s">
        <v>9</v>
      </c>
      <c r="U441" t="e">
        <f>VLOOKUP(A441,#REF!,6,FALSE)</f>
        <v>#REF!</v>
      </c>
    </row>
    <row r="442" spans="1:21" x14ac:dyDescent="0.25">
      <c r="A442">
        <v>1108</v>
      </c>
      <c r="B442" s="9" t="s">
        <v>58</v>
      </c>
      <c r="C442" s="19" t="s">
        <v>157</v>
      </c>
      <c r="D442" s="6">
        <v>45571</v>
      </c>
      <c r="E442" s="7">
        <v>45571.715567129628</v>
      </c>
      <c r="F442" t="s">
        <v>18</v>
      </c>
      <c r="I442" t="s">
        <v>18</v>
      </c>
      <c r="J442" s="11"/>
      <c r="K442" s="11">
        <v>-8.75</v>
      </c>
      <c r="L442" s="4">
        <f t="shared" si="13"/>
        <v>-8.75</v>
      </c>
      <c r="M442" t="s">
        <v>9</v>
      </c>
      <c r="N442" t="s">
        <v>36</v>
      </c>
      <c r="O442" t="s">
        <v>33</v>
      </c>
      <c r="R442" t="s">
        <v>9</v>
      </c>
      <c r="U442" t="e">
        <f>VLOOKUP(A442,#REF!,6,FALSE)</f>
        <v>#REF!</v>
      </c>
    </row>
    <row r="443" spans="1:21" x14ac:dyDescent="0.25">
      <c r="A443">
        <v>1109</v>
      </c>
      <c r="B443" s="9" t="s">
        <v>58</v>
      </c>
      <c r="C443" s="19" t="s">
        <v>157</v>
      </c>
      <c r="D443" s="6">
        <v>45572</v>
      </c>
      <c r="E443" s="7">
        <v>45572.362650462965</v>
      </c>
      <c r="F443" t="s">
        <v>184</v>
      </c>
      <c r="I443" t="s">
        <v>184</v>
      </c>
      <c r="J443" s="11"/>
      <c r="K443" s="11">
        <v>-4.5</v>
      </c>
      <c r="L443" s="4">
        <f t="shared" si="13"/>
        <v>-4.5</v>
      </c>
      <c r="M443" t="s">
        <v>38</v>
      </c>
      <c r="N443" t="s">
        <v>36</v>
      </c>
      <c r="O443" t="s">
        <v>33</v>
      </c>
      <c r="R443" t="s">
        <v>61</v>
      </c>
      <c r="U443" t="e">
        <f>VLOOKUP(A443,#REF!,6,FALSE)</f>
        <v>#REF!</v>
      </c>
    </row>
    <row r="444" spans="1:21" x14ac:dyDescent="0.25">
      <c r="A444">
        <v>1110</v>
      </c>
      <c r="B444" s="9" t="s">
        <v>58</v>
      </c>
      <c r="C444" s="19" t="s">
        <v>157</v>
      </c>
      <c r="D444" s="6">
        <v>45573</v>
      </c>
      <c r="E444" s="7">
        <v>45573.085659722223</v>
      </c>
      <c r="F444" t="s">
        <v>322</v>
      </c>
      <c r="G444" t="s">
        <v>323</v>
      </c>
      <c r="H444" t="s">
        <v>179</v>
      </c>
      <c r="J444" s="11">
        <v>325</v>
      </c>
      <c r="K444" s="11"/>
      <c r="L444" s="4">
        <f t="shared" si="13"/>
        <v>325</v>
      </c>
      <c r="M444" t="s">
        <v>7</v>
      </c>
      <c r="N444" t="s">
        <v>37</v>
      </c>
      <c r="O444" t="s">
        <v>33</v>
      </c>
      <c r="R444" t="s">
        <v>7</v>
      </c>
      <c r="U444" t="e">
        <f>VLOOKUP(A444,#REF!,6,FALSE)</f>
        <v>#REF!</v>
      </c>
    </row>
    <row r="445" spans="1:21" x14ac:dyDescent="0.25">
      <c r="A445">
        <v>1111</v>
      </c>
      <c r="B445" s="9" t="s">
        <v>58</v>
      </c>
      <c r="C445" s="19" t="s">
        <v>157</v>
      </c>
      <c r="D445" s="6">
        <v>45573</v>
      </c>
      <c r="E445" s="7">
        <v>45573.12908564815</v>
      </c>
      <c r="F445" t="s">
        <v>18</v>
      </c>
      <c r="I445" t="s">
        <v>18</v>
      </c>
      <c r="J445" s="11"/>
      <c r="K445" s="11">
        <v>-13.4</v>
      </c>
      <c r="L445" s="4">
        <f t="shared" si="13"/>
        <v>-13.4</v>
      </c>
      <c r="M445" t="s">
        <v>9</v>
      </c>
      <c r="N445" t="s">
        <v>36</v>
      </c>
      <c r="O445" t="s">
        <v>33</v>
      </c>
      <c r="R445" t="s">
        <v>9</v>
      </c>
      <c r="U445" t="e">
        <f>VLOOKUP(A445,#REF!,6,FALSE)</f>
        <v>#REF!</v>
      </c>
    </row>
    <row r="446" spans="1:21" x14ac:dyDescent="0.25">
      <c r="A446">
        <v>1112</v>
      </c>
      <c r="B446" s="9" t="s">
        <v>58</v>
      </c>
      <c r="C446" s="19" t="s">
        <v>157</v>
      </c>
      <c r="D446" s="6">
        <v>45574</v>
      </c>
      <c r="E446" s="7">
        <v>45574.628530092596</v>
      </c>
      <c r="F446" t="s">
        <v>148</v>
      </c>
      <c r="G446" t="s">
        <v>149</v>
      </c>
      <c r="I446" t="s">
        <v>31</v>
      </c>
      <c r="J446" s="11"/>
      <c r="K446" s="11">
        <v>-100</v>
      </c>
      <c r="L446" s="4">
        <f t="shared" si="13"/>
        <v>-100</v>
      </c>
      <c r="N446" t="s">
        <v>32</v>
      </c>
      <c r="O446" t="s">
        <v>33</v>
      </c>
      <c r="R446" t="s">
        <v>6</v>
      </c>
      <c r="U446" t="e">
        <f>VLOOKUP(A446,#REF!,6,FALSE)</f>
        <v>#REF!</v>
      </c>
    </row>
    <row r="447" spans="1:21" x14ac:dyDescent="0.25">
      <c r="A447">
        <v>1113</v>
      </c>
      <c r="B447" s="9" t="s">
        <v>58</v>
      </c>
      <c r="C447" s="19" t="s">
        <v>157</v>
      </c>
      <c r="D447" s="6">
        <v>45575</v>
      </c>
      <c r="E447" s="7">
        <v>45575.724976851852</v>
      </c>
      <c r="F447" t="s">
        <v>108</v>
      </c>
      <c r="G447" t="s">
        <v>110</v>
      </c>
      <c r="H447" t="s">
        <v>51</v>
      </c>
      <c r="J447" s="11">
        <v>1000</v>
      </c>
      <c r="K447" s="11"/>
      <c r="L447" s="4">
        <f t="shared" si="13"/>
        <v>1000</v>
      </c>
      <c r="M447" t="s">
        <v>7</v>
      </c>
      <c r="N447" t="s">
        <v>37</v>
      </c>
      <c r="O447" t="s">
        <v>33</v>
      </c>
      <c r="R447" t="s">
        <v>6</v>
      </c>
      <c r="U447" t="e">
        <f>VLOOKUP(A447,#REF!,6,FALSE)</f>
        <v>#REF!</v>
      </c>
    </row>
    <row r="448" spans="1:21" x14ac:dyDescent="0.25">
      <c r="A448">
        <v>1114</v>
      </c>
      <c r="B448" s="9" t="s">
        <v>58</v>
      </c>
      <c r="C448" s="19" t="s">
        <v>157</v>
      </c>
      <c r="D448" s="6">
        <v>45576</v>
      </c>
      <c r="E448" s="7">
        <v>45576.412800925929</v>
      </c>
      <c r="F448" t="s">
        <v>272</v>
      </c>
      <c r="I448" t="s">
        <v>272</v>
      </c>
      <c r="J448" s="11"/>
      <c r="K448" s="11">
        <v>-3.8</v>
      </c>
      <c r="L448" s="4">
        <f t="shared" si="13"/>
        <v>-3.8</v>
      </c>
      <c r="M448" t="s">
        <v>38</v>
      </c>
      <c r="N448" t="s">
        <v>36</v>
      </c>
      <c r="O448" t="s">
        <v>33</v>
      </c>
      <c r="R448" t="s">
        <v>61</v>
      </c>
      <c r="U448" t="e">
        <f>VLOOKUP(A448,#REF!,6,FALSE)</f>
        <v>#REF!</v>
      </c>
    </row>
    <row r="449" spans="1:21" x14ac:dyDescent="0.25">
      <c r="A449">
        <v>1115</v>
      </c>
      <c r="B449" s="9" t="s">
        <v>58</v>
      </c>
      <c r="C449" s="19" t="s">
        <v>157</v>
      </c>
      <c r="D449" s="6">
        <v>45576</v>
      </c>
      <c r="E449" s="7">
        <v>45576.430509259262</v>
      </c>
      <c r="F449" t="s">
        <v>324</v>
      </c>
      <c r="G449" t="s">
        <v>39</v>
      </c>
      <c r="H449" t="s">
        <v>40</v>
      </c>
      <c r="J449" s="11">
        <v>325</v>
      </c>
      <c r="K449" s="11"/>
      <c r="L449" s="4">
        <f t="shared" si="13"/>
        <v>325</v>
      </c>
      <c r="M449" t="s">
        <v>7</v>
      </c>
      <c r="N449" t="s">
        <v>37</v>
      </c>
      <c r="O449" t="s">
        <v>33</v>
      </c>
      <c r="R449" t="s">
        <v>7</v>
      </c>
      <c r="U449" t="e">
        <f>VLOOKUP(A449,#REF!,6,FALSE)</f>
        <v>#REF!</v>
      </c>
    </row>
    <row r="450" spans="1:21" x14ac:dyDescent="0.25">
      <c r="A450">
        <v>1116</v>
      </c>
      <c r="B450" s="9" t="s">
        <v>58</v>
      </c>
      <c r="C450" s="19" t="s">
        <v>157</v>
      </c>
      <c r="D450" s="6">
        <v>45576</v>
      </c>
      <c r="E450" s="7">
        <v>45576.608113425929</v>
      </c>
      <c r="F450" t="s">
        <v>325</v>
      </c>
      <c r="I450" t="s">
        <v>325</v>
      </c>
      <c r="J450" s="11"/>
      <c r="K450" s="11">
        <v>-7.98</v>
      </c>
      <c r="L450" s="4">
        <f t="shared" si="13"/>
        <v>-7.98</v>
      </c>
      <c r="M450" t="s">
        <v>38</v>
      </c>
      <c r="N450" t="s">
        <v>36</v>
      </c>
      <c r="O450" t="s">
        <v>33</v>
      </c>
      <c r="R450" t="s">
        <v>61</v>
      </c>
      <c r="U450" t="e">
        <f>VLOOKUP(A450,#REF!,6,FALSE)</f>
        <v>#REF!</v>
      </c>
    </row>
    <row r="451" spans="1:21" x14ac:dyDescent="0.25">
      <c r="A451">
        <v>1117</v>
      </c>
      <c r="B451" s="9" t="s">
        <v>58</v>
      </c>
      <c r="C451" s="19" t="s">
        <v>157</v>
      </c>
      <c r="D451" s="6">
        <v>45577</v>
      </c>
      <c r="E451" s="7">
        <v>45577.386192129627</v>
      </c>
      <c r="F451" t="s">
        <v>69</v>
      </c>
      <c r="I451" t="s">
        <v>69</v>
      </c>
      <c r="J451" s="11"/>
      <c r="K451" s="11">
        <v>-14.42</v>
      </c>
      <c r="L451" s="4">
        <f t="shared" si="13"/>
        <v>-14.42</v>
      </c>
      <c r="M451" t="s">
        <v>9</v>
      </c>
      <c r="N451" t="s">
        <v>36</v>
      </c>
      <c r="O451" t="s">
        <v>33</v>
      </c>
      <c r="R451" t="s">
        <v>9</v>
      </c>
      <c r="U451" t="e">
        <f>VLOOKUP(A451,#REF!,6,FALSE)</f>
        <v>#REF!</v>
      </c>
    </row>
    <row r="452" spans="1:21" x14ac:dyDescent="0.25">
      <c r="A452">
        <v>1118</v>
      </c>
      <c r="B452" s="9" t="s">
        <v>58</v>
      </c>
      <c r="C452" s="19" t="s">
        <v>157</v>
      </c>
      <c r="D452" s="6">
        <v>45577</v>
      </c>
      <c r="E452" s="7">
        <v>45577.533275462964</v>
      </c>
      <c r="F452" t="s">
        <v>18</v>
      </c>
      <c r="I452" t="s">
        <v>18</v>
      </c>
      <c r="J452" s="11"/>
      <c r="K452" s="11">
        <v>-6.8</v>
      </c>
      <c r="L452" s="4">
        <f t="shared" si="13"/>
        <v>-6.8</v>
      </c>
      <c r="M452" t="s">
        <v>9</v>
      </c>
      <c r="N452" t="s">
        <v>36</v>
      </c>
      <c r="O452" t="s">
        <v>33</v>
      </c>
      <c r="R452" t="s">
        <v>9</v>
      </c>
      <c r="U452" t="e">
        <f>VLOOKUP(A452,#REF!,6,FALSE)</f>
        <v>#REF!</v>
      </c>
    </row>
    <row r="453" spans="1:21" x14ac:dyDescent="0.25">
      <c r="A453">
        <v>1119</v>
      </c>
      <c r="B453" s="9" t="s">
        <v>58</v>
      </c>
      <c r="C453" s="19" t="s">
        <v>157</v>
      </c>
      <c r="D453" s="6">
        <v>45577</v>
      </c>
      <c r="E453" s="7">
        <v>45577.585509259261</v>
      </c>
      <c r="F453" t="s">
        <v>73</v>
      </c>
      <c r="I453" t="s">
        <v>73</v>
      </c>
      <c r="J453" s="11"/>
      <c r="K453" s="11">
        <v>-4.4000000000000004</v>
      </c>
      <c r="L453" s="4">
        <f t="shared" si="13"/>
        <v>-4.4000000000000004</v>
      </c>
      <c r="M453" t="s">
        <v>38</v>
      </c>
      <c r="N453" t="s">
        <v>36</v>
      </c>
      <c r="O453" t="s">
        <v>33</v>
      </c>
      <c r="R453" t="s">
        <v>61</v>
      </c>
      <c r="U453" t="e">
        <f>VLOOKUP(A453,#REF!,6,FALSE)</f>
        <v>#REF!</v>
      </c>
    </row>
    <row r="454" spans="1:21" x14ac:dyDescent="0.25">
      <c r="A454">
        <v>1120</v>
      </c>
      <c r="B454" s="9" t="s">
        <v>58</v>
      </c>
      <c r="C454" s="19" t="s">
        <v>157</v>
      </c>
      <c r="D454" s="6">
        <v>45578</v>
      </c>
      <c r="E454" s="7">
        <v>45578.127604166664</v>
      </c>
      <c r="F454" t="s">
        <v>18</v>
      </c>
      <c r="I454" t="s">
        <v>18</v>
      </c>
      <c r="J454" s="11"/>
      <c r="K454" s="11">
        <v>-10.199999999999999</v>
      </c>
      <c r="L454" s="4">
        <f t="shared" si="13"/>
        <v>-10.199999999999999</v>
      </c>
      <c r="M454" t="s">
        <v>9</v>
      </c>
      <c r="N454" t="s">
        <v>36</v>
      </c>
      <c r="O454" t="s">
        <v>33</v>
      </c>
      <c r="R454" t="s">
        <v>9</v>
      </c>
      <c r="U454" t="e">
        <f>VLOOKUP(A454,#REF!,6,FALSE)</f>
        <v>#REF!</v>
      </c>
    </row>
    <row r="455" spans="1:21" x14ac:dyDescent="0.25">
      <c r="A455">
        <v>1121</v>
      </c>
      <c r="B455" s="9" t="s">
        <v>58</v>
      </c>
      <c r="C455" s="19" t="s">
        <v>157</v>
      </c>
      <c r="D455" s="6">
        <v>45579</v>
      </c>
      <c r="E455" s="7">
        <v>45579.381747685184</v>
      </c>
      <c r="F455" t="s">
        <v>80</v>
      </c>
      <c r="I455" t="s">
        <v>80</v>
      </c>
      <c r="J455" s="11"/>
      <c r="K455" s="11">
        <v>-4.6500000000000004</v>
      </c>
      <c r="L455" s="4">
        <f t="shared" si="13"/>
        <v>-4.6500000000000004</v>
      </c>
      <c r="M455" t="s">
        <v>38</v>
      </c>
      <c r="N455" t="s">
        <v>36</v>
      </c>
      <c r="O455" t="s">
        <v>33</v>
      </c>
      <c r="R455" t="s">
        <v>61</v>
      </c>
      <c r="U455" t="e">
        <f>VLOOKUP(A455,#REF!,6,FALSE)</f>
        <v>#REF!</v>
      </c>
    </row>
    <row r="456" spans="1:21" x14ac:dyDescent="0.25">
      <c r="A456">
        <v>1122</v>
      </c>
      <c r="B456" s="9" t="s">
        <v>58</v>
      </c>
      <c r="C456" s="19" t="s">
        <v>157</v>
      </c>
      <c r="D456" s="6">
        <v>45579</v>
      </c>
      <c r="E456" s="7">
        <v>45579.753645833334</v>
      </c>
      <c r="F456" t="s">
        <v>69</v>
      </c>
      <c r="I456" t="s">
        <v>69</v>
      </c>
      <c r="J456" s="11"/>
      <c r="K456" s="11">
        <v>-8.35</v>
      </c>
      <c r="L456" s="4">
        <f t="shared" si="13"/>
        <v>-8.35</v>
      </c>
      <c r="M456" t="s">
        <v>9</v>
      </c>
      <c r="N456" t="s">
        <v>36</v>
      </c>
      <c r="O456" t="s">
        <v>33</v>
      </c>
      <c r="R456" t="s">
        <v>9</v>
      </c>
      <c r="U456" t="e">
        <f>VLOOKUP(A456,#REF!,6,FALSE)</f>
        <v>#REF!</v>
      </c>
    </row>
    <row r="457" spans="1:21" x14ac:dyDescent="0.25">
      <c r="A457">
        <v>1123</v>
      </c>
      <c r="B457" s="9" t="s">
        <v>58</v>
      </c>
      <c r="C457" s="19" t="s">
        <v>157</v>
      </c>
      <c r="D457" s="6">
        <v>45580</v>
      </c>
      <c r="E457" s="7">
        <v>45580.507013888891</v>
      </c>
      <c r="F457" t="s">
        <v>18</v>
      </c>
      <c r="I457" t="s">
        <v>18</v>
      </c>
      <c r="J457" s="11"/>
      <c r="K457" s="11">
        <v>-14.6</v>
      </c>
      <c r="L457" s="4">
        <f t="shared" si="13"/>
        <v>-14.6</v>
      </c>
      <c r="M457" t="s">
        <v>9</v>
      </c>
      <c r="N457" t="s">
        <v>36</v>
      </c>
      <c r="O457" t="s">
        <v>33</v>
      </c>
      <c r="R457" t="s">
        <v>9</v>
      </c>
      <c r="U457" t="e">
        <f>VLOOKUP(A457,#REF!,6,FALSE)</f>
        <v>#REF!</v>
      </c>
    </row>
    <row r="458" spans="1:21" x14ac:dyDescent="0.25">
      <c r="A458">
        <v>1124</v>
      </c>
      <c r="B458" s="9" t="s">
        <v>58</v>
      </c>
      <c r="C458" s="19" t="s">
        <v>157</v>
      </c>
      <c r="D458" s="6">
        <v>45581</v>
      </c>
      <c r="E458" s="7">
        <v>45581.169895833336</v>
      </c>
      <c r="F458" t="s">
        <v>18</v>
      </c>
      <c r="I458" t="s">
        <v>18</v>
      </c>
      <c r="J458" s="11"/>
      <c r="K458" s="11">
        <v>-8.5</v>
      </c>
      <c r="L458" s="4">
        <f t="shared" si="13"/>
        <v>-8.5</v>
      </c>
      <c r="M458" t="s">
        <v>9</v>
      </c>
      <c r="N458" t="s">
        <v>36</v>
      </c>
      <c r="O458" t="s">
        <v>33</v>
      </c>
      <c r="R458" t="s">
        <v>9</v>
      </c>
      <c r="U458" t="e">
        <f>VLOOKUP(A458,#REF!,6,FALSE)</f>
        <v>#REF!</v>
      </c>
    </row>
    <row r="459" spans="1:21" x14ac:dyDescent="0.25">
      <c r="A459">
        <v>1125</v>
      </c>
      <c r="B459" s="9" t="s">
        <v>58</v>
      </c>
      <c r="C459" s="19" t="s">
        <v>157</v>
      </c>
      <c r="D459" s="6">
        <v>45581</v>
      </c>
      <c r="E459" s="7">
        <v>45581.453344907408</v>
      </c>
      <c r="F459" t="s">
        <v>326</v>
      </c>
      <c r="I459" t="s">
        <v>326</v>
      </c>
      <c r="J459" s="11"/>
      <c r="K459" s="11">
        <v>-4.6500000000000004</v>
      </c>
      <c r="L459" s="4">
        <f t="shared" ref="L459:L522" si="14">J459+K459</f>
        <v>-4.6500000000000004</v>
      </c>
      <c r="M459" t="s">
        <v>38</v>
      </c>
      <c r="N459" t="s">
        <v>36</v>
      </c>
      <c r="O459" t="s">
        <v>33</v>
      </c>
      <c r="R459" t="s">
        <v>61</v>
      </c>
      <c r="U459" t="e">
        <f>VLOOKUP(A459,#REF!,6,FALSE)</f>
        <v>#REF!</v>
      </c>
    </row>
    <row r="460" spans="1:21" x14ac:dyDescent="0.25">
      <c r="A460">
        <v>1126</v>
      </c>
      <c r="B460" s="9" t="s">
        <v>58</v>
      </c>
      <c r="C460" s="19" t="s">
        <v>157</v>
      </c>
      <c r="D460" s="6">
        <v>45582</v>
      </c>
      <c r="E460" s="7">
        <v>45582.46329861111</v>
      </c>
      <c r="F460" t="s">
        <v>327</v>
      </c>
      <c r="I460" t="s">
        <v>327</v>
      </c>
      <c r="J460" s="11"/>
      <c r="K460" s="11">
        <v>-8.2200000000000006</v>
      </c>
      <c r="L460" s="4">
        <f t="shared" si="14"/>
        <v>-8.2200000000000006</v>
      </c>
      <c r="M460" t="s">
        <v>38</v>
      </c>
      <c r="N460" t="s">
        <v>36</v>
      </c>
      <c r="O460" t="s">
        <v>33</v>
      </c>
      <c r="P460" t="s">
        <v>328</v>
      </c>
      <c r="R460" t="s">
        <v>61</v>
      </c>
      <c r="U460" t="e">
        <f>VLOOKUP(A460,#REF!,6,FALSE)</f>
        <v>#REF!</v>
      </c>
    </row>
    <row r="461" spans="1:21" x14ac:dyDescent="0.25">
      <c r="A461">
        <v>1127</v>
      </c>
      <c r="B461" s="9" t="s">
        <v>58</v>
      </c>
      <c r="C461" s="19" t="s">
        <v>157</v>
      </c>
      <c r="D461" s="6">
        <v>45582</v>
      </c>
      <c r="E461" s="7">
        <v>45582.525752314818</v>
      </c>
      <c r="F461" t="s">
        <v>18</v>
      </c>
      <c r="I461" t="s">
        <v>18</v>
      </c>
      <c r="J461" s="11"/>
      <c r="K461" s="11">
        <v>-8.5</v>
      </c>
      <c r="L461" s="4">
        <f t="shared" si="14"/>
        <v>-8.5</v>
      </c>
      <c r="M461" t="s">
        <v>9</v>
      </c>
      <c r="N461" t="s">
        <v>36</v>
      </c>
      <c r="O461" t="s">
        <v>33</v>
      </c>
      <c r="R461" t="s">
        <v>9</v>
      </c>
      <c r="U461" t="e">
        <f>VLOOKUP(A461,#REF!,6,FALSE)</f>
        <v>#REF!</v>
      </c>
    </row>
    <row r="462" spans="1:21" x14ac:dyDescent="0.25">
      <c r="A462">
        <v>1128</v>
      </c>
      <c r="B462" s="9" t="s">
        <v>58</v>
      </c>
      <c r="C462" s="19" t="s">
        <v>157</v>
      </c>
      <c r="D462" s="6">
        <v>45582</v>
      </c>
      <c r="E462" s="7">
        <v>45582.534317129626</v>
      </c>
      <c r="F462" t="s">
        <v>327</v>
      </c>
      <c r="I462" t="s">
        <v>327</v>
      </c>
      <c r="J462" s="11"/>
      <c r="K462" s="11">
        <v>-5.88</v>
      </c>
      <c r="L462" s="4">
        <f t="shared" si="14"/>
        <v>-5.88</v>
      </c>
      <c r="M462" t="s">
        <v>38</v>
      </c>
      <c r="N462" t="s">
        <v>36</v>
      </c>
      <c r="O462" t="s">
        <v>33</v>
      </c>
      <c r="P462" t="s">
        <v>48</v>
      </c>
      <c r="R462" t="s">
        <v>61</v>
      </c>
      <c r="U462" t="e">
        <f>VLOOKUP(A462,#REF!,6,FALSE)</f>
        <v>#REF!</v>
      </c>
    </row>
    <row r="463" spans="1:21" x14ac:dyDescent="0.25">
      <c r="A463">
        <v>1129</v>
      </c>
      <c r="B463" s="9" t="s">
        <v>58</v>
      </c>
      <c r="C463" s="19" t="s">
        <v>157</v>
      </c>
      <c r="D463" s="6">
        <v>45583</v>
      </c>
      <c r="E463" s="7">
        <v>45583.366875</v>
      </c>
      <c r="F463" t="s">
        <v>97</v>
      </c>
      <c r="I463" t="s">
        <v>97</v>
      </c>
      <c r="J463" s="11"/>
      <c r="K463" s="11">
        <v>-6.6</v>
      </c>
      <c r="L463" s="4">
        <f t="shared" si="14"/>
        <v>-6.6</v>
      </c>
      <c r="M463" t="s">
        <v>38</v>
      </c>
      <c r="N463" t="s">
        <v>36</v>
      </c>
      <c r="O463" t="s">
        <v>33</v>
      </c>
      <c r="R463" t="s">
        <v>61</v>
      </c>
      <c r="U463" t="e">
        <f>VLOOKUP(A463,#REF!,6,FALSE)</f>
        <v>#REF!</v>
      </c>
    </row>
    <row r="464" spans="1:21" x14ac:dyDescent="0.25">
      <c r="A464">
        <v>1130</v>
      </c>
      <c r="B464" s="9" t="s">
        <v>58</v>
      </c>
      <c r="C464" s="19" t="s">
        <v>157</v>
      </c>
      <c r="D464" s="6">
        <v>45583</v>
      </c>
      <c r="E464" s="7">
        <v>45583.548796296294</v>
      </c>
      <c r="F464" t="s">
        <v>18</v>
      </c>
      <c r="I464" t="s">
        <v>18</v>
      </c>
      <c r="J464" s="11"/>
      <c r="K464" s="11">
        <v>-6.3</v>
      </c>
      <c r="L464" s="4">
        <f t="shared" si="14"/>
        <v>-6.3</v>
      </c>
      <c r="M464" t="s">
        <v>9</v>
      </c>
      <c r="N464" t="s">
        <v>36</v>
      </c>
      <c r="O464" t="s">
        <v>33</v>
      </c>
      <c r="R464" t="s">
        <v>9</v>
      </c>
      <c r="U464" t="e">
        <f>VLOOKUP(A464,#REF!,6,FALSE)</f>
        <v>#REF!</v>
      </c>
    </row>
    <row r="465" spans="1:21" x14ac:dyDescent="0.25">
      <c r="A465">
        <v>1131</v>
      </c>
      <c r="B465" s="9" t="s">
        <v>58</v>
      </c>
      <c r="C465" s="19" t="s">
        <v>157</v>
      </c>
      <c r="D465" s="6">
        <v>45584</v>
      </c>
      <c r="E465" s="7">
        <v>45584.070335648146</v>
      </c>
      <c r="F465" t="s">
        <v>329</v>
      </c>
      <c r="G465" t="s">
        <v>329</v>
      </c>
      <c r="J465" s="11"/>
      <c r="K465" s="11">
        <v>-2.8</v>
      </c>
      <c r="L465" s="4">
        <f t="shared" si="14"/>
        <v>-2.8</v>
      </c>
      <c r="M465" t="s">
        <v>186</v>
      </c>
      <c r="N465" t="s">
        <v>17</v>
      </c>
      <c r="O465" t="s">
        <v>33</v>
      </c>
      <c r="R465" s="3" t="s">
        <v>63</v>
      </c>
      <c r="U465" t="e">
        <f>VLOOKUP(A465,#REF!,6,FALSE)</f>
        <v>#REF!</v>
      </c>
    </row>
    <row r="466" spans="1:21" x14ac:dyDescent="0.25">
      <c r="A466">
        <v>1132</v>
      </c>
      <c r="B466" s="9" t="s">
        <v>58</v>
      </c>
      <c r="C466" s="19" t="s">
        <v>157</v>
      </c>
      <c r="D466" s="6">
        <v>45584</v>
      </c>
      <c r="E466" s="7">
        <v>45584.149641203701</v>
      </c>
      <c r="F466" t="s">
        <v>18</v>
      </c>
      <c r="I466" t="s">
        <v>18</v>
      </c>
      <c r="J466" s="11"/>
      <c r="K466" s="11">
        <v>-6.8</v>
      </c>
      <c r="L466" s="4">
        <f t="shared" si="14"/>
        <v>-6.8</v>
      </c>
      <c r="M466" t="s">
        <v>9</v>
      </c>
      <c r="N466" t="s">
        <v>36</v>
      </c>
      <c r="O466" t="s">
        <v>33</v>
      </c>
      <c r="R466" t="s">
        <v>9</v>
      </c>
      <c r="U466" t="e">
        <f>VLOOKUP(A466,#REF!,6,FALSE)</f>
        <v>#REF!</v>
      </c>
    </row>
    <row r="467" spans="1:21" x14ac:dyDescent="0.25">
      <c r="A467">
        <v>1133</v>
      </c>
      <c r="B467" s="9" t="s">
        <v>58</v>
      </c>
      <c r="C467" s="19" t="s">
        <v>157</v>
      </c>
      <c r="D467" s="6">
        <v>45585</v>
      </c>
      <c r="E467" s="7">
        <v>45585.371539351851</v>
      </c>
      <c r="F467" t="s">
        <v>330</v>
      </c>
      <c r="I467" t="s">
        <v>330</v>
      </c>
      <c r="J467" s="11"/>
      <c r="K467" s="11">
        <v>-25</v>
      </c>
      <c r="L467" s="4">
        <f t="shared" si="14"/>
        <v>-25</v>
      </c>
      <c r="M467" t="s">
        <v>43</v>
      </c>
      <c r="N467" t="s">
        <v>36</v>
      </c>
      <c r="O467" t="s">
        <v>33</v>
      </c>
      <c r="R467" t="s">
        <v>12</v>
      </c>
      <c r="U467" t="e">
        <f>VLOOKUP(A467,#REF!,6,FALSE)</f>
        <v>#REF!</v>
      </c>
    </row>
    <row r="468" spans="1:21" x14ac:dyDescent="0.25">
      <c r="A468">
        <v>1134</v>
      </c>
      <c r="B468" s="9" t="s">
        <v>58</v>
      </c>
      <c r="C468" s="19" t="s">
        <v>157</v>
      </c>
      <c r="D468" s="6">
        <v>45586</v>
      </c>
      <c r="E468" s="7">
        <v>45586.438275462962</v>
      </c>
      <c r="F468" t="s">
        <v>148</v>
      </c>
      <c r="G468" t="s">
        <v>149</v>
      </c>
      <c r="I468" t="s">
        <v>31</v>
      </c>
      <c r="J468" s="11"/>
      <c r="K468" s="11">
        <v>-1000</v>
      </c>
      <c r="L468" s="4">
        <f t="shared" si="14"/>
        <v>-1000</v>
      </c>
      <c r="N468" t="s">
        <v>32</v>
      </c>
      <c r="O468" t="s">
        <v>33</v>
      </c>
      <c r="R468" t="s">
        <v>6</v>
      </c>
      <c r="U468" t="e">
        <f>VLOOKUP(A468,#REF!,6,FALSE)</f>
        <v>#REF!</v>
      </c>
    </row>
    <row r="469" spans="1:21" x14ac:dyDescent="0.25">
      <c r="A469">
        <v>1135</v>
      </c>
      <c r="B469" s="9" t="s">
        <v>58</v>
      </c>
      <c r="C469" s="19" t="s">
        <v>157</v>
      </c>
      <c r="D469" s="6">
        <v>45587</v>
      </c>
      <c r="E469" s="7">
        <v>45587.345914351848</v>
      </c>
      <c r="F469" t="s">
        <v>87</v>
      </c>
      <c r="I469" t="s">
        <v>87</v>
      </c>
      <c r="J469" s="11"/>
      <c r="K469" s="11">
        <v>-5.15</v>
      </c>
      <c r="L469" s="4">
        <f t="shared" si="14"/>
        <v>-5.15</v>
      </c>
      <c r="M469" t="s">
        <v>38</v>
      </c>
      <c r="N469" t="s">
        <v>36</v>
      </c>
      <c r="O469" t="s">
        <v>33</v>
      </c>
      <c r="P469" t="s">
        <v>48</v>
      </c>
      <c r="R469" t="s">
        <v>61</v>
      </c>
      <c r="U469" t="e">
        <f>VLOOKUP(A469,#REF!,6,FALSE)</f>
        <v>#REF!</v>
      </c>
    </row>
    <row r="470" spans="1:21" x14ac:dyDescent="0.25">
      <c r="A470">
        <v>1136</v>
      </c>
      <c r="B470" s="9" t="s">
        <v>58</v>
      </c>
      <c r="C470" s="19" t="s">
        <v>157</v>
      </c>
      <c r="D470" s="6">
        <v>45587</v>
      </c>
      <c r="E470" s="7">
        <v>45587.347083333334</v>
      </c>
      <c r="F470" t="s">
        <v>81</v>
      </c>
      <c r="I470" t="s">
        <v>81</v>
      </c>
      <c r="J470" s="11"/>
      <c r="K470" s="11">
        <v>-1.7</v>
      </c>
      <c r="L470" s="4">
        <f t="shared" si="14"/>
        <v>-1.7</v>
      </c>
      <c r="M470" t="s">
        <v>38</v>
      </c>
      <c r="N470" t="s">
        <v>36</v>
      </c>
      <c r="O470" t="s">
        <v>33</v>
      </c>
      <c r="R470" t="s">
        <v>61</v>
      </c>
      <c r="U470" t="e">
        <f>VLOOKUP(A470,#REF!,6,FALSE)</f>
        <v>#REF!</v>
      </c>
    </row>
    <row r="471" spans="1:21" x14ac:dyDescent="0.25">
      <c r="A471">
        <v>1137</v>
      </c>
      <c r="B471" s="9" t="s">
        <v>58</v>
      </c>
      <c r="C471" s="19" t="s">
        <v>157</v>
      </c>
      <c r="D471" s="6">
        <v>45587</v>
      </c>
      <c r="E471" s="7">
        <v>45587.373530092591</v>
      </c>
      <c r="F471" t="s">
        <v>171</v>
      </c>
      <c r="I471" t="s">
        <v>171</v>
      </c>
      <c r="J471" s="11"/>
      <c r="K471" s="11">
        <v>-4.05</v>
      </c>
      <c r="L471" s="4">
        <f t="shared" si="14"/>
        <v>-4.05</v>
      </c>
      <c r="M471" t="s">
        <v>38</v>
      </c>
      <c r="N471" t="s">
        <v>36</v>
      </c>
      <c r="O471" t="s">
        <v>33</v>
      </c>
      <c r="R471" t="s">
        <v>61</v>
      </c>
      <c r="U471" t="e">
        <f>VLOOKUP(A471,#REF!,6,FALSE)</f>
        <v>#REF!</v>
      </c>
    </row>
    <row r="472" spans="1:21" x14ac:dyDescent="0.25">
      <c r="A472">
        <v>1001</v>
      </c>
      <c r="B472" s="9" t="s">
        <v>58</v>
      </c>
      <c r="C472" s="19" t="s">
        <v>157</v>
      </c>
      <c r="D472" s="6">
        <v>45506</v>
      </c>
      <c r="E472" s="7">
        <v>45506.395821759259</v>
      </c>
      <c r="F472" t="s">
        <v>191</v>
      </c>
      <c r="I472" t="s">
        <v>191</v>
      </c>
      <c r="J472" s="11"/>
      <c r="K472" s="11">
        <v>-2.99</v>
      </c>
      <c r="L472" s="4">
        <f t="shared" si="14"/>
        <v>-2.99</v>
      </c>
      <c r="M472" t="s">
        <v>194</v>
      </c>
      <c r="N472" t="s">
        <v>36</v>
      </c>
      <c r="O472" t="s">
        <v>33</v>
      </c>
      <c r="R472" t="s">
        <v>461</v>
      </c>
      <c r="U472" t="e">
        <f>VLOOKUP(A472,#REF!,6,FALSE)</f>
        <v>#REF!</v>
      </c>
    </row>
    <row r="473" spans="1:21" x14ac:dyDescent="0.25">
      <c r="A473">
        <v>1139</v>
      </c>
      <c r="B473" s="9" t="s">
        <v>58</v>
      </c>
      <c r="C473" s="19" t="s">
        <v>157</v>
      </c>
      <c r="D473" s="6">
        <v>45588</v>
      </c>
      <c r="E473" s="7">
        <v>45588.233449074076</v>
      </c>
      <c r="F473" t="s">
        <v>148</v>
      </c>
      <c r="G473" t="s">
        <v>149</v>
      </c>
      <c r="I473" t="s">
        <v>31</v>
      </c>
      <c r="J473" s="11"/>
      <c r="K473" s="11">
        <v>-300</v>
      </c>
      <c r="L473" s="4">
        <f t="shared" si="14"/>
        <v>-300</v>
      </c>
      <c r="N473" t="s">
        <v>32</v>
      </c>
      <c r="O473" t="s">
        <v>33</v>
      </c>
      <c r="R473" t="s">
        <v>6</v>
      </c>
      <c r="U473" t="e">
        <f>VLOOKUP(A473,#REF!,6,FALSE)</f>
        <v>#REF!</v>
      </c>
    </row>
    <row r="474" spans="1:21" x14ac:dyDescent="0.25">
      <c r="A474">
        <v>1140</v>
      </c>
      <c r="B474" s="9" t="s">
        <v>58</v>
      </c>
      <c r="C474" s="19" t="s">
        <v>157</v>
      </c>
      <c r="D474" s="6">
        <v>45588</v>
      </c>
      <c r="E474" s="7">
        <v>45588.378530092596</v>
      </c>
      <c r="F474" t="s">
        <v>326</v>
      </c>
      <c r="I474" t="s">
        <v>326</v>
      </c>
      <c r="J474" s="11"/>
      <c r="K474" s="11">
        <v>-4.2</v>
      </c>
      <c r="L474" s="4">
        <f t="shared" si="14"/>
        <v>-4.2</v>
      </c>
      <c r="M474" t="s">
        <v>38</v>
      </c>
      <c r="N474" t="s">
        <v>36</v>
      </c>
      <c r="O474" t="s">
        <v>33</v>
      </c>
      <c r="R474" t="s">
        <v>61</v>
      </c>
      <c r="U474" t="e">
        <f>VLOOKUP(A474,#REF!,6,FALSE)</f>
        <v>#REF!</v>
      </c>
    </row>
    <row r="475" spans="1:21" x14ac:dyDescent="0.25">
      <c r="A475">
        <v>1141</v>
      </c>
      <c r="B475" s="9" t="s">
        <v>58</v>
      </c>
      <c r="C475" s="19" t="s">
        <v>157</v>
      </c>
      <c r="D475" s="6">
        <v>45588</v>
      </c>
      <c r="E475" s="7">
        <v>45588.554062499999</v>
      </c>
      <c r="F475" t="s">
        <v>18</v>
      </c>
      <c r="I475" t="s">
        <v>18</v>
      </c>
      <c r="J475" s="11"/>
      <c r="K475" s="11">
        <v>-13.4</v>
      </c>
      <c r="L475" s="4">
        <f t="shared" si="14"/>
        <v>-13.4</v>
      </c>
      <c r="M475" t="s">
        <v>9</v>
      </c>
      <c r="N475" t="s">
        <v>36</v>
      </c>
      <c r="O475" t="s">
        <v>33</v>
      </c>
      <c r="R475" t="s">
        <v>9</v>
      </c>
      <c r="U475" t="e">
        <f>VLOOKUP(A475,#REF!,6,FALSE)</f>
        <v>#REF!</v>
      </c>
    </row>
    <row r="476" spans="1:21" x14ac:dyDescent="0.25">
      <c r="A476">
        <v>1142</v>
      </c>
      <c r="B476" s="9" t="s">
        <v>58</v>
      </c>
      <c r="C476" s="19" t="s">
        <v>157</v>
      </c>
      <c r="D476" s="6">
        <v>45589</v>
      </c>
      <c r="E476" s="7">
        <v>45589.15152777778</v>
      </c>
      <c r="F476" t="s">
        <v>18</v>
      </c>
      <c r="I476" t="s">
        <v>18</v>
      </c>
      <c r="J476" s="11"/>
      <c r="K476" s="11">
        <v>-4.9000000000000004</v>
      </c>
      <c r="L476" s="4">
        <f t="shared" si="14"/>
        <v>-4.9000000000000004</v>
      </c>
      <c r="M476" t="s">
        <v>9</v>
      </c>
      <c r="N476" t="s">
        <v>36</v>
      </c>
      <c r="O476" t="s">
        <v>33</v>
      </c>
      <c r="R476" t="s">
        <v>9</v>
      </c>
      <c r="U476" t="e">
        <f>VLOOKUP(A476,#REF!,6,FALSE)</f>
        <v>#REF!</v>
      </c>
    </row>
    <row r="477" spans="1:21" x14ac:dyDescent="0.25">
      <c r="A477">
        <v>1143</v>
      </c>
      <c r="B477" s="9" t="s">
        <v>58</v>
      </c>
      <c r="C477" s="19" t="s">
        <v>157</v>
      </c>
      <c r="D477" s="6">
        <v>45596</v>
      </c>
      <c r="E477" s="7">
        <v>45596.156967592593</v>
      </c>
      <c r="F477" t="s">
        <v>148</v>
      </c>
      <c r="G477" t="s">
        <v>149</v>
      </c>
      <c r="I477" t="s">
        <v>31</v>
      </c>
      <c r="J477" s="11"/>
      <c r="K477" s="11">
        <v>-200</v>
      </c>
      <c r="L477" s="4">
        <f t="shared" si="14"/>
        <v>-200</v>
      </c>
      <c r="N477" t="s">
        <v>32</v>
      </c>
      <c r="O477" t="s">
        <v>33</v>
      </c>
      <c r="R477" t="s">
        <v>6</v>
      </c>
      <c r="U477" t="e">
        <f>VLOOKUP(A477,#REF!,6,FALSE)</f>
        <v>#REF!</v>
      </c>
    </row>
    <row r="478" spans="1:21" x14ac:dyDescent="0.25">
      <c r="A478">
        <v>1144</v>
      </c>
      <c r="B478" s="9" t="s">
        <v>58</v>
      </c>
      <c r="C478" s="19" t="s">
        <v>157</v>
      </c>
      <c r="D478" s="6">
        <v>45596</v>
      </c>
      <c r="E478" s="7">
        <v>45596.450173611112</v>
      </c>
      <c r="F478" t="s">
        <v>331</v>
      </c>
      <c r="G478" t="s">
        <v>332</v>
      </c>
      <c r="H478" t="s">
        <v>49</v>
      </c>
      <c r="J478" s="11">
        <v>325</v>
      </c>
      <c r="K478" s="11"/>
      <c r="L478" s="4">
        <f t="shared" si="14"/>
        <v>325</v>
      </c>
      <c r="M478" t="s">
        <v>7</v>
      </c>
      <c r="N478" t="s">
        <v>37</v>
      </c>
      <c r="O478" t="s">
        <v>33</v>
      </c>
      <c r="R478" t="s">
        <v>7</v>
      </c>
      <c r="U478" t="e">
        <f>VLOOKUP(A478,#REF!,6,FALSE)</f>
        <v>#REF!</v>
      </c>
    </row>
    <row r="479" spans="1:21" x14ac:dyDescent="0.25">
      <c r="A479">
        <v>1145</v>
      </c>
      <c r="B479" s="9" t="s">
        <v>58</v>
      </c>
      <c r="C479" s="19" t="s">
        <v>157</v>
      </c>
      <c r="D479" s="6">
        <v>45596</v>
      </c>
      <c r="E479" s="7">
        <v>45596.455694444441</v>
      </c>
      <c r="F479" t="s">
        <v>333</v>
      </c>
      <c r="G479" t="s">
        <v>334</v>
      </c>
      <c r="H479" t="s">
        <v>49</v>
      </c>
      <c r="J479" s="11">
        <v>325</v>
      </c>
      <c r="K479" s="11"/>
      <c r="L479" s="4">
        <f t="shared" si="14"/>
        <v>325</v>
      </c>
      <c r="M479" t="s">
        <v>7</v>
      </c>
      <c r="N479" t="s">
        <v>37</v>
      </c>
      <c r="O479" t="s">
        <v>33</v>
      </c>
      <c r="R479" t="s">
        <v>7</v>
      </c>
      <c r="U479" t="e">
        <f>VLOOKUP(A479,#REF!,6,FALSE)</f>
        <v>#REF!</v>
      </c>
    </row>
    <row r="480" spans="1:21" x14ac:dyDescent="0.25">
      <c r="A480">
        <v>1146</v>
      </c>
      <c r="B480" s="9" t="s">
        <v>58</v>
      </c>
      <c r="C480" s="19" t="s">
        <v>157</v>
      </c>
      <c r="D480" s="6">
        <v>45597</v>
      </c>
      <c r="E480" s="7">
        <v>45597.149131944447</v>
      </c>
      <c r="F480" t="s">
        <v>335</v>
      </c>
      <c r="G480" t="s">
        <v>336</v>
      </c>
      <c r="I480" t="s">
        <v>237</v>
      </c>
      <c r="J480" s="11"/>
      <c r="K480" s="11">
        <v>-78.59</v>
      </c>
      <c r="L480" s="4">
        <f t="shared" si="14"/>
        <v>-78.59</v>
      </c>
      <c r="M480" t="s">
        <v>43</v>
      </c>
      <c r="N480" t="s">
        <v>238</v>
      </c>
      <c r="O480" t="s">
        <v>33</v>
      </c>
      <c r="R480" t="s">
        <v>12</v>
      </c>
      <c r="U480" t="e">
        <f>VLOOKUP(A480,#REF!,6,FALSE)</f>
        <v>#REF!</v>
      </c>
    </row>
    <row r="481" spans="1:21" x14ac:dyDescent="0.25">
      <c r="A481">
        <v>1002</v>
      </c>
      <c r="B481" s="9" t="s">
        <v>58</v>
      </c>
      <c r="C481" s="19" t="s">
        <v>157</v>
      </c>
      <c r="D481" s="6">
        <v>45509</v>
      </c>
      <c r="E481" s="7">
        <v>45509.344050925924</v>
      </c>
      <c r="F481" t="s">
        <v>191</v>
      </c>
      <c r="I481" t="s">
        <v>191</v>
      </c>
      <c r="J481" s="11"/>
      <c r="K481" s="11">
        <v>-9.99</v>
      </c>
      <c r="L481" s="4">
        <f t="shared" si="14"/>
        <v>-9.99</v>
      </c>
      <c r="M481" t="s">
        <v>194</v>
      </c>
      <c r="N481" t="s">
        <v>36</v>
      </c>
      <c r="O481" t="s">
        <v>33</v>
      </c>
      <c r="R481" t="s">
        <v>461</v>
      </c>
      <c r="U481" t="e">
        <f>VLOOKUP(A481,#REF!,6,FALSE)</f>
        <v>#REF!</v>
      </c>
    </row>
    <row r="482" spans="1:21" x14ac:dyDescent="0.25">
      <c r="A482">
        <v>1148</v>
      </c>
      <c r="B482" s="9" t="s">
        <v>58</v>
      </c>
      <c r="C482" s="19" t="s">
        <v>157</v>
      </c>
      <c r="D482" s="6">
        <v>45600</v>
      </c>
      <c r="E482" s="7">
        <v>45600.018414351849</v>
      </c>
      <c r="F482" t="s">
        <v>337</v>
      </c>
      <c r="G482" t="s">
        <v>338</v>
      </c>
      <c r="I482" t="s">
        <v>282</v>
      </c>
      <c r="J482" s="11"/>
      <c r="K482" s="11">
        <v>-7.18</v>
      </c>
      <c r="L482" s="4">
        <f t="shared" si="14"/>
        <v>-7.18</v>
      </c>
      <c r="N482" t="s">
        <v>283</v>
      </c>
      <c r="O482" t="s">
        <v>33</v>
      </c>
      <c r="R482" t="s">
        <v>453</v>
      </c>
      <c r="U482" t="e">
        <f>VLOOKUP(A482,#REF!,6,FALSE)</f>
        <v>#REF!</v>
      </c>
    </row>
    <row r="483" spans="1:21" x14ac:dyDescent="0.25">
      <c r="A483">
        <v>1149</v>
      </c>
      <c r="B483" s="9" t="s">
        <v>58</v>
      </c>
      <c r="C483" s="19" t="s">
        <v>157</v>
      </c>
      <c r="D483" s="6">
        <v>45601</v>
      </c>
      <c r="E483" s="7">
        <v>45601.091770833336</v>
      </c>
      <c r="F483" t="s">
        <v>148</v>
      </c>
      <c r="G483" t="s">
        <v>149</v>
      </c>
      <c r="I483" t="s">
        <v>31</v>
      </c>
      <c r="J483" s="11"/>
      <c r="K483" s="11">
        <v>-150</v>
      </c>
      <c r="L483" s="4">
        <f t="shared" si="14"/>
        <v>-150</v>
      </c>
      <c r="N483" t="s">
        <v>32</v>
      </c>
      <c r="O483" t="s">
        <v>33</v>
      </c>
      <c r="R483" t="s">
        <v>6</v>
      </c>
      <c r="U483" t="e">
        <f>VLOOKUP(A483,#REF!,6,FALSE)</f>
        <v>#REF!</v>
      </c>
    </row>
    <row r="484" spans="1:21" x14ac:dyDescent="0.25">
      <c r="A484">
        <v>1150</v>
      </c>
      <c r="B484" s="9" t="s">
        <v>58</v>
      </c>
      <c r="C484" s="19" t="s">
        <v>157</v>
      </c>
      <c r="D484" s="6">
        <v>45602</v>
      </c>
      <c r="E484" s="7">
        <v>45602.43178240741</v>
      </c>
      <c r="F484" t="s">
        <v>148</v>
      </c>
      <c r="G484" t="s">
        <v>149</v>
      </c>
      <c r="I484" t="s">
        <v>31</v>
      </c>
      <c r="J484" s="11"/>
      <c r="K484" s="11">
        <v>-200</v>
      </c>
      <c r="L484" s="4">
        <f t="shared" si="14"/>
        <v>-200</v>
      </c>
      <c r="N484" t="s">
        <v>32</v>
      </c>
      <c r="O484" t="s">
        <v>33</v>
      </c>
      <c r="R484" t="s">
        <v>6</v>
      </c>
      <c r="U484" t="e">
        <f>VLOOKUP(A484,#REF!,6,FALSE)</f>
        <v>#REF!</v>
      </c>
    </row>
    <row r="485" spans="1:21" x14ac:dyDescent="0.25">
      <c r="A485">
        <v>1151</v>
      </c>
      <c r="B485" s="9" t="s">
        <v>58</v>
      </c>
      <c r="C485" s="19" t="s">
        <v>157</v>
      </c>
      <c r="D485" s="6">
        <v>45606</v>
      </c>
      <c r="E485" s="7">
        <v>45606.393333333333</v>
      </c>
      <c r="F485" t="s">
        <v>18</v>
      </c>
      <c r="I485" t="s">
        <v>18</v>
      </c>
      <c r="J485" s="11"/>
      <c r="K485" s="11">
        <v>-10.65</v>
      </c>
      <c r="L485" s="4">
        <f t="shared" si="14"/>
        <v>-10.65</v>
      </c>
      <c r="M485" t="s">
        <v>9</v>
      </c>
      <c r="N485" t="s">
        <v>36</v>
      </c>
      <c r="O485" t="s">
        <v>33</v>
      </c>
      <c r="R485" t="s">
        <v>9</v>
      </c>
      <c r="U485" t="e">
        <f>VLOOKUP(A485,#REF!,6,FALSE)</f>
        <v>#REF!</v>
      </c>
    </row>
    <row r="486" spans="1:21" x14ac:dyDescent="0.25">
      <c r="A486">
        <v>1152</v>
      </c>
      <c r="B486" s="9" t="s">
        <v>58</v>
      </c>
      <c r="C486" s="19" t="s">
        <v>157</v>
      </c>
      <c r="D486" s="6">
        <v>45606</v>
      </c>
      <c r="E486" s="7">
        <v>45606.406273148146</v>
      </c>
      <c r="F486" t="s">
        <v>173</v>
      </c>
      <c r="I486" t="s">
        <v>173</v>
      </c>
      <c r="J486" s="11"/>
      <c r="K486" s="11">
        <v>-1.65</v>
      </c>
      <c r="L486" s="4">
        <f t="shared" si="14"/>
        <v>-1.65</v>
      </c>
      <c r="M486" t="s">
        <v>38</v>
      </c>
      <c r="N486" t="s">
        <v>36</v>
      </c>
      <c r="O486" t="s">
        <v>33</v>
      </c>
      <c r="R486" t="s">
        <v>61</v>
      </c>
      <c r="U486" t="e">
        <f>VLOOKUP(A486,#REF!,6,FALSE)</f>
        <v>#REF!</v>
      </c>
    </row>
    <row r="487" spans="1:21" x14ac:dyDescent="0.25">
      <c r="A487">
        <v>1153</v>
      </c>
      <c r="B487" s="9" t="s">
        <v>58</v>
      </c>
      <c r="C487" s="19" t="s">
        <v>157</v>
      </c>
      <c r="D487" s="6">
        <v>45606</v>
      </c>
      <c r="E487" s="7">
        <v>45606.409884259258</v>
      </c>
      <c r="F487" t="s">
        <v>339</v>
      </c>
      <c r="I487" t="s">
        <v>339</v>
      </c>
      <c r="J487" s="11"/>
      <c r="K487" s="11">
        <v>-2.2999999999999998</v>
      </c>
      <c r="L487" s="4">
        <f t="shared" si="14"/>
        <v>-2.2999999999999998</v>
      </c>
      <c r="M487" t="s">
        <v>38</v>
      </c>
      <c r="N487" t="s">
        <v>36</v>
      </c>
      <c r="O487" t="s">
        <v>33</v>
      </c>
      <c r="R487" t="s">
        <v>61</v>
      </c>
      <c r="U487" t="e">
        <f>VLOOKUP(A487,#REF!,6,FALSE)</f>
        <v>#REF!</v>
      </c>
    </row>
    <row r="488" spans="1:21" x14ac:dyDescent="0.25">
      <c r="A488">
        <v>1154</v>
      </c>
      <c r="B488" s="9" t="s">
        <v>58</v>
      </c>
      <c r="C488" s="19" t="s">
        <v>157</v>
      </c>
      <c r="D488" s="6">
        <v>45606</v>
      </c>
      <c r="E488" s="7">
        <v>45606.422013888892</v>
      </c>
      <c r="F488" t="s">
        <v>247</v>
      </c>
      <c r="I488" t="s">
        <v>247</v>
      </c>
      <c r="J488" s="11"/>
      <c r="K488" s="11">
        <v>-4.79</v>
      </c>
      <c r="L488" s="4">
        <f t="shared" si="14"/>
        <v>-4.79</v>
      </c>
      <c r="M488" t="s">
        <v>38</v>
      </c>
      <c r="N488" t="s">
        <v>36</v>
      </c>
      <c r="O488" t="s">
        <v>33</v>
      </c>
      <c r="R488" t="s">
        <v>61</v>
      </c>
      <c r="U488" t="e">
        <f>VLOOKUP(A488,#REF!,6,FALSE)</f>
        <v>#REF!</v>
      </c>
    </row>
    <row r="489" spans="1:21" x14ac:dyDescent="0.25">
      <c r="A489">
        <v>1155</v>
      </c>
      <c r="B489" s="9" t="s">
        <v>58</v>
      </c>
      <c r="C489" s="19" t="s">
        <v>157</v>
      </c>
      <c r="D489" s="6">
        <v>45606</v>
      </c>
      <c r="E489" s="7">
        <v>45606.427384259259</v>
      </c>
      <c r="F489" t="s">
        <v>171</v>
      </c>
      <c r="I489" t="s">
        <v>171</v>
      </c>
      <c r="J489" s="11"/>
      <c r="K489" s="11">
        <v>-4.05</v>
      </c>
      <c r="L489" s="4">
        <f t="shared" si="14"/>
        <v>-4.05</v>
      </c>
      <c r="M489" t="s">
        <v>38</v>
      </c>
      <c r="N489" t="s">
        <v>36</v>
      </c>
      <c r="O489" t="s">
        <v>33</v>
      </c>
      <c r="R489" t="s">
        <v>61</v>
      </c>
      <c r="U489" t="e">
        <f>VLOOKUP(A489,#REF!,6,FALSE)</f>
        <v>#REF!</v>
      </c>
    </row>
    <row r="490" spans="1:21" x14ac:dyDescent="0.25">
      <c r="A490">
        <v>1156</v>
      </c>
      <c r="B490" s="9" t="s">
        <v>58</v>
      </c>
      <c r="C490" s="19" t="s">
        <v>157</v>
      </c>
      <c r="D490" s="6">
        <v>45608</v>
      </c>
      <c r="E490" s="7">
        <v>45608.147372685184</v>
      </c>
      <c r="F490" t="s">
        <v>18</v>
      </c>
      <c r="I490" t="s">
        <v>18</v>
      </c>
      <c r="J490" s="11"/>
      <c r="K490" s="11">
        <v>-4.55</v>
      </c>
      <c r="L490" s="4">
        <f t="shared" si="14"/>
        <v>-4.55</v>
      </c>
      <c r="M490" t="s">
        <v>9</v>
      </c>
      <c r="N490" t="s">
        <v>36</v>
      </c>
      <c r="O490" t="s">
        <v>33</v>
      </c>
      <c r="R490" t="s">
        <v>9</v>
      </c>
      <c r="U490" t="e">
        <f>VLOOKUP(A490,#REF!,6,FALSE)</f>
        <v>#REF!</v>
      </c>
    </row>
    <row r="491" spans="1:21" x14ac:dyDescent="0.25">
      <c r="A491">
        <v>1157</v>
      </c>
      <c r="B491" s="9" t="s">
        <v>58</v>
      </c>
      <c r="C491" s="19" t="s">
        <v>157</v>
      </c>
      <c r="D491" s="6">
        <v>45608</v>
      </c>
      <c r="E491" s="7">
        <v>45608.170162037037</v>
      </c>
      <c r="F491" t="s">
        <v>69</v>
      </c>
      <c r="I491" t="s">
        <v>69</v>
      </c>
      <c r="J491" s="11"/>
      <c r="K491" s="11">
        <v>-9.11</v>
      </c>
      <c r="L491" s="4">
        <f t="shared" si="14"/>
        <v>-9.11</v>
      </c>
      <c r="M491" t="s">
        <v>9</v>
      </c>
      <c r="N491" t="s">
        <v>36</v>
      </c>
      <c r="O491" t="s">
        <v>33</v>
      </c>
      <c r="R491" t="s">
        <v>9</v>
      </c>
      <c r="U491" t="e">
        <f>VLOOKUP(A491,#REF!,6,FALSE)</f>
        <v>#REF!</v>
      </c>
    </row>
    <row r="492" spans="1:21" x14ac:dyDescent="0.25">
      <c r="A492">
        <v>1158</v>
      </c>
      <c r="B492" s="9" t="s">
        <v>58</v>
      </c>
      <c r="C492" s="19" t="s">
        <v>157</v>
      </c>
      <c r="D492" s="6">
        <v>45608</v>
      </c>
      <c r="E492" s="7">
        <v>45608.292986111112</v>
      </c>
      <c r="F492" t="s">
        <v>148</v>
      </c>
      <c r="G492" t="s">
        <v>149</v>
      </c>
      <c r="I492" t="s">
        <v>31</v>
      </c>
      <c r="J492" s="11"/>
      <c r="K492" s="11">
        <v>-150</v>
      </c>
      <c r="L492" s="4">
        <f t="shared" si="14"/>
        <v>-150</v>
      </c>
      <c r="N492" t="s">
        <v>32</v>
      </c>
      <c r="O492" t="s">
        <v>33</v>
      </c>
      <c r="R492" t="s">
        <v>6</v>
      </c>
      <c r="U492" t="e">
        <f>VLOOKUP(A492,#REF!,6,FALSE)</f>
        <v>#REF!</v>
      </c>
    </row>
    <row r="493" spans="1:21" x14ac:dyDescent="0.25">
      <c r="A493">
        <v>1159</v>
      </c>
      <c r="B493" s="9" t="s">
        <v>58</v>
      </c>
      <c r="C493" s="19" t="s">
        <v>157</v>
      </c>
      <c r="D493" s="6">
        <v>45609</v>
      </c>
      <c r="E493" s="7">
        <v>45609.6171412037</v>
      </c>
      <c r="F493" t="s">
        <v>18</v>
      </c>
      <c r="I493" t="s">
        <v>18</v>
      </c>
      <c r="J493" s="11"/>
      <c r="K493" s="11">
        <v>-3.5</v>
      </c>
      <c r="L493" s="4">
        <f t="shared" si="14"/>
        <v>-3.5</v>
      </c>
      <c r="M493" t="s">
        <v>9</v>
      </c>
      <c r="N493" t="s">
        <v>36</v>
      </c>
      <c r="O493" t="s">
        <v>33</v>
      </c>
      <c r="R493" t="s">
        <v>9</v>
      </c>
      <c r="U493" t="e">
        <f>VLOOKUP(A493,#REF!,6,FALSE)</f>
        <v>#REF!</v>
      </c>
    </row>
    <row r="494" spans="1:21" x14ac:dyDescent="0.25">
      <c r="A494">
        <v>1160</v>
      </c>
      <c r="B494" s="9" t="s">
        <v>58</v>
      </c>
      <c r="C494" s="19" t="s">
        <v>157</v>
      </c>
      <c r="D494" s="6">
        <v>45610</v>
      </c>
      <c r="E494" s="7">
        <v>45610.323692129627</v>
      </c>
      <c r="F494" t="s">
        <v>340</v>
      </c>
      <c r="I494" t="s">
        <v>340</v>
      </c>
      <c r="J494" s="11"/>
      <c r="K494" s="11">
        <v>-30.1</v>
      </c>
      <c r="L494" s="4">
        <f t="shared" si="14"/>
        <v>-30.1</v>
      </c>
      <c r="M494" t="s">
        <v>9</v>
      </c>
      <c r="N494" t="s">
        <v>36</v>
      </c>
      <c r="O494" t="s">
        <v>33</v>
      </c>
      <c r="R494" t="s">
        <v>9</v>
      </c>
      <c r="U494" t="e">
        <f>VLOOKUP(A494,#REF!,6,FALSE)</f>
        <v>#REF!</v>
      </c>
    </row>
    <row r="495" spans="1:21" x14ac:dyDescent="0.25">
      <c r="A495">
        <v>1161</v>
      </c>
      <c r="B495" s="9" t="s">
        <v>58</v>
      </c>
      <c r="C495" s="19" t="s">
        <v>157</v>
      </c>
      <c r="D495" s="6">
        <v>45610</v>
      </c>
      <c r="E495" s="7">
        <v>45610.328668981485</v>
      </c>
      <c r="F495" t="s">
        <v>173</v>
      </c>
      <c r="I495" t="s">
        <v>173</v>
      </c>
      <c r="J495" s="11"/>
      <c r="K495" s="11">
        <v>-2.1</v>
      </c>
      <c r="L495" s="4">
        <f t="shared" si="14"/>
        <v>-2.1</v>
      </c>
      <c r="M495" t="s">
        <v>38</v>
      </c>
      <c r="N495" t="s">
        <v>36</v>
      </c>
      <c r="O495" t="s">
        <v>33</v>
      </c>
      <c r="R495" t="s">
        <v>61</v>
      </c>
      <c r="U495" t="e">
        <f>VLOOKUP(A495,#REF!,6,FALSE)</f>
        <v>#REF!</v>
      </c>
    </row>
    <row r="496" spans="1:21" x14ac:dyDescent="0.25">
      <c r="A496">
        <v>1162</v>
      </c>
      <c r="B496" s="9" t="s">
        <v>58</v>
      </c>
      <c r="C496" s="19" t="s">
        <v>157</v>
      </c>
      <c r="D496" s="6">
        <v>45610</v>
      </c>
      <c r="E496" s="7">
        <v>45610.330613425926</v>
      </c>
      <c r="F496" t="s">
        <v>80</v>
      </c>
      <c r="I496" t="s">
        <v>80</v>
      </c>
      <c r="J496" s="11"/>
      <c r="K496" s="11">
        <v>-4.1500000000000004</v>
      </c>
      <c r="L496" s="4">
        <f t="shared" si="14"/>
        <v>-4.1500000000000004</v>
      </c>
      <c r="M496" t="s">
        <v>38</v>
      </c>
      <c r="N496" t="s">
        <v>36</v>
      </c>
      <c r="O496" t="s">
        <v>33</v>
      </c>
      <c r="R496" t="s">
        <v>61</v>
      </c>
      <c r="U496" t="e">
        <f>VLOOKUP(A496,#REF!,6,FALSE)</f>
        <v>#REF!</v>
      </c>
    </row>
    <row r="497" spans="1:21" x14ac:dyDescent="0.25">
      <c r="A497">
        <v>1163</v>
      </c>
      <c r="B497" s="9" t="s">
        <v>58</v>
      </c>
      <c r="C497" s="19" t="s">
        <v>157</v>
      </c>
      <c r="D497" s="6">
        <v>45610</v>
      </c>
      <c r="E497" s="7">
        <v>45610.582395833335</v>
      </c>
      <c r="F497" t="s">
        <v>18</v>
      </c>
      <c r="I497" t="s">
        <v>18</v>
      </c>
      <c r="J497" s="11"/>
      <c r="K497" s="11">
        <v>-1.75</v>
      </c>
      <c r="L497" s="4">
        <f t="shared" si="14"/>
        <v>-1.75</v>
      </c>
      <c r="M497" t="s">
        <v>9</v>
      </c>
      <c r="N497" t="s">
        <v>36</v>
      </c>
      <c r="O497" t="s">
        <v>33</v>
      </c>
      <c r="R497" t="s">
        <v>9</v>
      </c>
      <c r="U497" t="e">
        <f>VLOOKUP(A497,#REF!,6,FALSE)</f>
        <v>#REF!</v>
      </c>
    </row>
    <row r="498" spans="1:21" x14ac:dyDescent="0.25">
      <c r="A498">
        <v>1164</v>
      </c>
      <c r="B498" s="9" t="s">
        <v>58</v>
      </c>
      <c r="C498" s="19" t="s">
        <v>157</v>
      </c>
      <c r="D498" s="6">
        <v>45610</v>
      </c>
      <c r="E498" s="7">
        <v>45610.721863425926</v>
      </c>
      <c r="F498" t="s">
        <v>341</v>
      </c>
      <c r="I498" t="s">
        <v>341</v>
      </c>
      <c r="J498" s="11"/>
      <c r="K498" s="11">
        <v>-7.75</v>
      </c>
      <c r="L498" s="4">
        <f t="shared" si="14"/>
        <v>-7.75</v>
      </c>
      <c r="M498" t="s">
        <v>38</v>
      </c>
      <c r="N498" t="s">
        <v>36</v>
      </c>
      <c r="O498" t="s">
        <v>33</v>
      </c>
      <c r="R498" t="s">
        <v>61</v>
      </c>
      <c r="U498" t="e">
        <f>VLOOKUP(A498,#REF!,6,FALSE)</f>
        <v>#REF!</v>
      </c>
    </row>
    <row r="499" spans="1:21" x14ac:dyDescent="0.25">
      <c r="A499">
        <v>1165</v>
      </c>
      <c r="B499" s="9" t="s">
        <v>58</v>
      </c>
      <c r="C499" s="19" t="s">
        <v>157</v>
      </c>
      <c r="D499" s="6">
        <v>45611</v>
      </c>
      <c r="E499" s="7">
        <v>45611.574317129627</v>
      </c>
      <c r="F499" t="s">
        <v>342</v>
      </c>
      <c r="G499" t="s">
        <v>50</v>
      </c>
      <c r="H499" t="s">
        <v>51</v>
      </c>
      <c r="J499" s="11">
        <v>1000</v>
      </c>
      <c r="K499" s="11"/>
      <c r="L499" s="4">
        <f t="shared" si="14"/>
        <v>1000</v>
      </c>
      <c r="M499" t="s">
        <v>7</v>
      </c>
      <c r="N499" t="s">
        <v>37</v>
      </c>
      <c r="O499" t="s">
        <v>33</v>
      </c>
      <c r="R499" t="s">
        <v>7</v>
      </c>
      <c r="U499" t="e">
        <f>VLOOKUP(A499,#REF!,6,FALSE)</f>
        <v>#REF!</v>
      </c>
    </row>
    <row r="500" spans="1:21" x14ac:dyDescent="0.25">
      <c r="A500">
        <v>1166</v>
      </c>
      <c r="B500" s="9" t="s">
        <v>58</v>
      </c>
      <c r="C500" s="19" t="s">
        <v>157</v>
      </c>
      <c r="D500" s="6">
        <v>45611</v>
      </c>
      <c r="E500" s="7">
        <v>45611.586817129632</v>
      </c>
      <c r="F500" t="s">
        <v>18</v>
      </c>
      <c r="I500" t="s">
        <v>18</v>
      </c>
      <c r="J500" s="11"/>
      <c r="K500" s="11">
        <v>-3.5</v>
      </c>
      <c r="L500" s="4">
        <f t="shared" si="14"/>
        <v>-3.5</v>
      </c>
      <c r="M500" t="s">
        <v>9</v>
      </c>
      <c r="N500" t="s">
        <v>36</v>
      </c>
      <c r="O500" t="s">
        <v>33</v>
      </c>
      <c r="R500" t="s">
        <v>9</v>
      </c>
      <c r="U500" t="e">
        <f>VLOOKUP(A500,#REF!,6,FALSE)</f>
        <v>#REF!</v>
      </c>
    </row>
    <row r="501" spans="1:21" x14ac:dyDescent="0.25">
      <c r="A501">
        <v>1167</v>
      </c>
      <c r="B501" s="9" t="s">
        <v>58</v>
      </c>
      <c r="C501" s="19" t="s">
        <v>157</v>
      </c>
      <c r="D501" s="6">
        <v>45612</v>
      </c>
      <c r="E501" s="7">
        <v>45612.351018518515</v>
      </c>
      <c r="F501" t="s">
        <v>343</v>
      </c>
      <c r="I501" t="s">
        <v>343</v>
      </c>
      <c r="J501" s="11"/>
      <c r="K501" s="11">
        <v>-1.1000000000000001</v>
      </c>
      <c r="L501" s="4">
        <f t="shared" si="14"/>
        <v>-1.1000000000000001</v>
      </c>
      <c r="M501" t="s">
        <v>38</v>
      </c>
      <c r="N501" t="s">
        <v>36</v>
      </c>
      <c r="O501" t="s">
        <v>33</v>
      </c>
      <c r="R501" t="s">
        <v>61</v>
      </c>
      <c r="U501" t="e">
        <f>VLOOKUP(A501,#REF!,6,FALSE)</f>
        <v>#REF!</v>
      </c>
    </row>
    <row r="502" spans="1:21" x14ac:dyDescent="0.25">
      <c r="A502">
        <v>1168</v>
      </c>
      <c r="B502" s="9" t="s">
        <v>58</v>
      </c>
      <c r="C502" s="19" t="s">
        <v>157</v>
      </c>
      <c r="D502" s="6">
        <v>45612</v>
      </c>
      <c r="E502" s="7">
        <v>45612.35428240741</v>
      </c>
      <c r="F502" t="s">
        <v>153</v>
      </c>
      <c r="I502" t="s">
        <v>153</v>
      </c>
      <c r="J502" s="11"/>
      <c r="K502" s="11">
        <v>-4.2</v>
      </c>
      <c r="L502" s="4">
        <f t="shared" si="14"/>
        <v>-4.2</v>
      </c>
      <c r="M502" t="s">
        <v>38</v>
      </c>
      <c r="N502" t="s">
        <v>36</v>
      </c>
      <c r="O502" t="s">
        <v>33</v>
      </c>
      <c r="R502" t="s">
        <v>61</v>
      </c>
      <c r="U502" t="e">
        <f>VLOOKUP(A502,#REF!,6,FALSE)</f>
        <v>#REF!</v>
      </c>
    </row>
    <row r="503" spans="1:21" x14ac:dyDescent="0.25">
      <c r="A503">
        <v>1169</v>
      </c>
      <c r="B503" s="9" t="s">
        <v>58</v>
      </c>
      <c r="C503" s="19" t="s">
        <v>157</v>
      </c>
      <c r="D503" s="6">
        <v>45612</v>
      </c>
      <c r="E503" s="7">
        <v>45612.54519675926</v>
      </c>
      <c r="F503" t="s">
        <v>344</v>
      </c>
      <c r="I503" t="s">
        <v>344</v>
      </c>
      <c r="J503" s="11"/>
      <c r="K503" s="11">
        <v>-9.8699999999999992</v>
      </c>
      <c r="L503" s="4">
        <f t="shared" si="14"/>
        <v>-9.8699999999999992</v>
      </c>
      <c r="M503" t="s">
        <v>38</v>
      </c>
      <c r="N503" t="s">
        <v>36</v>
      </c>
      <c r="O503" t="s">
        <v>33</v>
      </c>
      <c r="R503" t="s">
        <v>61</v>
      </c>
      <c r="U503" t="e">
        <f>VLOOKUP(A503,#REF!,6,FALSE)</f>
        <v>#REF!</v>
      </c>
    </row>
    <row r="504" spans="1:21" x14ac:dyDescent="0.25">
      <c r="A504">
        <v>1170</v>
      </c>
      <c r="B504" s="9" t="s">
        <v>58</v>
      </c>
      <c r="C504" s="19" t="s">
        <v>157</v>
      </c>
      <c r="D504" s="6">
        <v>45613</v>
      </c>
      <c r="E504" s="7">
        <v>45613.477581018517</v>
      </c>
      <c r="F504" t="s">
        <v>345</v>
      </c>
      <c r="I504" t="s">
        <v>345</v>
      </c>
      <c r="J504" s="11"/>
      <c r="K504" s="11">
        <v>-13.7</v>
      </c>
      <c r="L504" s="4">
        <f t="shared" si="14"/>
        <v>-13.7</v>
      </c>
      <c r="M504" t="s">
        <v>9</v>
      </c>
      <c r="N504" t="s">
        <v>36</v>
      </c>
      <c r="O504" t="s">
        <v>33</v>
      </c>
      <c r="R504" t="s">
        <v>9</v>
      </c>
      <c r="U504" t="e">
        <f>VLOOKUP(A504,#REF!,6,FALSE)</f>
        <v>#REF!</v>
      </c>
    </row>
    <row r="505" spans="1:21" x14ac:dyDescent="0.25">
      <c r="A505">
        <v>1171</v>
      </c>
      <c r="B505" s="9" t="s">
        <v>58</v>
      </c>
      <c r="C505" s="19" t="s">
        <v>157</v>
      </c>
      <c r="D505" s="6">
        <v>45613</v>
      </c>
      <c r="E505" s="7">
        <v>45613.557615740741</v>
      </c>
      <c r="F505" t="s">
        <v>18</v>
      </c>
      <c r="I505" t="s">
        <v>18</v>
      </c>
      <c r="J505" s="11"/>
      <c r="K505" s="11">
        <v>-3.8</v>
      </c>
      <c r="L505" s="4">
        <f t="shared" si="14"/>
        <v>-3.8</v>
      </c>
      <c r="M505" t="s">
        <v>9</v>
      </c>
      <c r="N505" t="s">
        <v>36</v>
      </c>
      <c r="O505" t="s">
        <v>33</v>
      </c>
      <c r="R505" t="s">
        <v>9</v>
      </c>
      <c r="U505" t="e">
        <f>VLOOKUP(A505,#REF!,6,FALSE)</f>
        <v>#REF!</v>
      </c>
    </row>
    <row r="506" spans="1:21" x14ac:dyDescent="0.25">
      <c r="A506">
        <v>1172</v>
      </c>
      <c r="B506" s="9" t="s">
        <v>58</v>
      </c>
      <c r="C506" s="19" t="s">
        <v>157</v>
      </c>
      <c r="D506" s="6">
        <v>45614</v>
      </c>
      <c r="E506" s="7">
        <v>45614.819062499999</v>
      </c>
      <c r="F506" t="s">
        <v>346</v>
      </c>
      <c r="G506" t="s">
        <v>346</v>
      </c>
      <c r="J506" s="11"/>
      <c r="K506" s="11">
        <v>-2.2000000000000002</v>
      </c>
      <c r="L506" s="4">
        <f t="shared" si="14"/>
        <v>-2.2000000000000002</v>
      </c>
      <c r="M506" t="s">
        <v>186</v>
      </c>
      <c r="N506" t="s">
        <v>17</v>
      </c>
      <c r="O506" t="s">
        <v>33</v>
      </c>
      <c r="R506" s="3" t="s">
        <v>63</v>
      </c>
      <c r="U506" t="e">
        <f>VLOOKUP(A506,#REF!,6,FALSE)</f>
        <v>#REF!</v>
      </c>
    </row>
    <row r="507" spans="1:21" x14ac:dyDescent="0.25">
      <c r="A507">
        <v>1173</v>
      </c>
      <c r="B507" s="9" t="s">
        <v>58</v>
      </c>
      <c r="C507" s="19" t="s">
        <v>157</v>
      </c>
      <c r="D507" s="6">
        <v>45616</v>
      </c>
      <c r="E507" s="7">
        <v>45616.786423611113</v>
      </c>
      <c r="F507" t="s">
        <v>69</v>
      </c>
      <c r="I507" t="s">
        <v>69</v>
      </c>
      <c r="J507" s="11"/>
      <c r="K507" s="11">
        <v>-7.66</v>
      </c>
      <c r="L507" s="4">
        <f t="shared" si="14"/>
        <v>-7.66</v>
      </c>
      <c r="M507" t="s">
        <v>9</v>
      </c>
      <c r="N507" t="s">
        <v>36</v>
      </c>
      <c r="O507" t="s">
        <v>33</v>
      </c>
      <c r="R507" t="s">
        <v>9</v>
      </c>
      <c r="U507" t="e">
        <f>VLOOKUP(A507,#REF!,6,FALSE)</f>
        <v>#REF!</v>
      </c>
    </row>
    <row r="508" spans="1:21" x14ac:dyDescent="0.25">
      <c r="A508">
        <v>1174</v>
      </c>
      <c r="B508" s="9" t="s">
        <v>58</v>
      </c>
      <c r="C508" s="19" t="s">
        <v>157</v>
      </c>
      <c r="D508" s="6">
        <v>45618</v>
      </c>
      <c r="E508" s="7">
        <v>45618.351203703707</v>
      </c>
      <c r="F508" t="s">
        <v>108</v>
      </c>
      <c r="G508" t="s">
        <v>110</v>
      </c>
      <c r="H508" t="s">
        <v>51</v>
      </c>
      <c r="J508" s="11">
        <v>3100</v>
      </c>
      <c r="K508" s="11"/>
      <c r="L508" s="4">
        <f t="shared" si="14"/>
        <v>3100</v>
      </c>
      <c r="M508" t="s">
        <v>7</v>
      </c>
      <c r="N508" t="s">
        <v>37</v>
      </c>
      <c r="O508" t="s">
        <v>33</v>
      </c>
      <c r="R508" t="s">
        <v>6</v>
      </c>
      <c r="U508" t="e">
        <f>VLOOKUP(A508,#REF!,6,FALSE)</f>
        <v>#REF!</v>
      </c>
    </row>
    <row r="509" spans="1:21" x14ac:dyDescent="0.25">
      <c r="A509">
        <v>1175</v>
      </c>
      <c r="B509" s="9" t="s">
        <v>58</v>
      </c>
      <c r="C509" s="19" t="s">
        <v>157</v>
      </c>
      <c r="D509" s="6">
        <v>45619</v>
      </c>
      <c r="E509" s="7">
        <v>45619.356805555559</v>
      </c>
      <c r="F509" t="s">
        <v>343</v>
      </c>
      <c r="I509" t="s">
        <v>343</v>
      </c>
      <c r="J509" s="11"/>
      <c r="K509" s="11">
        <v>-1.1000000000000001</v>
      </c>
      <c r="L509" s="4">
        <f t="shared" si="14"/>
        <v>-1.1000000000000001</v>
      </c>
      <c r="M509" t="s">
        <v>38</v>
      </c>
      <c r="N509" t="s">
        <v>36</v>
      </c>
      <c r="O509" t="s">
        <v>33</v>
      </c>
      <c r="R509" t="s">
        <v>61</v>
      </c>
      <c r="U509" t="e">
        <f>VLOOKUP(A509,#REF!,6,FALSE)</f>
        <v>#REF!</v>
      </c>
    </row>
    <row r="510" spans="1:21" x14ac:dyDescent="0.25">
      <c r="A510">
        <v>1176</v>
      </c>
      <c r="B510" s="9" t="s">
        <v>58</v>
      </c>
      <c r="C510" s="19" t="s">
        <v>157</v>
      </c>
      <c r="D510" s="6">
        <v>45619</v>
      </c>
      <c r="E510" s="7">
        <v>45619.359699074077</v>
      </c>
      <c r="F510" t="s">
        <v>153</v>
      </c>
      <c r="I510" t="s">
        <v>153</v>
      </c>
      <c r="J510" s="11"/>
      <c r="K510" s="11">
        <v>-4.5999999999999996</v>
      </c>
      <c r="L510" s="4">
        <f t="shared" si="14"/>
        <v>-4.5999999999999996</v>
      </c>
      <c r="M510" t="s">
        <v>38</v>
      </c>
      <c r="N510" t="s">
        <v>36</v>
      </c>
      <c r="O510" t="s">
        <v>33</v>
      </c>
      <c r="R510" t="s">
        <v>61</v>
      </c>
      <c r="U510" t="e">
        <f>VLOOKUP(A510,#REF!,6,FALSE)</f>
        <v>#REF!</v>
      </c>
    </row>
    <row r="511" spans="1:21" x14ac:dyDescent="0.25">
      <c r="A511">
        <v>1177</v>
      </c>
      <c r="B511" s="9" t="s">
        <v>58</v>
      </c>
      <c r="C511" s="19" t="s">
        <v>157</v>
      </c>
      <c r="D511" s="6">
        <v>45619</v>
      </c>
      <c r="E511" s="7">
        <v>45619.531851851854</v>
      </c>
      <c r="F511" t="s">
        <v>344</v>
      </c>
      <c r="I511" t="s">
        <v>344</v>
      </c>
      <c r="J511" s="11"/>
      <c r="K511" s="11">
        <v>-9.8699999999999992</v>
      </c>
      <c r="L511" s="4">
        <f t="shared" si="14"/>
        <v>-9.8699999999999992</v>
      </c>
      <c r="M511" t="s">
        <v>38</v>
      </c>
      <c r="N511" t="s">
        <v>36</v>
      </c>
      <c r="O511" t="s">
        <v>33</v>
      </c>
      <c r="R511" t="s">
        <v>61</v>
      </c>
      <c r="U511" t="e">
        <f>VLOOKUP(A511,#REF!,6,FALSE)</f>
        <v>#REF!</v>
      </c>
    </row>
    <row r="512" spans="1:21" x14ac:dyDescent="0.25">
      <c r="A512">
        <v>1178</v>
      </c>
      <c r="B512" s="9" t="s">
        <v>58</v>
      </c>
      <c r="C512" s="19" t="s">
        <v>157</v>
      </c>
      <c r="D512" s="6">
        <v>45620</v>
      </c>
      <c r="E512" s="7">
        <v>45620.109317129631</v>
      </c>
      <c r="F512" t="s">
        <v>18</v>
      </c>
      <c r="I512" t="s">
        <v>18</v>
      </c>
      <c r="J512" s="11"/>
      <c r="K512" s="11">
        <v>-3.8</v>
      </c>
      <c r="L512" s="4">
        <f t="shared" si="14"/>
        <v>-3.8</v>
      </c>
      <c r="M512" t="s">
        <v>9</v>
      </c>
      <c r="N512" t="s">
        <v>36</v>
      </c>
      <c r="O512" t="s">
        <v>33</v>
      </c>
      <c r="R512" t="s">
        <v>9</v>
      </c>
      <c r="U512" t="e">
        <f>VLOOKUP(A512,#REF!,6,FALSE)</f>
        <v>#REF!</v>
      </c>
    </row>
    <row r="513" spans="1:21" x14ac:dyDescent="0.25">
      <c r="A513">
        <v>1179</v>
      </c>
      <c r="B513" s="9" t="s">
        <v>58</v>
      </c>
      <c r="C513" s="19" t="s">
        <v>157</v>
      </c>
      <c r="D513" s="6">
        <v>45620</v>
      </c>
      <c r="E513" s="7">
        <v>45620.670486111114</v>
      </c>
      <c r="F513" t="s">
        <v>347</v>
      </c>
      <c r="G513" t="s">
        <v>348</v>
      </c>
      <c r="I513" t="s">
        <v>349</v>
      </c>
      <c r="J513" s="11"/>
      <c r="K513" s="11">
        <v>-5105.87</v>
      </c>
      <c r="L513" s="4">
        <f t="shared" si="14"/>
        <v>-5105.87</v>
      </c>
      <c r="M513" t="s">
        <v>90</v>
      </c>
      <c r="N513" t="s">
        <v>32</v>
      </c>
      <c r="O513" t="s">
        <v>33</v>
      </c>
      <c r="R513" t="s">
        <v>158</v>
      </c>
      <c r="U513" t="e">
        <f>VLOOKUP(A513,#REF!,6,FALSE)</f>
        <v>#REF!</v>
      </c>
    </row>
    <row r="514" spans="1:21" x14ac:dyDescent="0.25">
      <c r="A514">
        <v>1180</v>
      </c>
      <c r="B514" s="9" t="s">
        <v>58</v>
      </c>
      <c r="C514" s="19" t="s">
        <v>157</v>
      </c>
      <c r="D514" s="6">
        <v>45621</v>
      </c>
      <c r="E514" s="7">
        <v>45621.579317129632</v>
      </c>
      <c r="F514" t="s">
        <v>148</v>
      </c>
      <c r="G514" t="s">
        <v>149</v>
      </c>
      <c r="I514" t="s">
        <v>31</v>
      </c>
      <c r="J514" s="11"/>
      <c r="K514" s="11">
        <v>-1700</v>
      </c>
      <c r="L514" s="4">
        <f t="shared" si="14"/>
        <v>-1700</v>
      </c>
      <c r="N514" t="s">
        <v>32</v>
      </c>
      <c r="O514" t="s">
        <v>33</v>
      </c>
      <c r="R514" t="s">
        <v>6</v>
      </c>
      <c r="U514" t="e">
        <f>VLOOKUP(A514,#REF!,6,FALSE)</f>
        <v>#REF!</v>
      </c>
    </row>
    <row r="515" spans="1:21" x14ac:dyDescent="0.25">
      <c r="A515">
        <v>1181</v>
      </c>
      <c r="B515" s="9" t="s">
        <v>58</v>
      </c>
      <c r="C515" s="19" t="s">
        <v>157</v>
      </c>
      <c r="D515" s="6">
        <v>45622</v>
      </c>
      <c r="E515" s="7">
        <v>45622.045543981483</v>
      </c>
      <c r="F515" t="s">
        <v>350</v>
      </c>
      <c r="G515">
        <v>1984115</v>
      </c>
      <c r="H515" t="s">
        <v>52</v>
      </c>
      <c r="J515" s="11">
        <v>350</v>
      </c>
      <c r="K515" s="11"/>
      <c r="L515" s="4">
        <f t="shared" si="14"/>
        <v>350</v>
      </c>
      <c r="M515" t="s">
        <v>7</v>
      </c>
      <c r="N515" t="s">
        <v>37</v>
      </c>
      <c r="O515" t="s">
        <v>33</v>
      </c>
      <c r="R515" t="s">
        <v>7</v>
      </c>
      <c r="U515" t="e">
        <f>VLOOKUP(A515,#REF!,6,FALSE)</f>
        <v>#REF!</v>
      </c>
    </row>
    <row r="516" spans="1:21" x14ac:dyDescent="0.25">
      <c r="A516">
        <v>1182</v>
      </c>
      <c r="B516" s="9" t="s">
        <v>58</v>
      </c>
      <c r="C516" s="19" t="s">
        <v>157</v>
      </c>
      <c r="D516" s="6">
        <v>45623</v>
      </c>
      <c r="E516" s="7">
        <v>45623.316990740743</v>
      </c>
      <c r="F516" t="s">
        <v>326</v>
      </c>
      <c r="I516" t="s">
        <v>326</v>
      </c>
      <c r="J516" s="11"/>
      <c r="K516" s="11">
        <v>-4.7</v>
      </c>
      <c r="L516" s="4">
        <f t="shared" si="14"/>
        <v>-4.7</v>
      </c>
      <c r="M516" t="s">
        <v>38</v>
      </c>
      <c r="N516" t="s">
        <v>36</v>
      </c>
      <c r="O516" t="s">
        <v>33</v>
      </c>
      <c r="R516" t="s">
        <v>61</v>
      </c>
      <c r="U516" t="e">
        <f>VLOOKUP(A516,#REF!,6,FALSE)</f>
        <v>#REF!</v>
      </c>
    </row>
    <row r="517" spans="1:21" x14ac:dyDescent="0.25">
      <c r="A517">
        <v>1183</v>
      </c>
      <c r="B517" s="9" t="s">
        <v>58</v>
      </c>
      <c r="C517" s="19" t="s">
        <v>157</v>
      </c>
      <c r="D517" s="6">
        <v>45623</v>
      </c>
      <c r="E517" s="7">
        <v>45623.375960648147</v>
      </c>
      <c r="F517" t="s">
        <v>276</v>
      </c>
      <c r="I517" t="s">
        <v>276</v>
      </c>
      <c r="J517" s="11"/>
      <c r="K517" s="11">
        <v>-3.98</v>
      </c>
      <c r="L517" s="4">
        <f t="shared" si="14"/>
        <v>-3.98</v>
      </c>
      <c r="M517" t="s">
        <v>38</v>
      </c>
      <c r="N517" t="s">
        <v>36</v>
      </c>
      <c r="O517" t="s">
        <v>33</v>
      </c>
      <c r="R517" t="s">
        <v>61</v>
      </c>
      <c r="U517" t="e">
        <f>VLOOKUP(A517,#REF!,6,FALSE)</f>
        <v>#REF!</v>
      </c>
    </row>
    <row r="518" spans="1:21" x14ac:dyDescent="0.25">
      <c r="A518">
        <v>1184</v>
      </c>
      <c r="B518" s="9" t="s">
        <v>58</v>
      </c>
      <c r="C518" s="19" t="s">
        <v>157</v>
      </c>
      <c r="D518" s="6">
        <v>45623</v>
      </c>
      <c r="E518" s="7">
        <v>45623.538784722223</v>
      </c>
      <c r="F518" t="s">
        <v>351</v>
      </c>
      <c r="I518" t="s">
        <v>351</v>
      </c>
      <c r="J518" s="11"/>
      <c r="K518" s="11">
        <v>-11.5</v>
      </c>
      <c r="L518" s="4">
        <f t="shared" si="14"/>
        <v>-11.5</v>
      </c>
      <c r="M518" t="s">
        <v>38</v>
      </c>
      <c r="N518" t="s">
        <v>36</v>
      </c>
      <c r="O518" t="s">
        <v>33</v>
      </c>
      <c r="R518" t="s">
        <v>61</v>
      </c>
      <c r="U518" t="e">
        <f>VLOOKUP(A518,#REF!,6,FALSE)</f>
        <v>#REF!</v>
      </c>
    </row>
    <row r="519" spans="1:21" x14ac:dyDescent="0.25">
      <c r="A519">
        <v>1185</v>
      </c>
      <c r="B519" s="9" t="s">
        <v>58</v>
      </c>
      <c r="C519" s="19" t="s">
        <v>157</v>
      </c>
      <c r="D519" s="6">
        <v>45624</v>
      </c>
      <c r="E519" s="7">
        <v>45624.312719907408</v>
      </c>
      <c r="F519" t="s">
        <v>87</v>
      </c>
      <c r="I519" t="s">
        <v>87</v>
      </c>
      <c r="J519" s="11"/>
      <c r="K519" s="11">
        <v>-6.5</v>
      </c>
      <c r="L519" s="4">
        <f t="shared" si="14"/>
        <v>-6.5</v>
      </c>
      <c r="M519" t="s">
        <v>38</v>
      </c>
      <c r="N519" t="s">
        <v>36</v>
      </c>
      <c r="O519" t="s">
        <v>33</v>
      </c>
      <c r="P519" t="s">
        <v>48</v>
      </c>
      <c r="R519" t="s">
        <v>61</v>
      </c>
      <c r="U519" t="e">
        <f>VLOOKUP(A519,#REF!,6,FALSE)</f>
        <v>#REF!</v>
      </c>
    </row>
    <row r="520" spans="1:21" x14ac:dyDescent="0.25">
      <c r="A520">
        <v>1186</v>
      </c>
      <c r="B520" s="9" t="s">
        <v>58</v>
      </c>
      <c r="C520" s="19" t="s">
        <v>157</v>
      </c>
      <c r="D520" s="6">
        <v>45624</v>
      </c>
      <c r="E520" s="7">
        <v>45624.314513888887</v>
      </c>
      <c r="F520" t="s">
        <v>340</v>
      </c>
      <c r="I520" t="s">
        <v>340</v>
      </c>
      <c r="J520" s="11"/>
      <c r="K520" s="11">
        <v>-32.9</v>
      </c>
      <c r="L520" s="4">
        <f t="shared" si="14"/>
        <v>-32.9</v>
      </c>
      <c r="M520" t="s">
        <v>9</v>
      </c>
      <c r="N520" t="s">
        <v>36</v>
      </c>
      <c r="O520" t="s">
        <v>33</v>
      </c>
      <c r="R520" t="s">
        <v>9</v>
      </c>
      <c r="U520" t="e">
        <f>VLOOKUP(A520,#REF!,6,FALSE)</f>
        <v>#REF!</v>
      </c>
    </row>
    <row r="521" spans="1:21" x14ac:dyDescent="0.25">
      <c r="A521">
        <v>1187</v>
      </c>
      <c r="B521" s="9" t="s">
        <v>58</v>
      </c>
      <c r="C521" s="19" t="s">
        <v>157</v>
      </c>
      <c r="D521" s="6">
        <v>45624</v>
      </c>
      <c r="E521" s="7">
        <v>45624.316921296297</v>
      </c>
      <c r="F521" t="s">
        <v>184</v>
      </c>
      <c r="I521" t="s">
        <v>184</v>
      </c>
      <c r="J521" s="11"/>
      <c r="K521" s="11">
        <v>-4.25</v>
      </c>
      <c r="L521" s="4">
        <f t="shared" si="14"/>
        <v>-4.25</v>
      </c>
      <c r="M521" t="s">
        <v>38</v>
      </c>
      <c r="N521" t="s">
        <v>36</v>
      </c>
      <c r="O521" t="s">
        <v>33</v>
      </c>
      <c r="R521" t="s">
        <v>61</v>
      </c>
      <c r="U521" t="e">
        <f>VLOOKUP(A521,#REF!,6,FALSE)</f>
        <v>#REF!</v>
      </c>
    </row>
    <row r="522" spans="1:21" x14ac:dyDescent="0.25">
      <c r="A522">
        <v>1188</v>
      </c>
      <c r="B522" s="9" t="s">
        <v>58</v>
      </c>
      <c r="C522" s="19" t="s">
        <v>157</v>
      </c>
      <c r="D522" s="6">
        <v>45624</v>
      </c>
      <c r="E522" s="7">
        <v>45624.522476851853</v>
      </c>
      <c r="F522" t="s">
        <v>18</v>
      </c>
      <c r="I522" t="s">
        <v>18</v>
      </c>
      <c r="J522" s="11"/>
      <c r="K522" s="11">
        <v>-7.55</v>
      </c>
      <c r="L522" s="4">
        <f t="shared" si="14"/>
        <v>-7.55</v>
      </c>
      <c r="M522" t="s">
        <v>9</v>
      </c>
      <c r="N522" t="s">
        <v>36</v>
      </c>
      <c r="O522" t="s">
        <v>33</v>
      </c>
      <c r="R522" t="s">
        <v>9</v>
      </c>
      <c r="U522" t="e">
        <f>VLOOKUP(A522,#REF!,6,FALSE)</f>
        <v>#REF!</v>
      </c>
    </row>
    <row r="523" spans="1:21" x14ac:dyDescent="0.25">
      <c r="A523">
        <v>1189</v>
      </c>
      <c r="B523" s="9" t="s">
        <v>58</v>
      </c>
      <c r="C523" s="19" t="s">
        <v>157</v>
      </c>
      <c r="D523" s="6">
        <v>45624</v>
      </c>
      <c r="E523" s="7">
        <v>45624.592997685184</v>
      </c>
      <c r="F523" t="s">
        <v>352</v>
      </c>
      <c r="I523" t="s">
        <v>352</v>
      </c>
      <c r="J523" s="11"/>
      <c r="K523" s="11">
        <v>-6.79</v>
      </c>
      <c r="L523" s="4">
        <f t="shared" ref="L523:L584" si="15">J523+K523</f>
        <v>-6.79</v>
      </c>
      <c r="M523" t="s">
        <v>38</v>
      </c>
      <c r="N523" t="s">
        <v>36</v>
      </c>
      <c r="O523" t="s">
        <v>33</v>
      </c>
      <c r="R523" t="s">
        <v>61</v>
      </c>
      <c r="U523" t="e">
        <f>VLOOKUP(A523,#REF!,6,FALSE)</f>
        <v>#REF!</v>
      </c>
    </row>
    <row r="524" spans="1:21" x14ac:dyDescent="0.25">
      <c r="A524">
        <v>1190</v>
      </c>
      <c r="B524" s="9" t="s">
        <v>58</v>
      </c>
      <c r="C524" s="19" t="s">
        <v>157</v>
      </c>
      <c r="D524" s="6">
        <v>45625</v>
      </c>
      <c r="E524" s="7">
        <v>45625.043206018519</v>
      </c>
      <c r="F524" t="s">
        <v>353</v>
      </c>
      <c r="G524" t="s">
        <v>354</v>
      </c>
      <c r="H524" t="s">
        <v>179</v>
      </c>
      <c r="J524" s="11">
        <v>400</v>
      </c>
      <c r="K524" s="11"/>
      <c r="L524" s="4">
        <f t="shared" si="15"/>
        <v>400</v>
      </c>
      <c r="M524" t="s">
        <v>7</v>
      </c>
      <c r="N524" t="s">
        <v>37</v>
      </c>
      <c r="O524" t="s">
        <v>33</v>
      </c>
      <c r="R524" t="s">
        <v>7</v>
      </c>
      <c r="U524" t="e">
        <f>VLOOKUP(A524,#REF!,6,FALSE)</f>
        <v>#REF!</v>
      </c>
    </row>
    <row r="525" spans="1:21" x14ac:dyDescent="0.25">
      <c r="A525">
        <v>1191</v>
      </c>
      <c r="B525" s="9" t="s">
        <v>58</v>
      </c>
      <c r="C525" s="19" t="s">
        <v>157</v>
      </c>
      <c r="D525" s="6">
        <v>45625</v>
      </c>
      <c r="E525" s="7">
        <v>45625.043437499997</v>
      </c>
      <c r="F525" t="s">
        <v>355</v>
      </c>
      <c r="G525">
        <v>1985312</v>
      </c>
      <c r="H525" t="s">
        <v>52</v>
      </c>
      <c r="J525" s="11">
        <v>2300</v>
      </c>
      <c r="K525" s="11"/>
      <c r="L525" s="4">
        <f t="shared" si="15"/>
        <v>2300</v>
      </c>
      <c r="M525" t="s">
        <v>7</v>
      </c>
      <c r="N525" t="s">
        <v>37</v>
      </c>
      <c r="O525" t="s">
        <v>33</v>
      </c>
      <c r="R525" t="s">
        <v>7</v>
      </c>
      <c r="U525" t="e">
        <f>VLOOKUP(A525,#REF!,6,FALSE)</f>
        <v>#REF!</v>
      </c>
    </row>
    <row r="526" spans="1:21" x14ac:dyDescent="0.25">
      <c r="A526">
        <v>1192</v>
      </c>
      <c r="B526" s="9" t="s">
        <v>58</v>
      </c>
      <c r="C526" s="19" t="s">
        <v>157</v>
      </c>
      <c r="D526" s="6">
        <v>45625</v>
      </c>
      <c r="E526" s="7">
        <v>45625.23196759259</v>
      </c>
      <c r="F526" t="s">
        <v>250</v>
      </c>
      <c r="G526" t="s">
        <v>34</v>
      </c>
      <c r="I526" t="s">
        <v>35</v>
      </c>
      <c r="J526" s="11"/>
      <c r="K526" s="11">
        <v>-3000</v>
      </c>
      <c r="L526" s="4">
        <f t="shared" si="15"/>
        <v>-3000</v>
      </c>
      <c r="M526" t="s">
        <v>90</v>
      </c>
      <c r="N526" t="s">
        <v>32</v>
      </c>
      <c r="O526" t="s">
        <v>33</v>
      </c>
      <c r="R526" t="s">
        <v>385</v>
      </c>
      <c r="U526" t="e">
        <f>VLOOKUP(A526,#REF!,6,FALSE)</f>
        <v>#REF!</v>
      </c>
    </row>
    <row r="527" spans="1:21" x14ac:dyDescent="0.25">
      <c r="A527">
        <v>1193</v>
      </c>
      <c r="B527" s="9" t="s">
        <v>58</v>
      </c>
      <c r="C527" s="19" t="s">
        <v>157</v>
      </c>
      <c r="D527" s="6">
        <v>45625</v>
      </c>
      <c r="E527" s="7">
        <v>45625.232256944444</v>
      </c>
      <c r="F527" t="s">
        <v>148</v>
      </c>
      <c r="G527" t="s">
        <v>149</v>
      </c>
      <c r="I527" t="s">
        <v>31</v>
      </c>
      <c r="J527" s="11"/>
      <c r="K527" s="11">
        <v>-3000</v>
      </c>
      <c r="L527" s="4">
        <f t="shared" si="15"/>
        <v>-3000</v>
      </c>
      <c r="N527" t="s">
        <v>32</v>
      </c>
      <c r="O527" t="s">
        <v>187</v>
      </c>
      <c r="R527" t="s">
        <v>6</v>
      </c>
      <c r="U527" t="e">
        <f>VLOOKUP(A527,#REF!,6,FALSE)</f>
        <v>#REF!</v>
      </c>
    </row>
    <row r="528" spans="1:21" x14ac:dyDescent="0.25">
      <c r="A528">
        <v>1055</v>
      </c>
      <c r="B528" s="9" t="s">
        <v>58</v>
      </c>
      <c r="C528" s="19" t="s">
        <v>157</v>
      </c>
      <c r="D528" s="6">
        <v>45537</v>
      </c>
      <c r="E528" s="7">
        <v>45537.39644675926</v>
      </c>
      <c r="F528" t="s">
        <v>191</v>
      </c>
      <c r="I528" t="s">
        <v>191</v>
      </c>
      <c r="J528" s="11"/>
      <c r="K528" s="11">
        <v>-2.99</v>
      </c>
      <c r="L528" s="4">
        <f t="shared" si="15"/>
        <v>-2.99</v>
      </c>
      <c r="M528" t="s">
        <v>194</v>
      </c>
      <c r="N528" t="s">
        <v>36</v>
      </c>
      <c r="O528" t="s">
        <v>33</v>
      </c>
      <c r="R528" t="s">
        <v>461</v>
      </c>
      <c r="U528" t="e">
        <f>VLOOKUP(A528,#REF!,6,FALSE)</f>
        <v>#REF!</v>
      </c>
    </row>
    <row r="529" spans="1:21" x14ac:dyDescent="0.25">
      <c r="A529">
        <v>1238</v>
      </c>
      <c r="B529" s="9" t="s">
        <v>58</v>
      </c>
      <c r="C529" s="19" t="s">
        <v>157</v>
      </c>
      <c r="D529" s="6">
        <v>45639</v>
      </c>
      <c r="E529" s="14">
        <v>45639.045740740738</v>
      </c>
      <c r="F529" t="s">
        <v>381</v>
      </c>
      <c r="G529" t="s">
        <v>382</v>
      </c>
      <c r="H529" t="s">
        <v>179</v>
      </c>
      <c r="J529" s="11">
        <v>400</v>
      </c>
      <c r="K529" s="11"/>
      <c r="L529" s="4">
        <f t="shared" si="15"/>
        <v>400</v>
      </c>
      <c r="M529" t="s">
        <v>7</v>
      </c>
      <c r="N529" t="s">
        <v>37</v>
      </c>
      <c r="O529" t="s">
        <v>33</v>
      </c>
      <c r="R529" t="s">
        <v>7</v>
      </c>
      <c r="U529" t="e">
        <f>VLOOKUP(A529,#REF!,6,FALSE)</f>
        <v>#REF!</v>
      </c>
    </row>
    <row r="530" spans="1:21" x14ac:dyDescent="0.25">
      <c r="A530">
        <v>1196</v>
      </c>
      <c r="B530" s="9" t="s">
        <v>58</v>
      </c>
      <c r="C530" s="19" t="s">
        <v>157</v>
      </c>
      <c r="D530" s="6">
        <v>45625</v>
      </c>
      <c r="E530" s="7">
        <v>45625.51939814815</v>
      </c>
      <c r="F530" t="s">
        <v>18</v>
      </c>
      <c r="I530" t="s">
        <v>18</v>
      </c>
      <c r="J530" s="11"/>
      <c r="K530" s="11">
        <v>-5.15</v>
      </c>
      <c r="L530" s="4">
        <f t="shared" si="15"/>
        <v>-5.15</v>
      </c>
      <c r="M530" t="s">
        <v>9</v>
      </c>
      <c r="N530" t="s">
        <v>36</v>
      </c>
      <c r="O530" t="s">
        <v>33</v>
      </c>
      <c r="R530" t="s">
        <v>9</v>
      </c>
      <c r="U530" t="e">
        <f>VLOOKUP(A530,#REF!,6,FALSE)</f>
        <v>#REF!</v>
      </c>
    </row>
    <row r="531" spans="1:21" x14ac:dyDescent="0.25">
      <c r="A531">
        <v>1197</v>
      </c>
      <c r="B531" s="9" t="s">
        <v>58</v>
      </c>
      <c r="C531" s="19" t="s">
        <v>157</v>
      </c>
      <c r="D531" s="6">
        <v>45626</v>
      </c>
      <c r="E531" s="7">
        <v>45626.36822916667</v>
      </c>
      <c r="F531" t="s">
        <v>343</v>
      </c>
      <c r="I531" t="s">
        <v>343</v>
      </c>
      <c r="J531" s="11"/>
      <c r="K531" s="11">
        <v>-1.9</v>
      </c>
      <c r="L531" s="4">
        <f t="shared" si="15"/>
        <v>-1.9</v>
      </c>
      <c r="M531" t="s">
        <v>38</v>
      </c>
      <c r="N531" t="s">
        <v>36</v>
      </c>
      <c r="O531" t="s">
        <v>33</v>
      </c>
      <c r="R531" t="s">
        <v>61</v>
      </c>
      <c r="U531" t="e">
        <f>VLOOKUP(A531,#REF!,6,FALSE)</f>
        <v>#REF!</v>
      </c>
    </row>
    <row r="532" spans="1:21" x14ac:dyDescent="0.25">
      <c r="A532">
        <v>1198</v>
      </c>
      <c r="B532" s="9" t="s">
        <v>58</v>
      </c>
      <c r="C532" s="19" t="s">
        <v>157</v>
      </c>
      <c r="D532" s="6">
        <v>45626</v>
      </c>
      <c r="E532" s="7">
        <v>45626.370358796295</v>
      </c>
      <c r="F532" t="s">
        <v>153</v>
      </c>
      <c r="I532" t="s">
        <v>153</v>
      </c>
      <c r="J532" s="11"/>
      <c r="K532" s="11">
        <v>-4.25</v>
      </c>
      <c r="L532" s="4">
        <f t="shared" si="15"/>
        <v>-4.25</v>
      </c>
      <c r="M532" t="s">
        <v>38</v>
      </c>
      <c r="N532" t="s">
        <v>36</v>
      </c>
      <c r="O532" t="s">
        <v>33</v>
      </c>
      <c r="R532" t="s">
        <v>61</v>
      </c>
      <c r="U532" t="e">
        <f>VLOOKUP(A532,#REF!,6,FALSE)</f>
        <v>#REF!</v>
      </c>
    </row>
    <row r="533" spans="1:21" x14ac:dyDescent="0.25">
      <c r="A533">
        <v>1199</v>
      </c>
      <c r="B533" s="9" t="s">
        <v>58</v>
      </c>
      <c r="C533" s="19" t="s">
        <v>157</v>
      </c>
      <c r="D533" s="6">
        <v>45626</v>
      </c>
      <c r="E533" s="7">
        <v>45626.536157407405</v>
      </c>
      <c r="F533" t="s">
        <v>351</v>
      </c>
      <c r="I533" t="s">
        <v>351</v>
      </c>
      <c r="J533" s="11"/>
      <c r="K533" s="11">
        <v>-5</v>
      </c>
      <c r="L533" s="4">
        <f t="shared" si="15"/>
        <v>-5</v>
      </c>
      <c r="M533" t="s">
        <v>38</v>
      </c>
      <c r="N533" t="s">
        <v>36</v>
      </c>
      <c r="O533" t="s">
        <v>33</v>
      </c>
      <c r="R533" t="s">
        <v>61</v>
      </c>
      <c r="U533" t="e">
        <f>VLOOKUP(A533,#REF!,6,FALSE)</f>
        <v>#REF!</v>
      </c>
    </row>
    <row r="534" spans="1:21" x14ac:dyDescent="0.25">
      <c r="A534">
        <v>1200</v>
      </c>
      <c r="B534" s="9" t="s">
        <v>58</v>
      </c>
      <c r="C534" s="19" t="s">
        <v>157</v>
      </c>
      <c r="D534" s="6">
        <v>45626</v>
      </c>
      <c r="E534" s="7">
        <v>45626.544710648152</v>
      </c>
      <c r="F534" t="s">
        <v>359</v>
      </c>
      <c r="I534" t="s">
        <v>359</v>
      </c>
      <c r="J534" s="11"/>
      <c r="K534" s="11">
        <v>-3.29</v>
      </c>
      <c r="L534" s="4">
        <f t="shared" si="15"/>
        <v>-3.29</v>
      </c>
      <c r="M534" t="s">
        <v>38</v>
      </c>
      <c r="N534" t="s">
        <v>36</v>
      </c>
      <c r="O534" t="s">
        <v>33</v>
      </c>
      <c r="R534" t="s">
        <v>61</v>
      </c>
      <c r="U534" t="e">
        <f>VLOOKUP(A534,#REF!,6,FALSE)</f>
        <v>#REF!</v>
      </c>
    </row>
    <row r="535" spans="1:21" x14ac:dyDescent="0.25">
      <c r="A535">
        <v>1201</v>
      </c>
      <c r="B535" s="9" t="s">
        <v>58</v>
      </c>
      <c r="C535" s="19" t="s">
        <v>157</v>
      </c>
      <c r="D535" s="6">
        <v>45626</v>
      </c>
      <c r="E535" s="7">
        <v>45626.567407407405</v>
      </c>
      <c r="F535" t="s">
        <v>18</v>
      </c>
      <c r="I535" t="s">
        <v>18</v>
      </c>
      <c r="J535" s="11"/>
      <c r="K535" s="11">
        <v>-1.75</v>
      </c>
      <c r="L535" s="4">
        <f t="shared" si="15"/>
        <v>-1.75</v>
      </c>
      <c r="M535" t="s">
        <v>9</v>
      </c>
      <c r="N535" t="s">
        <v>36</v>
      </c>
      <c r="O535" t="s">
        <v>33</v>
      </c>
      <c r="R535" t="s">
        <v>9</v>
      </c>
      <c r="U535" t="e">
        <f>VLOOKUP(A535,#REF!,6,FALSE)</f>
        <v>#REF!</v>
      </c>
    </row>
    <row r="536" spans="1:21" x14ac:dyDescent="0.25">
      <c r="A536">
        <v>1202</v>
      </c>
      <c r="B536" s="9" t="s">
        <v>58</v>
      </c>
      <c r="C536" s="19" t="s">
        <v>157</v>
      </c>
      <c r="D536" s="6">
        <v>45626</v>
      </c>
      <c r="E536" s="7">
        <v>45626.895162037035</v>
      </c>
      <c r="F536" t="s">
        <v>340</v>
      </c>
      <c r="I536" t="s">
        <v>340</v>
      </c>
      <c r="J536" s="11"/>
      <c r="K536" s="11">
        <v>-36.89</v>
      </c>
      <c r="L536" s="4">
        <f t="shared" si="15"/>
        <v>-36.89</v>
      </c>
      <c r="M536" t="s">
        <v>9</v>
      </c>
      <c r="N536" t="s">
        <v>36</v>
      </c>
      <c r="O536" t="s">
        <v>33</v>
      </c>
      <c r="R536" t="s">
        <v>9</v>
      </c>
      <c r="U536" t="e">
        <f>VLOOKUP(A536,#REF!,6,FALSE)</f>
        <v>#REF!</v>
      </c>
    </row>
    <row r="537" spans="1:21" x14ac:dyDescent="0.25">
      <c r="A537">
        <v>1203</v>
      </c>
      <c r="B537" s="9" t="s">
        <v>58</v>
      </c>
      <c r="C537" s="19" t="s">
        <v>157</v>
      </c>
      <c r="D537" s="6">
        <v>45627</v>
      </c>
      <c r="E537" s="7">
        <v>45627.1252662037</v>
      </c>
      <c r="F537" t="s">
        <v>18</v>
      </c>
      <c r="I537" t="s">
        <v>18</v>
      </c>
      <c r="J537" s="11"/>
      <c r="K537" s="11">
        <v>-3.8</v>
      </c>
      <c r="L537" s="4">
        <f t="shared" si="15"/>
        <v>-3.8</v>
      </c>
      <c r="M537" t="s">
        <v>9</v>
      </c>
      <c r="N537" t="s">
        <v>36</v>
      </c>
      <c r="O537" t="s">
        <v>33</v>
      </c>
      <c r="R537" t="s">
        <v>9</v>
      </c>
      <c r="U537" t="e">
        <f>VLOOKUP(A537,#REF!,6,FALSE)</f>
        <v>#REF!</v>
      </c>
    </row>
    <row r="538" spans="1:21" x14ac:dyDescent="0.25">
      <c r="A538">
        <v>1204</v>
      </c>
      <c r="B538" s="9" t="s">
        <v>58</v>
      </c>
      <c r="C538" s="19" t="s">
        <v>157</v>
      </c>
      <c r="D538" s="6">
        <v>45627</v>
      </c>
      <c r="E538" s="7">
        <v>45627.33394675926</v>
      </c>
      <c r="F538" t="s">
        <v>360</v>
      </c>
      <c r="I538" t="s">
        <v>360</v>
      </c>
      <c r="J538" s="11"/>
      <c r="K538" s="11">
        <v>-3.52</v>
      </c>
      <c r="L538" s="4">
        <f t="shared" si="15"/>
        <v>-3.52</v>
      </c>
      <c r="M538" t="s">
        <v>38</v>
      </c>
      <c r="N538" t="s">
        <v>36</v>
      </c>
      <c r="O538" t="s">
        <v>33</v>
      </c>
      <c r="R538" t="s">
        <v>61</v>
      </c>
      <c r="U538" t="e">
        <f>VLOOKUP(A538,#REF!,6,FALSE)</f>
        <v>#REF!</v>
      </c>
    </row>
    <row r="539" spans="1:21" x14ac:dyDescent="0.25">
      <c r="A539">
        <v>1205</v>
      </c>
      <c r="B539" s="9" t="s">
        <v>58</v>
      </c>
      <c r="C539" s="19" t="s">
        <v>157</v>
      </c>
      <c r="D539" s="6">
        <v>45627</v>
      </c>
      <c r="E539" s="7">
        <v>45627.335462962961</v>
      </c>
      <c r="F539" t="s">
        <v>148</v>
      </c>
      <c r="G539" t="s">
        <v>149</v>
      </c>
      <c r="I539" t="s">
        <v>31</v>
      </c>
      <c r="J539" s="11"/>
      <c r="K539" s="11">
        <v>-400</v>
      </c>
      <c r="L539" s="4">
        <f t="shared" si="15"/>
        <v>-400</v>
      </c>
      <c r="N539" t="s">
        <v>32</v>
      </c>
      <c r="O539" t="s">
        <v>33</v>
      </c>
      <c r="R539" t="s">
        <v>6</v>
      </c>
      <c r="U539" t="e">
        <f>VLOOKUP(A539,#REF!,6,FALSE)</f>
        <v>#REF!</v>
      </c>
    </row>
    <row r="540" spans="1:21" x14ac:dyDescent="0.25">
      <c r="A540">
        <v>1206</v>
      </c>
      <c r="B540" s="9" t="s">
        <v>58</v>
      </c>
      <c r="C540" s="19" t="s">
        <v>157</v>
      </c>
      <c r="D540" s="6">
        <v>45627</v>
      </c>
      <c r="E540" s="7">
        <v>45627.372106481482</v>
      </c>
      <c r="F540" t="s">
        <v>326</v>
      </c>
      <c r="I540" t="s">
        <v>326</v>
      </c>
      <c r="J540" s="11"/>
      <c r="K540" s="11">
        <v>-3.75</v>
      </c>
      <c r="L540" s="4">
        <f t="shared" si="15"/>
        <v>-3.75</v>
      </c>
      <c r="M540" t="s">
        <v>38</v>
      </c>
      <c r="N540" t="s">
        <v>36</v>
      </c>
      <c r="O540" t="s">
        <v>33</v>
      </c>
      <c r="R540" t="s">
        <v>61</v>
      </c>
      <c r="U540" t="e">
        <f>VLOOKUP(A540,#REF!,6,FALSE)</f>
        <v>#REF!</v>
      </c>
    </row>
    <row r="541" spans="1:21" x14ac:dyDescent="0.25">
      <c r="A541">
        <v>1207</v>
      </c>
      <c r="B541" s="9" t="s">
        <v>58</v>
      </c>
      <c r="C541" s="19" t="s">
        <v>157</v>
      </c>
      <c r="D541" s="6">
        <v>45627</v>
      </c>
      <c r="E541" s="7">
        <v>45627.49386574074</v>
      </c>
      <c r="F541" t="s">
        <v>361</v>
      </c>
      <c r="I541" t="s">
        <v>361</v>
      </c>
      <c r="J541" s="11"/>
      <c r="K541" s="11">
        <v>-4.68</v>
      </c>
      <c r="L541" s="4">
        <f t="shared" si="15"/>
        <v>-4.68</v>
      </c>
      <c r="M541" t="s">
        <v>38</v>
      </c>
      <c r="N541" t="s">
        <v>36</v>
      </c>
      <c r="O541" t="s">
        <v>33</v>
      </c>
      <c r="R541" t="s">
        <v>61</v>
      </c>
      <c r="U541" t="e">
        <f>VLOOKUP(A541,#REF!,6,FALSE)</f>
        <v>#REF!</v>
      </c>
    </row>
    <row r="542" spans="1:21" x14ac:dyDescent="0.25">
      <c r="A542">
        <v>1063</v>
      </c>
      <c r="B542" s="9" t="s">
        <v>58</v>
      </c>
      <c r="C542" s="19" t="s">
        <v>157</v>
      </c>
      <c r="D542" s="6">
        <v>45540</v>
      </c>
      <c r="E542" s="7">
        <v>45540.342870370368</v>
      </c>
      <c r="F542" t="s">
        <v>191</v>
      </c>
      <c r="I542" t="s">
        <v>191</v>
      </c>
      <c r="J542" s="11"/>
      <c r="K542" s="11">
        <v>-9.99</v>
      </c>
      <c r="L542" s="4">
        <f t="shared" si="15"/>
        <v>-9.99</v>
      </c>
      <c r="M542" t="s">
        <v>194</v>
      </c>
      <c r="N542" t="s">
        <v>36</v>
      </c>
      <c r="O542" t="s">
        <v>33</v>
      </c>
      <c r="R542" t="s">
        <v>461</v>
      </c>
      <c r="U542" t="e">
        <f>VLOOKUP(A542,#REF!,6,FALSE)</f>
        <v>#REF!</v>
      </c>
    </row>
    <row r="543" spans="1:21" x14ac:dyDescent="0.25">
      <c r="A543">
        <v>1209</v>
      </c>
      <c r="B543" s="9" t="s">
        <v>58</v>
      </c>
      <c r="C543" s="19" t="s">
        <v>157</v>
      </c>
      <c r="D543" s="6">
        <v>45628</v>
      </c>
      <c r="E543" s="7">
        <v>45628.572696759256</v>
      </c>
      <c r="F543" t="s">
        <v>18</v>
      </c>
      <c r="I543" t="s">
        <v>18</v>
      </c>
      <c r="J543" s="11"/>
      <c r="K543" s="11">
        <v>-6.6</v>
      </c>
      <c r="L543" s="4">
        <f t="shared" si="15"/>
        <v>-6.6</v>
      </c>
      <c r="M543" t="s">
        <v>9</v>
      </c>
      <c r="N543" t="s">
        <v>36</v>
      </c>
      <c r="O543" t="s">
        <v>33</v>
      </c>
      <c r="R543" t="s">
        <v>9</v>
      </c>
      <c r="U543" t="e">
        <f>VLOOKUP(A543,#REF!,6,FALSE)</f>
        <v>#REF!</v>
      </c>
    </row>
    <row r="544" spans="1:21" x14ac:dyDescent="0.25">
      <c r="A544">
        <v>1210</v>
      </c>
      <c r="B544" s="9" t="s">
        <v>58</v>
      </c>
      <c r="C544" s="19" t="s">
        <v>157</v>
      </c>
      <c r="D544" s="6">
        <v>45628</v>
      </c>
      <c r="E544" s="7">
        <v>45628.691724537035</v>
      </c>
      <c r="F544" t="s">
        <v>362</v>
      </c>
      <c r="I544" t="s">
        <v>362</v>
      </c>
      <c r="J544" s="11"/>
      <c r="K544" s="11">
        <v>-9</v>
      </c>
      <c r="L544" s="4">
        <f t="shared" si="15"/>
        <v>-9</v>
      </c>
      <c r="M544" t="s">
        <v>38</v>
      </c>
      <c r="N544" t="s">
        <v>36</v>
      </c>
      <c r="O544" t="s">
        <v>33</v>
      </c>
      <c r="R544" t="s">
        <v>61</v>
      </c>
      <c r="U544" t="e">
        <f>VLOOKUP(A544,#REF!,6,FALSE)</f>
        <v>#REF!</v>
      </c>
    </row>
    <row r="545" spans="1:21" x14ac:dyDescent="0.25">
      <c r="A545">
        <v>1211</v>
      </c>
      <c r="B545" s="9" t="s">
        <v>58</v>
      </c>
      <c r="C545" s="19" t="s">
        <v>157</v>
      </c>
      <c r="D545" s="6">
        <v>45629</v>
      </c>
      <c r="E545" s="7">
        <v>45629.12767361111</v>
      </c>
      <c r="F545" t="s">
        <v>18</v>
      </c>
      <c r="I545" t="s">
        <v>18</v>
      </c>
      <c r="J545" s="11"/>
      <c r="K545" s="11">
        <v>-8.5</v>
      </c>
      <c r="L545" s="4">
        <f t="shared" si="15"/>
        <v>-8.5</v>
      </c>
      <c r="M545" t="s">
        <v>9</v>
      </c>
      <c r="N545" t="s">
        <v>36</v>
      </c>
      <c r="O545" t="s">
        <v>33</v>
      </c>
      <c r="R545" t="s">
        <v>9</v>
      </c>
      <c r="U545" t="e">
        <f>VLOOKUP(A545,#REF!,6,FALSE)</f>
        <v>#REF!</v>
      </c>
    </row>
    <row r="546" spans="1:21" x14ac:dyDescent="0.25">
      <c r="A546">
        <v>1242</v>
      </c>
      <c r="B546" s="9" t="s">
        <v>58</v>
      </c>
      <c r="C546" s="19" t="s">
        <v>157</v>
      </c>
      <c r="D546" s="6">
        <v>45644</v>
      </c>
      <c r="E546" s="14">
        <v>45644.042662037034</v>
      </c>
      <c r="F546" t="s">
        <v>384</v>
      </c>
      <c r="G546" t="s">
        <v>34</v>
      </c>
      <c r="H546" t="s">
        <v>385</v>
      </c>
      <c r="J546" s="11">
        <v>3000</v>
      </c>
      <c r="K546" s="11"/>
      <c r="L546" s="4">
        <f t="shared" si="15"/>
        <v>3000</v>
      </c>
      <c r="M546" t="s">
        <v>7</v>
      </c>
      <c r="N546" t="s">
        <v>37</v>
      </c>
      <c r="O546" t="s">
        <v>33</v>
      </c>
      <c r="R546" t="s">
        <v>385</v>
      </c>
      <c r="U546" t="e">
        <f>VLOOKUP(A546,#REF!,6,FALSE)</f>
        <v>#REF!</v>
      </c>
    </row>
    <row r="547" spans="1:21" x14ac:dyDescent="0.25">
      <c r="A547">
        <v>1100</v>
      </c>
      <c r="B547" s="9" t="s">
        <v>58</v>
      </c>
      <c r="C547" s="19" t="s">
        <v>157</v>
      </c>
      <c r="D547" s="6">
        <v>45566</v>
      </c>
      <c r="E547" s="7">
        <v>45566.442037037035</v>
      </c>
      <c r="F547" t="s">
        <v>313</v>
      </c>
      <c r="G547" t="s">
        <v>314</v>
      </c>
      <c r="I547" t="s">
        <v>315</v>
      </c>
      <c r="J547" s="11"/>
      <c r="K547" s="11">
        <v>-980</v>
      </c>
      <c r="L547" s="4">
        <f t="shared" si="15"/>
        <v>-980</v>
      </c>
      <c r="M547" t="s">
        <v>44</v>
      </c>
      <c r="N547" t="s">
        <v>32</v>
      </c>
      <c r="O547" t="s">
        <v>33</v>
      </c>
      <c r="R547" t="s">
        <v>462</v>
      </c>
      <c r="U547" t="e">
        <f>VLOOKUP(A547,#REF!,6,FALSE)</f>
        <v>#REF!</v>
      </c>
    </row>
    <row r="548" spans="1:21" x14ac:dyDescent="0.25">
      <c r="A548">
        <v>1214</v>
      </c>
      <c r="B548" s="9" t="s">
        <v>58</v>
      </c>
      <c r="C548" s="19" t="s">
        <v>157</v>
      </c>
      <c r="D548" s="6">
        <v>45630</v>
      </c>
      <c r="E548" s="7">
        <v>45630.00990740741</v>
      </c>
      <c r="F548" t="s">
        <v>364</v>
      </c>
      <c r="G548" t="s">
        <v>365</v>
      </c>
      <c r="I548" t="s">
        <v>282</v>
      </c>
      <c r="J548" s="11"/>
      <c r="K548" s="11">
        <v>-7.19</v>
      </c>
      <c r="L548" s="4">
        <f t="shared" si="15"/>
        <v>-7.19</v>
      </c>
      <c r="N548" t="s">
        <v>283</v>
      </c>
      <c r="O548" t="s">
        <v>33</v>
      </c>
      <c r="R548" t="s">
        <v>453</v>
      </c>
      <c r="U548" t="e">
        <f>VLOOKUP(A548,#REF!,6,FALSE)</f>
        <v>#REF!</v>
      </c>
    </row>
    <row r="549" spans="1:21" x14ac:dyDescent="0.25">
      <c r="A549">
        <v>1215</v>
      </c>
      <c r="B549" s="9" t="s">
        <v>58</v>
      </c>
      <c r="C549" s="19" t="s">
        <v>157</v>
      </c>
      <c r="D549" s="6">
        <v>45630</v>
      </c>
      <c r="E549" s="7">
        <v>45630.517025462963</v>
      </c>
      <c r="F549" t="s">
        <v>18</v>
      </c>
      <c r="I549" t="s">
        <v>18</v>
      </c>
      <c r="J549" s="11"/>
      <c r="K549" s="11">
        <v>-8.5</v>
      </c>
      <c r="L549" s="4">
        <f t="shared" si="15"/>
        <v>-8.5</v>
      </c>
      <c r="M549" t="s">
        <v>9</v>
      </c>
      <c r="N549" t="s">
        <v>36</v>
      </c>
      <c r="O549" t="s">
        <v>33</v>
      </c>
      <c r="R549" t="s">
        <v>9</v>
      </c>
      <c r="U549" t="e">
        <f>VLOOKUP(A549,#REF!,6,FALSE)</f>
        <v>#REF!</v>
      </c>
    </row>
    <row r="550" spans="1:21" x14ac:dyDescent="0.25">
      <c r="A550">
        <v>1317</v>
      </c>
      <c r="B550" s="9" t="s">
        <v>58</v>
      </c>
      <c r="C550" s="19" t="s">
        <v>157</v>
      </c>
      <c r="D550" s="6">
        <v>45694</v>
      </c>
      <c r="E550" s="14">
        <v>45694.759039351855</v>
      </c>
      <c r="F550" t="s">
        <v>433</v>
      </c>
      <c r="G550" t="s">
        <v>434</v>
      </c>
      <c r="H550" t="s">
        <v>435</v>
      </c>
      <c r="J550" s="11">
        <v>2825</v>
      </c>
      <c r="K550" s="11"/>
      <c r="L550" s="4">
        <f t="shared" si="15"/>
        <v>2825</v>
      </c>
      <c r="M550" t="s">
        <v>7</v>
      </c>
      <c r="N550" t="s">
        <v>37</v>
      </c>
      <c r="O550" t="s">
        <v>33</v>
      </c>
      <c r="R550" t="s">
        <v>7</v>
      </c>
      <c r="U550" t="e">
        <f>VLOOKUP(A550,#REF!,6,FALSE)</f>
        <v>#REF!</v>
      </c>
    </row>
    <row r="551" spans="1:21" x14ac:dyDescent="0.25">
      <c r="A551">
        <v>1217</v>
      </c>
      <c r="B551" s="9" t="s">
        <v>58</v>
      </c>
      <c r="C551" s="19" t="s">
        <v>157</v>
      </c>
      <c r="D551" s="6">
        <v>45631</v>
      </c>
      <c r="E551" s="7">
        <v>45631.367476851854</v>
      </c>
      <c r="F551" t="s">
        <v>74</v>
      </c>
      <c r="I551" t="s">
        <v>74</v>
      </c>
      <c r="J551" s="11"/>
      <c r="K551" s="11">
        <v>-7.93</v>
      </c>
      <c r="L551" s="4">
        <f t="shared" si="15"/>
        <v>-7.93</v>
      </c>
      <c r="M551" t="s">
        <v>9</v>
      </c>
      <c r="N551" t="s">
        <v>36</v>
      </c>
      <c r="O551" t="s">
        <v>33</v>
      </c>
      <c r="R551" t="s">
        <v>9</v>
      </c>
      <c r="U551" t="e">
        <f>VLOOKUP(A551,#REF!,6,FALSE)</f>
        <v>#REF!</v>
      </c>
    </row>
    <row r="552" spans="1:21" x14ac:dyDescent="0.25">
      <c r="A552">
        <v>1218</v>
      </c>
      <c r="B552" s="9" t="s">
        <v>58</v>
      </c>
      <c r="C552" s="19" t="s">
        <v>157</v>
      </c>
      <c r="D552" s="6">
        <v>45631</v>
      </c>
      <c r="E552" s="7">
        <v>45631.550393518519</v>
      </c>
      <c r="F552" t="s">
        <v>369</v>
      </c>
      <c r="I552" t="s">
        <v>369</v>
      </c>
      <c r="J552" s="11"/>
      <c r="K552" s="11">
        <v>-4.4000000000000004</v>
      </c>
      <c r="L552" s="4">
        <f t="shared" si="15"/>
        <v>-4.4000000000000004</v>
      </c>
      <c r="M552" t="s">
        <v>38</v>
      </c>
      <c r="N552" t="s">
        <v>36</v>
      </c>
      <c r="O552" t="s">
        <v>33</v>
      </c>
      <c r="R552" t="s">
        <v>61</v>
      </c>
      <c r="U552" t="e">
        <f>VLOOKUP(A552,#REF!,6,FALSE)</f>
        <v>#REF!</v>
      </c>
    </row>
    <row r="553" spans="1:21" x14ac:dyDescent="0.25">
      <c r="A553">
        <v>1219</v>
      </c>
      <c r="B553" s="9" t="s">
        <v>58</v>
      </c>
      <c r="C553" s="19" t="s">
        <v>157</v>
      </c>
      <c r="D553" s="6">
        <v>45631</v>
      </c>
      <c r="E553" s="7">
        <v>45631.552534722221</v>
      </c>
      <c r="F553" t="s">
        <v>370</v>
      </c>
      <c r="I553" t="s">
        <v>370</v>
      </c>
      <c r="J553" s="11"/>
      <c r="K553" s="11">
        <v>-3.95</v>
      </c>
      <c r="L553" s="4">
        <f t="shared" si="15"/>
        <v>-3.95</v>
      </c>
      <c r="M553" t="s">
        <v>38</v>
      </c>
      <c r="N553" t="s">
        <v>36</v>
      </c>
      <c r="O553" t="s">
        <v>33</v>
      </c>
      <c r="R553" t="s">
        <v>61</v>
      </c>
      <c r="U553" t="e">
        <f>VLOOKUP(A553,#REF!,6,FALSE)</f>
        <v>#REF!</v>
      </c>
    </row>
    <row r="554" spans="1:21" x14ac:dyDescent="0.25">
      <c r="A554">
        <v>1220</v>
      </c>
      <c r="B554" s="9" t="s">
        <v>58</v>
      </c>
      <c r="C554" s="19" t="s">
        <v>157</v>
      </c>
      <c r="D554" s="6">
        <v>45631</v>
      </c>
      <c r="E554" s="7">
        <v>45631.586111111108</v>
      </c>
      <c r="F554" t="s">
        <v>18</v>
      </c>
      <c r="I554" t="s">
        <v>18</v>
      </c>
      <c r="J554" s="11"/>
      <c r="K554" s="11">
        <v>-2.7</v>
      </c>
      <c r="L554" s="4">
        <f t="shared" si="15"/>
        <v>-2.7</v>
      </c>
      <c r="M554" t="s">
        <v>9</v>
      </c>
      <c r="N554" t="s">
        <v>36</v>
      </c>
      <c r="O554" t="s">
        <v>33</v>
      </c>
      <c r="R554" t="s">
        <v>9</v>
      </c>
      <c r="U554" t="e">
        <f>VLOOKUP(A554,#REF!,6,FALSE)</f>
        <v>#REF!</v>
      </c>
    </row>
    <row r="555" spans="1:21" x14ac:dyDescent="0.25">
      <c r="A555">
        <v>1222</v>
      </c>
      <c r="B555" s="9" t="s">
        <v>58</v>
      </c>
      <c r="C555" s="19" t="s">
        <v>157</v>
      </c>
      <c r="D555" s="6">
        <v>45632</v>
      </c>
      <c r="E555" s="7">
        <v>45632.149664351855</v>
      </c>
      <c r="F555" t="s">
        <v>18</v>
      </c>
      <c r="I555" t="s">
        <v>18</v>
      </c>
      <c r="J555" s="11"/>
      <c r="K555" s="11">
        <v>-3.8</v>
      </c>
      <c r="L555" s="4">
        <f t="shared" si="15"/>
        <v>-3.8</v>
      </c>
      <c r="M555" t="s">
        <v>9</v>
      </c>
      <c r="N555" t="s">
        <v>36</v>
      </c>
      <c r="O555" t="s">
        <v>33</v>
      </c>
      <c r="R555" t="s">
        <v>9</v>
      </c>
      <c r="U555" t="e">
        <f>VLOOKUP(A555,#REF!,6,FALSE)</f>
        <v>#REF!</v>
      </c>
    </row>
    <row r="556" spans="1:21" x14ac:dyDescent="0.25">
      <c r="A556">
        <v>1223</v>
      </c>
      <c r="B556" s="9" t="s">
        <v>58</v>
      </c>
      <c r="C556" s="19" t="s">
        <v>157</v>
      </c>
      <c r="D556" s="6">
        <v>45632</v>
      </c>
      <c r="E556" s="7">
        <v>45632.371388888889</v>
      </c>
      <c r="F556" t="s">
        <v>276</v>
      </c>
      <c r="I556" t="s">
        <v>276</v>
      </c>
      <c r="J556" s="11"/>
      <c r="K556" s="11">
        <v>-4.97</v>
      </c>
      <c r="L556" s="4">
        <f t="shared" si="15"/>
        <v>-4.97</v>
      </c>
      <c r="M556" t="s">
        <v>38</v>
      </c>
      <c r="N556" t="s">
        <v>36</v>
      </c>
      <c r="O556" t="s">
        <v>33</v>
      </c>
      <c r="R556" t="s">
        <v>61</v>
      </c>
      <c r="U556" t="e">
        <f>VLOOKUP(A556,#REF!,6,FALSE)</f>
        <v>#REF!</v>
      </c>
    </row>
    <row r="557" spans="1:21" x14ac:dyDescent="0.25">
      <c r="A557">
        <v>1224</v>
      </c>
      <c r="B557" s="9" t="s">
        <v>58</v>
      </c>
      <c r="C557" s="19" t="s">
        <v>157</v>
      </c>
      <c r="D557" s="6">
        <v>45632</v>
      </c>
      <c r="E557" s="7">
        <v>45632.376250000001</v>
      </c>
      <c r="F557" t="s">
        <v>153</v>
      </c>
      <c r="I557" t="s">
        <v>153</v>
      </c>
      <c r="J557" s="11"/>
      <c r="K557" s="11">
        <v>-4.25</v>
      </c>
      <c r="L557" s="4">
        <f t="shared" si="15"/>
        <v>-4.25</v>
      </c>
      <c r="M557" t="s">
        <v>38</v>
      </c>
      <c r="N557" t="s">
        <v>36</v>
      </c>
      <c r="O557" t="s">
        <v>33</v>
      </c>
      <c r="R557" t="s">
        <v>61</v>
      </c>
      <c r="U557" t="e">
        <f>VLOOKUP(A557,#REF!,6,FALSE)</f>
        <v>#REF!</v>
      </c>
    </row>
    <row r="558" spans="1:21" x14ac:dyDescent="0.25">
      <c r="A558">
        <v>1225</v>
      </c>
      <c r="B558" s="9" t="s">
        <v>58</v>
      </c>
      <c r="C558" s="19" t="s">
        <v>157</v>
      </c>
      <c r="D558" s="6">
        <v>45632</v>
      </c>
      <c r="E558" s="7">
        <v>45632.555937500001</v>
      </c>
      <c r="F558" t="s">
        <v>374</v>
      </c>
      <c r="I558" t="s">
        <v>374</v>
      </c>
      <c r="J558" s="11"/>
      <c r="K558" s="11">
        <v>-9.24</v>
      </c>
      <c r="L558" s="4">
        <f t="shared" si="15"/>
        <v>-9.24</v>
      </c>
      <c r="M558" t="s">
        <v>38</v>
      </c>
      <c r="N558" t="s">
        <v>36</v>
      </c>
      <c r="O558" t="s">
        <v>33</v>
      </c>
      <c r="R558" t="s">
        <v>61</v>
      </c>
      <c r="U558" t="e">
        <f>VLOOKUP(A558,#REF!,6,FALSE)</f>
        <v>#REF!</v>
      </c>
    </row>
    <row r="559" spans="1:21" x14ac:dyDescent="0.25">
      <c r="A559">
        <v>1226</v>
      </c>
      <c r="B559" s="9" t="s">
        <v>58</v>
      </c>
      <c r="C559" s="19" t="s">
        <v>157</v>
      </c>
      <c r="D559" s="6">
        <v>45632</v>
      </c>
      <c r="E559" s="7">
        <v>45632.67019675926</v>
      </c>
      <c r="F559" t="s">
        <v>375</v>
      </c>
      <c r="G559" t="s">
        <v>375</v>
      </c>
      <c r="I559" t="s">
        <v>282</v>
      </c>
      <c r="J559" s="11"/>
      <c r="K559" s="11">
        <v>-14.99</v>
      </c>
      <c r="L559" s="4">
        <f t="shared" si="15"/>
        <v>-14.99</v>
      </c>
      <c r="N559" t="s">
        <v>283</v>
      </c>
      <c r="O559" t="s">
        <v>33</v>
      </c>
      <c r="R559" t="s">
        <v>453</v>
      </c>
      <c r="U559" t="e">
        <f>VLOOKUP(A559,#REF!,6,FALSE)</f>
        <v>#REF!</v>
      </c>
    </row>
    <row r="560" spans="1:21" x14ac:dyDescent="0.25">
      <c r="A560">
        <v>1227</v>
      </c>
      <c r="B560" s="9" t="s">
        <v>58</v>
      </c>
      <c r="C560" s="19" t="s">
        <v>157</v>
      </c>
      <c r="D560" s="6">
        <v>45633</v>
      </c>
      <c r="E560" s="7">
        <v>45633.365613425929</v>
      </c>
      <c r="F560" t="s">
        <v>376</v>
      </c>
      <c r="I560" t="s">
        <v>376</v>
      </c>
      <c r="J560" s="11"/>
      <c r="K560" s="11">
        <v>-4.25</v>
      </c>
      <c r="L560" s="4">
        <f t="shared" si="15"/>
        <v>-4.25</v>
      </c>
      <c r="M560" t="s">
        <v>38</v>
      </c>
      <c r="N560" t="s">
        <v>36</v>
      </c>
      <c r="O560" t="s">
        <v>33</v>
      </c>
      <c r="R560" t="s">
        <v>61</v>
      </c>
      <c r="U560" t="e">
        <f>VLOOKUP(A560,#REF!,6,FALSE)</f>
        <v>#REF!</v>
      </c>
    </row>
    <row r="561" spans="1:21" x14ac:dyDescent="0.25">
      <c r="A561">
        <v>1228</v>
      </c>
      <c r="B561" s="9" t="s">
        <v>58</v>
      </c>
      <c r="C561" s="19" t="s">
        <v>157</v>
      </c>
      <c r="D561" s="6">
        <v>45633</v>
      </c>
      <c r="E561" s="7">
        <v>45633.539687500001</v>
      </c>
      <c r="F561" t="s">
        <v>377</v>
      </c>
      <c r="I561" t="s">
        <v>377</v>
      </c>
      <c r="J561" s="11"/>
      <c r="K561" s="11">
        <v>-4.5</v>
      </c>
      <c r="L561" s="4">
        <f t="shared" si="15"/>
        <v>-4.5</v>
      </c>
      <c r="M561" t="s">
        <v>38</v>
      </c>
      <c r="N561" t="s">
        <v>36</v>
      </c>
      <c r="O561" t="s">
        <v>33</v>
      </c>
      <c r="R561" t="s">
        <v>61</v>
      </c>
      <c r="U561" t="e">
        <f>VLOOKUP(A561,#REF!,6,FALSE)</f>
        <v>#REF!</v>
      </c>
    </row>
    <row r="562" spans="1:21" x14ac:dyDescent="0.25">
      <c r="A562">
        <v>1229</v>
      </c>
      <c r="B562" s="9" t="s">
        <v>58</v>
      </c>
      <c r="C562" s="19" t="s">
        <v>157</v>
      </c>
      <c r="D562" s="6">
        <v>45633</v>
      </c>
      <c r="E562" s="7">
        <v>45633.647465277776</v>
      </c>
      <c r="F562" t="s">
        <v>18</v>
      </c>
      <c r="I562" t="s">
        <v>18</v>
      </c>
      <c r="J562" s="11"/>
      <c r="K562" s="11">
        <v>-4.2</v>
      </c>
      <c r="L562" s="4">
        <f t="shared" si="15"/>
        <v>-4.2</v>
      </c>
      <c r="M562" t="s">
        <v>9</v>
      </c>
      <c r="N562" t="s">
        <v>36</v>
      </c>
      <c r="O562" t="s">
        <v>33</v>
      </c>
      <c r="R562" t="s">
        <v>9</v>
      </c>
      <c r="U562" t="e">
        <f>VLOOKUP(A562,#REF!,6,FALSE)</f>
        <v>#REF!</v>
      </c>
    </row>
    <row r="563" spans="1:21" x14ac:dyDescent="0.25">
      <c r="A563">
        <v>1230</v>
      </c>
      <c r="B563" s="9" t="s">
        <v>58</v>
      </c>
      <c r="C563" s="19" t="s">
        <v>157</v>
      </c>
      <c r="D563" s="6">
        <v>45633</v>
      </c>
      <c r="E563" s="7">
        <v>45633.774201388886</v>
      </c>
      <c r="F563" t="s">
        <v>378</v>
      </c>
      <c r="I563" t="s">
        <v>378</v>
      </c>
      <c r="J563" s="11"/>
      <c r="K563" s="11">
        <v>-4.3</v>
      </c>
      <c r="L563" s="4">
        <f t="shared" si="15"/>
        <v>-4.3</v>
      </c>
      <c r="M563" t="s">
        <v>38</v>
      </c>
      <c r="N563" t="s">
        <v>36</v>
      </c>
      <c r="O563" t="s">
        <v>33</v>
      </c>
      <c r="R563" t="s">
        <v>61</v>
      </c>
      <c r="U563" t="e">
        <f>VLOOKUP(A563,#REF!,6,FALSE)</f>
        <v>#REF!</v>
      </c>
    </row>
    <row r="564" spans="1:21" x14ac:dyDescent="0.25">
      <c r="A564">
        <v>1231</v>
      </c>
      <c r="B564" s="9" t="s">
        <v>58</v>
      </c>
      <c r="C564" s="19" t="s">
        <v>157</v>
      </c>
      <c r="D564" s="6">
        <v>45633</v>
      </c>
      <c r="E564" s="7">
        <v>45633.924421296295</v>
      </c>
      <c r="F564" t="s">
        <v>69</v>
      </c>
      <c r="I564" t="s">
        <v>69</v>
      </c>
      <c r="J564" s="11"/>
      <c r="K564" s="11">
        <v>-20.079999999999998</v>
      </c>
      <c r="L564" s="4">
        <f t="shared" si="15"/>
        <v>-20.079999999999998</v>
      </c>
      <c r="M564" t="s">
        <v>9</v>
      </c>
      <c r="N564" t="s">
        <v>36</v>
      </c>
      <c r="O564" t="s">
        <v>33</v>
      </c>
      <c r="R564" t="s">
        <v>9</v>
      </c>
      <c r="U564" t="e">
        <f>VLOOKUP(A564,#REF!,6,FALSE)</f>
        <v>#REF!</v>
      </c>
    </row>
    <row r="565" spans="1:21" x14ac:dyDescent="0.25">
      <c r="A565">
        <v>1232</v>
      </c>
      <c r="B565" s="9" t="s">
        <v>58</v>
      </c>
      <c r="C565" s="19" t="s">
        <v>157</v>
      </c>
      <c r="D565" s="6">
        <v>45634</v>
      </c>
      <c r="E565" s="7">
        <v>45634.523796296293</v>
      </c>
      <c r="F565" t="s">
        <v>18</v>
      </c>
      <c r="I565" t="s">
        <v>18</v>
      </c>
      <c r="J565" s="11"/>
      <c r="K565" s="11">
        <v>-3.65</v>
      </c>
      <c r="L565" s="4">
        <f t="shared" si="15"/>
        <v>-3.65</v>
      </c>
      <c r="M565" t="s">
        <v>9</v>
      </c>
      <c r="N565" t="s">
        <v>36</v>
      </c>
      <c r="O565" t="s">
        <v>33</v>
      </c>
      <c r="R565" t="s">
        <v>9</v>
      </c>
      <c r="U565" t="e">
        <f>VLOOKUP(A565,#REF!,6,FALSE)</f>
        <v>#REF!</v>
      </c>
    </row>
    <row r="566" spans="1:21" x14ac:dyDescent="0.25">
      <c r="A566">
        <v>1233</v>
      </c>
      <c r="B566" s="9" t="s">
        <v>58</v>
      </c>
      <c r="C566" s="19" t="s">
        <v>157</v>
      </c>
      <c r="D566" s="6">
        <v>45636</v>
      </c>
      <c r="E566" s="7">
        <v>45636.137303240743</v>
      </c>
      <c r="F566" t="s">
        <v>18</v>
      </c>
      <c r="I566" t="s">
        <v>18</v>
      </c>
      <c r="J566" s="11"/>
      <c r="K566" s="11">
        <v>-8.5</v>
      </c>
      <c r="L566" s="4">
        <f t="shared" si="15"/>
        <v>-8.5</v>
      </c>
      <c r="M566" t="s">
        <v>9</v>
      </c>
      <c r="N566" t="s">
        <v>36</v>
      </c>
      <c r="O566" t="s">
        <v>33</v>
      </c>
      <c r="R566" t="s">
        <v>9</v>
      </c>
      <c r="U566" t="e">
        <f>VLOOKUP(A566,#REF!,6,FALSE)</f>
        <v>#REF!</v>
      </c>
    </row>
    <row r="567" spans="1:21" x14ac:dyDescent="0.25">
      <c r="A567">
        <v>1234</v>
      </c>
      <c r="B567" s="9" t="s">
        <v>58</v>
      </c>
      <c r="C567" s="19" t="s">
        <v>157</v>
      </c>
      <c r="D567" s="6">
        <v>45636</v>
      </c>
      <c r="E567" s="7">
        <v>45636.586689814816</v>
      </c>
      <c r="F567" t="s">
        <v>125</v>
      </c>
      <c r="I567" t="s">
        <v>125</v>
      </c>
      <c r="J567" s="11"/>
      <c r="K567" s="11">
        <v>-2.5</v>
      </c>
      <c r="L567" s="4">
        <f t="shared" si="15"/>
        <v>-2.5</v>
      </c>
      <c r="M567" t="s">
        <v>47</v>
      </c>
      <c r="N567" t="s">
        <v>36</v>
      </c>
      <c r="O567" t="s">
        <v>33</v>
      </c>
      <c r="R567" t="s">
        <v>61</v>
      </c>
      <c r="U567" t="e">
        <f>VLOOKUP(A567,#REF!,6,FALSE)</f>
        <v>#REF!</v>
      </c>
    </row>
    <row r="568" spans="1:21" x14ac:dyDescent="0.25">
      <c r="A568">
        <v>1235</v>
      </c>
      <c r="B568" s="9" t="s">
        <v>58</v>
      </c>
      <c r="C568" s="19" t="s">
        <v>157</v>
      </c>
      <c r="D568" s="6">
        <v>45637</v>
      </c>
      <c r="E568" s="7">
        <v>45637.135740740741</v>
      </c>
      <c r="F568" t="s">
        <v>379</v>
      </c>
      <c r="G568" t="s">
        <v>380</v>
      </c>
      <c r="I568" t="s">
        <v>237</v>
      </c>
      <c r="J568" s="11"/>
      <c r="K568" s="11">
        <v>-86.97</v>
      </c>
      <c r="L568" s="4">
        <f t="shared" si="15"/>
        <v>-86.97</v>
      </c>
      <c r="M568" t="s">
        <v>43</v>
      </c>
      <c r="N568" t="s">
        <v>238</v>
      </c>
      <c r="O568" t="s">
        <v>33</v>
      </c>
      <c r="R568" t="s">
        <v>12</v>
      </c>
      <c r="U568" t="e">
        <f>VLOOKUP(A568,#REF!,6,FALSE)</f>
        <v>#REF!</v>
      </c>
    </row>
    <row r="569" spans="1:21" x14ac:dyDescent="0.25">
      <c r="A569">
        <v>1236</v>
      </c>
      <c r="B569" s="9" t="s">
        <v>58</v>
      </c>
      <c r="C569" s="19" t="s">
        <v>157</v>
      </c>
      <c r="D569" s="6">
        <v>45637</v>
      </c>
      <c r="E569" s="7">
        <v>45637.617465277777</v>
      </c>
      <c r="F569" t="s">
        <v>18</v>
      </c>
      <c r="I569" t="s">
        <v>18</v>
      </c>
      <c r="J569" s="11"/>
      <c r="K569" s="11">
        <v>-2.8</v>
      </c>
      <c r="L569" s="4">
        <f t="shared" si="15"/>
        <v>-2.8</v>
      </c>
      <c r="M569" t="s">
        <v>9</v>
      </c>
      <c r="N569" t="s">
        <v>36</v>
      </c>
      <c r="O569" t="s">
        <v>33</v>
      </c>
      <c r="R569" t="s">
        <v>9</v>
      </c>
      <c r="U569" t="e">
        <f>VLOOKUP(A569,#REF!,6,FALSE)</f>
        <v>#REF!</v>
      </c>
    </row>
    <row r="570" spans="1:21" x14ac:dyDescent="0.25">
      <c r="A570">
        <v>1237</v>
      </c>
      <c r="B570" s="9" t="s">
        <v>58</v>
      </c>
      <c r="C570" s="19" t="s">
        <v>157</v>
      </c>
      <c r="D570" s="6">
        <v>45638</v>
      </c>
      <c r="E570" s="7">
        <v>45638.643217592595</v>
      </c>
      <c r="F570" t="s">
        <v>18</v>
      </c>
      <c r="I570" t="s">
        <v>18</v>
      </c>
      <c r="J570" s="11"/>
      <c r="K570" s="11">
        <v>-5.15</v>
      </c>
      <c r="L570" s="4">
        <f t="shared" si="15"/>
        <v>-5.15</v>
      </c>
      <c r="M570" t="s">
        <v>9</v>
      </c>
      <c r="N570" t="s">
        <v>36</v>
      </c>
      <c r="O570" t="s">
        <v>33</v>
      </c>
      <c r="R570" t="s">
        <v>9</v>
      </c>
      <c r="U570" t="e">
        <f>VLOOKUP(A570,#REF!,6,FALSE)</f>
        <v>#REF!</v>
      </c>
    </row>
    <row r="571" spans="1:21" x14ac:dyDescent="0.25">
      <c r="A571">
        <v>1272</v>
      </c>
      <c r="B571" s="9" t="s">
        <v>58</v>
      </c>
      <c r="C571" s="19" t="s">
        <v>157</v>
      </c>
      <c r="D571" s="6">
        <v>45667</v>
      </c>
      <c r="E571" s="14">
        <v>45667.043495370373</v>
      </c>
      <c r="F571" t="s">
        <v>406</v>
      </c>
      <c r="G571" t="s">
        <v>407</v>
      </c>
      <c r="H571" t="s">
        <v>408</v>
      </c>
      <c r="J571" s="11">
        <v>1775</v>
      </c>
      <c r="K571" s="11"/>
      <c r="L571" s="4">
        <f t="shared" si="15"/>
        <v>1775</v>
      </c>
      <c r="M571" t="s">
        <v>7</v>
      </c>
      <c r="N571" t="s">
        <v>37</v>
      </c>
      <c r="O571" t="s">
        <v>33</v>
      </c>
      <c r="R571" t="s">
        <v>7</v>
      </c>
      <c r="U571" t="e">
        <f>VLOOKUP(A571,#REF!,6,FALSE)</f>
        <v>#REF!</v>
      </c>
    </row>
    <row r="572" spans="1:21" x14ac:dyDescent="0.25">
      <c r="A572">
        <v>1239</v>
      </c>
      <c r="B572" s="9" t="s">
        <v>58</v>
      </c>
      <c r="C572" s="19" t="s">
        <v>157</v>
      </c>
      <c r="D572" s="6">
        <v>45639</v>
      </c>
      <c r="E572" s="7">
        <v>45639.193622685183</v>
      </c>
      <c r="F572" t="s">
        <v>383</v>
      </c>
      <c r="I572" t="s">
        <v>383</v>
      </c>
      <c r="J572" s="11"/>
      <c r="K572" s="11">
        <v>-69.12</v>
      </c>
      <c r="L572" s="4">
        <f t="shared" si="15"/>
        <v>-69.12</v>
      </c>
      <c r="M572" t="s">
        <v>9</v>
      </c>
      <c r="N572" t="s">
        <v>36</v>
      </c>
      <c r="O572" t="s">
        <v>33</v>
      </c>
      <c r="R572" t="s">
        <v>9</v>
      </c>
      <c r="U572" t="e">
        <f>VLOOKUP(A572,#REF!,6,FALSE)</f>
        <v>#REF!</v>
      </c>
    </row>
    <row r="573" spans="1:21" x14ac:dyDescent="0.25">
      <c r="A573">
        <v>1240</v>
      </c>
      <c r="B573" s="9" t="s">
        <v>58</v>
      </c>
      <c r="C573" s="19" t="s">
        <v>157</v>
      </c>
      <c r="D573" s="6">
        <v>45639</v>
      </c>
      <c r="E573" s="7">
        <v>45639.535995370374</v>
      </c>
      <c r="F573" t="s">
        <v>148</v>
      </c>
      <c r="G573" t="s">
        <v>149</v>
      </c>
      <c r="I573" t="s">
        <v>31</v>
      </c>
      <c r="J573" s="11"/>
      <c r="K573" s="11">
        <v>-500</v>
      </c>
      <c r="L573" s="4">
        <f t="shared" si="15"/>
        <v>-500</v>
      </c>
      <c r="N573" t="s">
        <v>32</v>
      </c>
      <c r="O573" t="s">
        <v>33</v>
      </c>
      <c r="R573" t="s">
        <v>6</v>
      </c>
      <c r="U573" t="e">
        <f>VLOOKUP(A573,#REF!,6,FALSE)</f>
        <v>#REF!</v>
      </c>
    </row>
    <row r="574" spans="1:21" x14ac:dyDescent="0.25">
      <c r="A574">
        <v>1241</v>
      </c>
      <c r="B574" s="9" t="s">
        <v>58</v>
      </c>
      <c r="C574" s="19" t="s">
        <v>157</v>
      </c>
      <c r="D574" s="6">
        <v>45643</v>
      </c>
      <c r="E574" s="7">
        <v>45643.517476851855</v>
      </c>
      <c r="F574" t="s">
        <v>148</v>
      </c>
      <c r="G574" t="s">
        <v>149</v>
      </c>
      <c r="I574" t="s">
        <v>31</v>
      </c>
      <c r="J574" s="11"/>
      <c r="K574" s="11">
        <v>-42</v>
      </c>
      <c r="L574" s="4">
        <f t="shared" si="15"/>
        <v>-42</v>
      </c>
      <c r="N574" t="s">
        <v>32</v>
      </c>
      <c r="O574" t="s">
        <v>33</v>
      </c>
      <c r="R574" t="s">
        <v>6</v>
      </c>
      <c r="U574" t="e">
        <f>VLOOKUP(A574,#REF!,6,FALSE)</f>
        <v>#REF!</v>
      </c>
    </row>
    <row r="575" spans="1:21" x14ac:dyDescent="0.25">
      <c r="A575">
        <v>1278</v>
      </c>
      <c r="B575" s="9" t="s">
        <v>58</v>
      </c>
      <c r="C575" s="19" t="s">
        <v>157</v>
      </c>
      <c r="D575" s="6">
        <v>45674</v>
      </c>
      <c r="E575" s="14">
        <v>45674.045115740744</v>
      </c>
      <c r="F575" t="s">
        <v>414</v>
      </c>
      <c r="G575" t="s">
        <v>415</v>
      </c>
      <c r="H575" t="s">
        <v>408</v>
      </c>
      <c r="J575" s="11">
        <v>600</v>
      </c>
      <c r="K575" s="11"/>
      <c r="L575" s="4">
        <f t="shared" si="15"/>
        <v>600</v>
      </c>
      <c r="M575" t="s">
        <v>7</v>
      </c>
      <c r="N575" t="s">
        <v>37</v>
      </c>
      <c r="O575" t="s">
        <v>33</v>
      </c>
      <c r="R575" t="s">
        <v>7</v>
      </c>
      <c r="U575" t="e">
        <f>VLOOKUP(A575,#REF!,6,FALSE)</f>
        <v>#REF!</v>
      </c>
    </row>
    <row r="576" spans="1:21" x14ac:dyDescent="0.25">
      <c r="A576">
        <v>1243</v>
      </c>
      <c r="B576" s="9" t="s">
        <v>58</v>
      </c>
      <c r="C576" s="19" t="s">
        <v>157</v>
      </c>
      <c r="D576" s="6">
        <v>45645</v>
      </c>
      <c r="E576" s="7">
        <v>45645.380196759259</v>
      </c>
      <c r="F576" t="s">
        <v>386</v>
      </c>
      <c r="G576" t="s">
        <v>386</v>
      </c>
      <c r="J576" s="11"/>
      <c r="K576" s="11">
        <v>-2.4</v>
      </c>
      <c r="L576" s="4">
        <f t="shared" si="15"/>
        <v>-2.4</v>
      </c>
      <c r="M576" t="s">
        <v>186</v>
      </c>
      <c r="N576" t="s">
        <v>17</v>
      </c>
      <c r="O576" t="s">
        <v>33</v>
      </c>
      <c r="R576" s="3" t="s">
        <v>63</v>
      </c>
      <c r="U576" t="e">
        <f>VLOOKUP(A576,#REF!,6,FALSE)</f>
        <v>#REF!</v>
      </c>
    </row>
    <row r="577" spans="1:21" x14ac:dyDescent="0.25">
      <c r="A577">
        <v>1244</v>
      </c>
      <c r="B577" s="9" t="s">
        <v>58</v>
      </c>
      <c r="C577" s="19" t="s">
        <v>157</v>
      </c>
      <c r="D577" s="6">
        <v>45645</v>
      </c>
      <c r="E577" s="7">
        <v>45645.853854166664</v>
      </c>
      <c r="F577" t="s">
        <v>148</v>
      </c>
      <c r="G577" t="s">
        <v>149</v>
      </c>
      <c r="I577" t="s">
        <v>31</v>
      </c>
      <c r="J577" s="11"/>
      <c r="K577" s="11">
        <v>-2500</v>
      </c>
      <c r="L577" s="4">
        <f t="shared" si="15"/>
        <v>-2500</v>
      </c>
      <c r="N577" t="s">
        <v>32</v>
      </c>
      <c r="O577" t="s">
        <v>33</v>
      </c>
      <c r="R577" t="s">
        <v>6</v>
      </c>
      <c r="U577" t="e">
        <f>VLOOKUP(A577,#REF!,6,FALSE)</f>
        <v>#REF!</v>
      </c>
    </row>
    <row r="578" spans="1:21" x14ac:dyDescent="0.25">
      <c r="A578">
        <v>1245</v>
      </c>
      <c r="B578" s="9" t="s">
        <v>58</v>
      </c>
      <c r="C578" s="19" t="s">
        <v>157</v>
      </c>
      <c r="D578" s="6">
        <v>45647</v>
      </c>
      <c r="E578" s="7">
        <v>45647.228668981479</v>
      </c>
      <c r="F578" t="s">
        <v>387</v>
      </c>
      <c r="I578" t="s">
        <v>387</v>
      </c>
      <c r="J578" s="11"/>
      <c r="K578" s="11">
        <v>-59.99</v>
      </c>
      <c r="L578" s="4">
        <f t="shared" si="15"/>
        <v>-59.99</v>
      </c>
      <c r="M578" t="s">
        <v>53</v>
      </c>
      <c r="N578" t="s">
        <v>36</v>
      </c>
      <c r="O578" t="s">
        <v>33</v>
      </c>
      <c r="R578" t="s">
        <v>64</v>
      </c>
      <c r="U578" t="e">
        <f>VLOOKUP(A578,#REF!,6,FALSE)</f>
        <v>#REF!</v>
      </c>
    </row>
    <row r="579" spans="1:21" x14ac:dyDescent="0.25">
      <c r="A579">
        <v>1102</v>
      </c>
      <c r="B579" s="9" t="s">
        <v>58</v>
      </c>
      <c r="C579" s="19" t="s">
        <v>157</v>
      </c>
      <c r="D579" s="6">
        <v>45567</v>
      </c>
      <c r="E579" s="7">
        <v>45567.39640046296</v>
      </c>
      <c r="F579" t="s">
        <v>191</v>
      </c>
      <c r="I579" t="s">
        <v>191</v>
      </c>
      <c r="J579" s="11"/>
      <c r="K579" s="11">
        <v>-2.99</v>
      </c>
      <c r="L579" s="4">
        <f t="shared" si="15"/>
        <v>-2.99</v>
      </c>
      <c r="M579" t="s">
        <v>194</v>
      </c>
      <c r="N579" t="s">
        <v>36</v>
      </c>
      <c r="O579" t="s">
        <v>33</v>
      </c>
      <c r="R579" t="s">
        <v>461</v>
      </c>
      <c r="U579" t="e">
        <f>VLOOKUP(A579,#REF!,6,FALSE)</f>
        <v>#REF!</v>
      </c>
    </row>
    <row r="580" spans="1:21" x14ac:dyDescent="0.25">
      <c r="A580">
        <v>1247</v>
      </c>
      <c r="B580" s="9" t="s">
        <v>58</v>
      </c>
      <c r="C580" s="19" t="s">
        <v>157</v>
      </c>
      <c r="D580" s="6">
        <v>45650</v>
      </c>
      <c r="E580" s="7">
        <v>45650.047951388886</v>
      </c>
      <c r="F580" t="s">
        <v>389</v>
      </c>
      <c r="G580" t="s">
        <v>390</v>
      </c>
      <c r="H580" t="s">
        <v>179</v>
      </c>
      <c r="J580" s="11">
        <v>1050</v>
      </c>
      <c r="K580" s="11"/>
      <c r="L580" s="4">
        <f t="shared" si="15"/>
        <v>1050</v>
      </c>
      <c r="M580" t="s">
        <v>7</v>
      </c>
      <c r="N580" t="s">
        <v>37</v>
      </c>
      <c r="O580" t="s">
        <v>33</v>
      </c>
      <c r="R580" t="s">
        <v>7</v>
      </c>
      <c r="U580" t="e">
        <f>VLOOKUP(A580,#REF!,6,FALSE)</f>
        <v>#REF!</v>
      </c>
    </row>
    <row r="581" spans="1:21" x14ac:dyDescent="0.25">
      <c r="A581">
        <v>1248</v>
      </c>
      <c r="B581" s="9" t="s">
        <v>58</v>
      </c>
      <c r="C581" s="19" t="s">
        <v>157</v>
      </c>
      <c r="D581" s="6">
        <v>45650</v>
      </c>
      <c r="E581" s="7">
        <v>45650.047951388886</v>
      </c>
      <c r="F581" t="s">
        <v>391</v>
      </c>
      <c r="G581" t="s">
        <v>392</v>
      </c>
      <c r="H581" t="s">
        <v>179</v>
      </c>
      <c r="J581" s="11">
        <v>650</v>
      </c>
      <c r="K581" s="11"/>
      <c r="L581" s="4">
        <f t="shared" si="15"/>
        <v>650</v>
      </c>
      <c r="M581" t="s">
        <v>7</v>
      </c>
      <c r="N581" t="s">
        <v>37</v>
      </c>
      <c r="O581" t="s">
        <v>33</v>
      </c>
      <c r="R581" t="s">
        <v>7</v>
      </c>
      <c r="U581" t="e">
        <f>VLOOKUP(A581,#REF!,6,FALSE)</f>
        <v>#REF!</v>
      </c>
    </row>
    <row r="582" spans="1:21" x14ac:dyDescent="0.25">
      <c r="A582">
        <v>1250</v>
      </c>
      <c r="B582" s="9" t="s">
        <v>58</v>
      </c>
      <c r="C582" s="19" t="s">
        <v>157</v>
      </c>
      <c r="D582" s="6">
        <v>45659</v>
      </c>
      <c r="E582" s="7">
        <v>45659.147835648146</v>
      </c>
      <c r="F582" t="s">
        <v>395</v>
      </c>
      <c r="G582" t="s">
        <v>396</v>
      </c>
      <c r="I582" t="s">
        <v>237</v>
      </c>
      <c r="J582" s="11"/>
      <c r="K582" s="11">
        <v>-144.9</v>
      </c>
      <c r="L582" s="4">
        <f t="shared" si="15"/>
        <v>-144.9</v>
      </c>
      <c r="M582" t="s">
        <v>43</v>
      </c>
      <c r="N582" t="s">
        <v>238</v>
      </c>
      <c r="O582" t="s">
        <v>33</v>
      </c>
      <c r="R582" t="s">
        <v>12</v>
      </c>
      <c r="U582" t="e">
        <f>VLOOKUP(A582,#REF!,6,FALSE)</f>
        <v>#REF!</v>
      </c>
    </row>
    <row r="583" spans="1:21" x14ac:dyDescent="0.25">
      <c r="A583">
        <v>1147</v>
      </c>
      <c r="B583" s="9" t="s">
        <v>58</v>
      </c>
      <c r="C583" s="19" t="s">
        <v>157</v>
      </c>
      <c r="D583" s="6">
        <v>45598</v>
      </c>
      <c r="E583" s="7">
        <v>45598.354259259257</v>
      </c>
      <c r="F583" t="s">
        <v>191</v>
      </c>
      <c r="I583" t="s">
        <v>191</v>
      </c>
      <c r="J583" s="11"/>
      <c r="K583" s="11">
        <v>-2.99</v>
      </c>
      <c r="L583" s="4">
        <f t="shared" si="15"/>
        <v>-2.99</v>
      </c>
      <c r="M583" t="s">
        <v>194</v>
      </c>
      <c r="N583" t="s">
        <v>36</v>
      </c>
      <c r="O583" t="s">
        <v>33</v>
      </c>
      <c r="R583" t="s">
        <v>461</v>
      </c>
      <c r="U583" t="e">
        <f>VLOOKUP(A583,#REF!,6,FALSE)</f>
        <v>#REF!</v>
      </c>
    </row>
    <row r="584" spans="1:21" x14ac:dyDescent="0.25">
      <c r="A584">
        <v>1252</v>
      </c>
      <c r="B584" s="9" t="s">
        <v>58</v>
      </c>
      <c r="C584" s="19" t="s">
        <v>157</v>
      </c>
      <c r="D584" s="6">
        <v>45660</v>
      </c>
      <c r="E584" s="7">
        <v>45660.315879629627</v>
      </c>
      <c r="F584" t="s">
        <v>18</v>
      </c>
      <c r="I584" t="s">
        <v>18</v>
      </c>
      <c r="J584" s="11"/>
      <c r="K584" s="11">
        <v>-7.25</v>
      </c>
      <c r="L584" s="4">
        <f t="shared" si="15"/>
        <v>-7.25</v>
      </c>
      <c r="M584" t="s">
        <v>9</v>
      </c>
      <c r="N584" t="s">
        <v>36</v>
      </c>
      <c r="O584" t="s">
        <v>33</v>
      </c>
      <c r="R584" t="s">
        <v>9</v>
      </c>
      <c r="U584" t="e">
        <f>VLOOKUP(A584,#REF!,6,FALSE)</f>
        <v>#REF!</v>
      </c>
    </row>
    <row r="585" spans="1:21" x14ac:dyDescent="0.25">
      <c r="A585">
        <v>1194</v>
      </c>
      <c r="B585" s="9" t="s">
        <v>58</v>
      </c>
      <c r="C585" s="19" t="s">
        <v>157</v>
      </c>
      <c r="D585" s="6">
        <v>45625</v>
      </c>
      <c r="E585" s="7">
        <v>45625.24795138889</v>
      </c>
      <c r="F585" t="s">
        <v>356</v>
      </c>
      <c r="G585" t="s">
        <v>356</v>
      </c>
      <c r="I585" t="s">
        <v>282</v>
      </c>
      <c r="J585" s="11"/>
      <c r="K585" s="11">
        <v>-0.8</v>
      </c>
      <c r="L585" s="4">
        <f t="shared" ref="L585:L648" si="16">J585+K585</f>
        <v>-0.8</v>
      </c>
      <c r="N585" t="s">
        <v>283</v>
      </c>
      <c r="O585" t="s">
        <v>33</v>
      </c>
      <c r="R585" t="s">
        <v>453</v>
      </c>
      <c r="U585" t="e">
        <f>VLOOKUP(A585,#REF!,6,FALSE)</f>
        <v>#REF!</v>
      </c>
    </row>
    <row r="586" spans="1:21" x14ac:dyDescent="0.25">
      <c r="A586">
        <v>1254</v>
      </c>
      <c r="B586" s="9" t="s">
        <v>58</v>
      </c>
      <c r="C586" s="19" t="s">
        <v>157</v>
      </c>
      <c r="D586" s="6">
        <v>45660</v>
      </c>
      <c r="E586" s="7">
        <v>45660.563275462962</v>
      </c>
      <c r="F586" t="s">
        <v>398</v>
      </c>
      <c r="G586" t="s">
        <v>399</v>
      </c>
      <c r="I586" t="s">
        <v>35</v>
      </c>
      <c r="J586" s="11"/>
      <c r="K586" s="11">
        <v>-1584.7</v>
      </c>
      <c r="L586" s="4">
        <f t="shared" si="16"/>
        <v>-1584.7</v>
      </c>
      <c r="M586" t="s">
        <v>90</v>
      </c>
      <c r="N586" t="s">
        <v>32</v>
      </c>
      <c r="O586" t="s">
        <v>33</v>
      </c>
      <c r="R586" t="s">
        <v>452</v>
      </c>
      <c r="U586" t="e">
        <f>VLOOKUP(A586,#REF!,6,FALSE)</f>
        <v>#REF!</v>
      </c>
    </row>
    <row r="587" spans="1:21" x14ac:dyDescent="0.25">
      <c r="A587">
        <v>1255</v>
      </c>
      <c r="B587" s="9" t="s">
        <v>58</v>
      </c>
      <c r="C587" s="19" t="s">
        <v>157</v>
      </c>
      <c r="D587" s="6">
        <v>45660</v>
      </c>
      <c r="E587" s="7">
        <v>45660.563668981478</v>
      </c>
      <c r="F587" t="s">
        <v>148</v>
      </c>
      <c r="G587" t="s">
        <v>149</v>
      </c>
      <c r="I587" t="s">
        <v>31</v>
      </c>
      <c r="J587" s="11"/>
      <c r="K587" s="11">
        <v>-600</v>
      </c>
      <c r="L587" s="4">
        <f t="shared" si="16"/>
        <v>-600</v>
      </c>
      <c r="N587" t="s">
        <v>32</v>
      </c>
      <c r="O587" t="s">
        <v>33</v>
      </c>
      <c r="R587" t="s">
        <v>6</v>
      </c>
      <c r="U587" t="e">
        <f>VLOOKUP(A587,#REF!,6,FALSE)</f>
        <v>#REF!</v>
      </c>
    </row>
    <row r="588" spans="1:21" x14ac:dyDescent="0.25">
      <c r="A588">
        <v>1256</v>
      </c>
      <c r="B588" s="9" t="s">
        <v>58</v>
      </c>
      <c r="C588" s="19" t="s">
        <v>157</v>
      </c>
      <c r="D588" s="6">
        <v>45660</v>
      </c>
      <c r="E588" s="7">
        <v>45660.752905092595</v>
      </c>
      <c r="F588" t="s">
        <v>340</v>
      </c>
      <c r="I588" t="s">
        <v>340</v>
      </c>
      <c r="J588" s="11"/>
      <c r="K588" s="11">
        <v>-17.23</v>
      </c>
      <c r="L588" s="4">
        <f t="shared" si="16"/>
        <v>-17.23</v>
      </c>
      <c r="M588" t="s">
        <v>9</v>
      </c>
      <c r="N588" t="s">
        <v>36</v>
      </c>
      <c r="O588" t="s">
        <v>33</v>
      </c>
      <c r="R588" t="s">
        <v>9</v>
      </c>
      <c r="U588" t="e">
        <f>VLOOKUP(A588,#REF!,6,FALSE)</f>
        <v>#REF!</v>
      </c>
    </row>
    <row r="589" spans="1:21" x14ac:dyDescent="0.25">
      <c r="A589">
        <v>1257</v>
      </c>
      <c r="B589" s="9" t="s">
        <v>58</v>
      </c>
      <c r="C589" s="19" t="s">
        <v>157</v>
      </c>
      <c r="D589" s="6">
        <v>45661</v>
      </c>
      <c r="E589" s="7">
        <v>45661.010752314818</v>
      </c>
      <c r="F589" t="s">
        <v>400</v>
      </c>
      <c r="G589" t="s">
        <v>401</v>
      </c>
      <c r="I589" t="s">
        <v>282</v>
      </c>
      <c r="J589" s="11"/>
      <c r="K589" s="11">
        <v>-7.19</v>
      </c>
      <c r="L589" s="4">
        <f t="shared" si="16"/>
        <v>-7.19</v>
      </c>
      <c r="N589" t="s">
        <v>283</v>
      </c>
      <c r="O589" t="s">
        <v>33</v>
      </c>
      <c r="R589" t="s">
        <v>453</v>
      </c>
      <c r="U589" t="e">
        <f>VLOOKUP(A589,#REF!,6,FALSE)</f>
        <v>#REF!</v>
      </c>
    </row>
    <row r="590" spans="1:21" x14ac:dyDescent="0.25">
      <c r="A590">
        <v>1258</v>
      </c>
      <c r="B590" s="9" t="s">
        <v>58</v>
      </c>
      <c r="C590" s="19" t="s">
        <v>157</v>
      </c>
      <c r="D590" s="6">
        <v>45661</v>
      </c>
      <c r="E590" s="7">
        <v>45661.305150462962</v>
      </c>
      <c r="F590" t="s">
        <v>173</v>
      </c>
      <c r="I590" t="s">
        <v>173</v>
      </c>
      <c r="J590" s="11"/>
      <c r="K590" s="11">
        <v>-2.9</v>
      </c>
      <c r="L590" s="4">
        <f t="shared" si="16"/>
        <v>-2.9</v>
      </c>
      <c r="M590" t="s">
        <v>38</v>
      </c>
      <c r="N590" t="s">
        <v>36</v>
      </c>
      <c r="O590" t="s">
        <v>33</v>
      </c>
      <c r="R590" t="s">
        <v>61</v>
      </c>
      <c r="U590" t="e">
        <f>VLOOKUP(A590,#REF!,6,FALSE)</f>
        <v>#REF!</v>
      </c>
    </row>
    <row r="591" spans="1:21" x14ac:dyDescent="0.25">
      <c r="A591">
        <v>1259</v>
      </c>
      <c r="B591" s="9" t="s">
        <v>58</v>
      </c>
      <c r="C591" s="19" t="s">
        <v>157</v>
      </c>
      <c r="D591" s="6">
        <v>45661</v>
      </c>
      <c r="E591" s="7">
        <v>45661.307708333334</v>
      </c>
      <c r="F591" t="s">
        <v>339</v>
      </c>
      <c r="I591" t="s">
        <v>339</v>
      </c>
      <c r="J591" s="11"/>
      <c r="K591" s="11">
        <v>-3.75</v>
      </c>
      <c r="L591" s="4">
        <f t="shared" si="16"/>
        <v>-3.75</v>
      </c>
      <c r="M591" t="s">
        <v>38</v>
      </c>
      <c r="N591" t="s">
        <v>36</v>
      </c>
      <c r="O591" t="s">
        <v>33</v>
      </c>
      <c r="R591" t="s">
        <v>61</v>
      </c>
      <c r="U591" t="e">
        <f>VLOOKUP(A591,#REF!,6,FALSE)</f>
        <v>#REF!</v>
      </c>
    </row>
    <row r="592" spans="1:21" x14ac:dyDescent="0.25">
      <c r="A592">
        <v>1260</v>
      </c>
      <c r="B592" s="9" t="s">
        <v>58</v>
      </c>
      <c r="C592" s="19" t="s">
        <v>157</v>
      </c>
      <c r="D592" s="6">
        <v>45661</v>
      </c>
      <c r="E592" s="7">
        <v>45661.570844907408</v>
      </c>
      <c r="F592" t="s">
        <v>402</v>
      </c>
      <c r="I592" t="s">
        <v>402</v>
      </c>
      <c r="J592" s="11"/>
      <c r="K592" s="11">
        <v>-4.0999999999999996</v>
      </c>
      <c r="L592" s="4">
        <f t="shared" si="16"/>
        <v>-4.0999999999999996</v>
      </c>
      <c r="M592" t="s">
        <v>38</v>
      </c>
      <c r="N592" t="s">
        <v>36</v>
      </c>
      <c r="O592" t="s">
        <v>33</v>
      </c>
      <c r="R592" t="s">
        <v>61</v>
      </c>
      <c r="U592" t="e">
        <f>VLOOKUP(A592,#REF!,6,FALSE)</f>
        <v>#REF!</v>
      </c>
    </row>
    <row r="593" spans="1:21" x14ac:dyDescent="0.25">
      <c r="A593">
        <v>1261</v>
      </c>
      <c r="B593" s="9" t="s">
        <v>58</v>
      </c>
      <c r="C593" s="19" t="s">
        <v>157</v>
      </c>
      <c r="D593" s="6">
        <v>45662</v>
      </c>
      <c r="E593" s="7">
        <v>45662.444027777776</v>
      </c>
      <c r="F593" t="s">
        <v>276</v>
      </c>
      <c r="I593" t="s">
        <v>276</v>
      </c>
      <c r="J593" s="11"/>
      <c r="K593" s="11">
        <v>-3.98</v>
      </c>
      <c r="L593" s="4">
        <f t="shared" si="16"/>
        <v>-3.98</v>
      </c>
      <c r="M593" t="s">
        <v>38</v>
      </c>
      <c r="N593" t="s">
        <v>36</v>
      </c>
      <c r="O593" t="s">
        <v>33</v>
      </c>
      <c r="R593" t="s">
        <v>61</v>
      </c>
      <c r="U593" t="e">
        <f>VLOOKUP(A593,#REF!,6,FALSE)</f>
        <v>#REF!</v>
      </c>
    </row>
    <row r="594" spans="1:21" x14ac:dyDescent="0.25">
      <c r="A594">
        <v>1262</v>
      </c>
      <c r="B594" s="9" t="s">
        <v>58</v>
      </c>
      <c r="C594" s="19" t="s">
        <v>157</v>
      </c>
      <c r="D594" s="6">
        <v>45662</v>
      </c>
      <c r="E594" s="7">
        <v>45662.538252314815</v>
      </c>
      <c r="F594" t="s">
        <v>18</v>
      </c>
      <c r="I594" t="s">
        <v>18</v>
      </c>
      <c r="J594" s="11"/>
      <c r="K594" s="11">
        <v>-3.5</v>
      </c>
      <c r="L594" s="4">
        <f t="shared" si="16"/>
        <v>-3.5</v>
      </c>
      <c r="M594" t="s">
        <v>9</v>
      </c>
      <c r="N594" t="s">
        <v>36</v>
      </c>
      <c r="O594" t="s">
        <v>33</v>
      </c>
      <c r="R594" t="s">
        <v>9</v>
      </c>
      <c r="U594" t="e">
        <f>VLOOKUP(A594,#REF!,6,FALSE)</f>
        <v>#REF!</v>
      </c>
    </row>
    <row r="595" spans="1:21" x14ac:dyDescent="0.25">
      <c r="A595">
        <v>1263</v>
      </c>
      <c r="B595" s="9" t="s">
        <v>58</v>
      </c>
      <c r="C595" s="19" t="s">
        <v>157</v>
      </c>
      <c r="D595" s="6">
        <v>45663</v>
      </c>
      <c r="E595" s="7">
        <v>45663.076574074075</v>
      </c>
      <c r="F595" t="s">
        <v>18</v>
      </c>
      <c r="I595" t="s">
        <v>18</v>
      </c>
      <c r="J595" s="11"/>
      <c r="K595" s="11">
        <v>-7.3</v>
      </c>
      <c r="L595" s="4">
        <f t="shared" si="16"/>
        <v>-7.3</v>
      </c>
      <c r="M595" t="s">
        <v>9</v>
      </c>
      <c r="N595" t="s">
        <v>36</v>
      </c>
      <c r="O595" t="s">
        <v>33</v>
      </c>
      <c r="R595" t="s">
        <v>9</v>
      </c>
      <c r="U595" t="e">
        <f>VLOOKUP(A595,#REF!,6,FALSE)</f>
        <v>#REF!</v>
      </c>
    </row>
    <row r="596" spans="1:21" x14ac:dyDescent="0.25">
      <c r="A596">
        <v>1208</v>
      </c>
      <c r="B596" s="9" t="s">
        <v>58</v>
      </c>
      <c r="C596" s="19" t="s">
        <v>157</v>
      </c>
      <c r="D596" s="6">
        <v>45628</v>
      </c>
      <c r="E596" s="7">
        <v>45628.395821759259</v>
      </c>
      <c r="F596" t="s">
        <v>239</v>
      </c>
      <c r="I596" t="s">
        <v>239</v>
      </c>
      <c r="J596" s="11"/>
      <c r="K596" s="11">
        <v>-2.99</v>
      </c>
      <c r="L596" s="4">
        <f t="shared" si="16"/>
        <v>-2.99</v>
      </c>
      <c r="M596" t="s">
        <v>194</v>
      </c>
      <c r="N596" t="s">
        <v>36</v>
      </c>
      <c r="O596" t="s">
        <v>33</v>
      </c>
      <c r="R596" t="s">
        <v>461</v>
      </c>
      <c r="U596" t="e">
        <f>VLOOKUP(A596,#REF!,6,FALSE)</f>
        <v>#REF!</v>
      </c>
    </row>
    <row r="597" spans="1:21" x14ac:dyDescent="0.25">
      <c r="A597">
        <v>1265</v>
      </c>
      <c r="B597" s="9" t="s">
        <v>58</v>
      </c>
      <c r="C597" s="19" t="s">
        <v>157</v>
      </c>
      <c r="D597" s="6">
        <v>45663</v>
      </c>
      <c r="E597" s="7">
        <v>45663.729942129627</v>
      </c>
      <c r="F597" t="s">
        <v>148</v>
      </c>
      <c r="G597" t="s">
        <v>149</v>
      </c>
      <c r="I597" t="s">
        <v>31</v>
      </c>
      <c r="J597" s="11"/>
      <c r="K597" s="11">
        <v>-100</v>
      </c>
      <c r="L597" s="4">
        <f t="shared" si="16"/>
        <v>-100</v>
      </c>
      <c r="N597" t="s">
        <v>32</v>
      </c>
      <c r="O597" t="s">
        <v>33</v>
      </c>
      <c r="R597" t="s">
        <v>6</v>
      </c>
      <c r="U597" t="e">
        <f>VLOOKUP(A597,#REF!,6,FALSE)</f>
        <v>#REF!</v>
      </c>
    </row>
    <row r="598" spans="1:21" x14ac:dyDescent="0.25">
      <c r="A598">
        <v>1266</v>
      </c>
      <c r="B598" s="9" t="s">
        <v>58</v>
      </c>
      <c r="C598" s="19" t="s">
        <v>157</v>
      </c>
      <c r="D598" s="6">
        <v>45664</v>
      </c>
      <c r="E598" s="7">
        <v>45664.512488425928</v>
      </c>
      <c r="F598" t="s">
        <v>18</v>
      </c>
      <c r="I598" t="s">
        <v>18</v>
      </c>
      <c r="J598" s="11"/>
      <c r="K598" s="11">
        <v>-8.5</v>
      </c>
      <c r="L598" s="4">
        <f t="shared" si="16"/>
        <v>-8.5</v>
      </c>
      <c r="M598" t="s">
        <v>9</v>
      </c>
      <c r="N598" t="s">
        <v>36</v>
      </c>
      <c r="O598" t="s">
        <v>33</v>
      </c>
      <c r="R598" t="s">
        <v>9</v>
      </c>
      <c r="U598" t="e">
        <f>VLOOKUP(A598,#REF!,6,FALSE)</f>
        <v>#REF!</v>
      </c>
    </row>
    <row r="599" spans="1:21" x14ac:dyDescent="0.25">
      <c r="A599">
        <v>1251</v>
      </c>
      <c r="B599" s="9" t="s">
        <v>58</v>
      </c>
      <c r="C599" s="19" t="s">
        <v>157</v>
      </c>
      <c r="D599" s="6">
        <v>45659</v>
      </c>
      <c r="E599" s="7">
        <v>45659.396041666667</v>
      </c>
      <c r="F599" t="s">
        <v>191</v>
      </c>
      <c r="I599" t="s">
        <v>191</v>
      </c>
      <c r="J599" s="11"/>
      <c r="K599" s="11">
        <v>-2.99</v>
      </c>
      <c r="L599" s="4">
        <f t="shared" si="16"/>
        <v>-2.99</v>
      </c>
      <c r="M599" t="s">
        <v>194</v>
      </c>
      <c r="N599" t="s">
        <v>36</v>
      </c>
      <c r="O599" t="s">
        <v>33</v>
      </c>
      <c r="R599" t="s">
        <v>461</v>
      </c>
      <c r="U599" t="e">
        <f>VLOOKUP(A599,#REF!,6,FALSE)</f>
        <v>#REF!</v>
      </c>
    </row>
    <row r="600" spans="1:21" x14ac:dyDescent="0.25">
      <c r="A600">
        <v>1253</v>
      </c>
      <c r="B600" s="9" t="s">
        <v>58</v>
      </c>
      <c r="C600" s="19" t="s">
        <v>157</v>
      </c>
      <c r="D600" s="6">
        <v>45660</v>
      </c>
      <c r="E600" s="7">
        <v>45660.501527777778</v>
      </c>
      <c r="F600" t="s">
        <v>397</v>
      </c>
      <c r="I600" t="s">
        <v>397</v>
      </c>
      <c r="J600" s="11"/>
      <c r="K600" s="11">
        <v>-15</v>
      </c>
      <c r="L600" s="4">
        <f t="shared" si="16"/>
        <v>-15</v>
      </c>
      <c r="M600" t="s">
        <v>44</v>
      </c>
      <c r="N600" t="s">
        <v>36</v>
      </c>
      <c r="O600" t="s">
        <v>33</v>
      </c>
      <c r="R600" t="s">
        <v>12</v>
      </c>
      <c r="U600" t="e">
        <f>VLOOKUP(A600,#REF!,6,FALSE)</f>
        <v>#REF!</v>
      </c>
    </row>
    <row r="601" spans="1:21" x14ac:dyDescent="0.25">
      <c r="A601">
        <v>1268</v>
      </c>
      <c r="B601" s="9" t="s">
        <v>58</v>
      </c>
      <c r="C601" s="19" t="s">
        <v>157</v>
      </c>
      <c r="D601" s="6">
        <v>45665</v>
      </c>
      <c r="E601" s="7">
        <v>45665.741666666669</v>
      </c>
      <c r="F601" t="s">
        <v>405</v>
      </c>
      <c r="I601" t="s">
        <v>405</v>
      </c>
      <c r="J601" s="11"/>
      <c r="K601" s="11">
        <v>-27.65</v>
      </c>
      <c r="L601" s="4">
        <f t="shared" si="16"/>
        <v>-27.65</v>
      </c>
      <c r="M601" t="s">
        <v>194</v>
      </c>
      <c r="N601" t="s">
        <v>36</v>
      </c>
      <c r="O601" t="s">
        <v>33</v>
      </c>
      <c r="R601" t="s">
        <v>10</v>
      </c>
      <c r="U601" t="e">
        <f>VLOOKUP(A601,#REF!,6,FALSE)</f>
        <v>#REF!</v>
      </c>
    </row>
    <row r="602" spans="1:21" x14ac:dyDescent="0.25">
      <c r="A602">
        <v>1270</v>
      </c>
      <c r="B602" s="9" t="s">
        <v>58</v>
      </c>
      <c r="C602" s="19" t="s">
        <v>157</v>
      </c>
      <c r="D602" s="6">
        <v>45666</v>
      </c>
      <c r="E602" s="7">
        <v>45666.551608796297</v>
      </c>
      <c r="F602" t="s">
        <v>18</v>
      </c>
      <c r="I602" t="s">
        <v>18</v>
      </c>
      <c r="J602" s="11"/>
      <c r="K602" s="11">
        <v>-2.7</v>
      </c>
      <c r="L602" s="4">
        <f t="shared" si="16"/>
        <v>-2.7</v>
      </c>
      <c r="M602" t="s">
        <v>9</v>
      </c>
      <c r="N602" t="s">
        <v>36</v>
      </c>
      <c r="O602" t="s">
        <v>33</v>
      </c>
      <c r="R602" t="s">
        <v>9</v>
      </c>
      <c r="U602" t="e">
        <f>VLOOKUP(A602,#REF!,6,FALSE)</f>
        <v>#REF!</v>
      </c>
    </row>
    <row r="603" spans="1:21" x14ac:dyDescent="0.25">
      <c r="A603">
        <v>1271</v>
      </c>
      <c r="B603" s="9" t="s">
        <v>58</v>
      </c>
      <c r="C603" s="19" t="s">
        <v>157</v>
      </c>
      <c r="D603" s="6">
        <v>45667</v>
      </c>
      <c r="E603" s="7">
        <v>45667.042592592596</v>
      </c>
      <c r="F603" t="s">
        <v>371</v>
      </c>
      <c r="G603" t="s">
        <v>372</v>
      </c>
      <c r="H603" t="s">
        <v>373</v>
      </c>
      <c r="J603" s="11">
        <v>400</v>
      </c>
      <c r="K603" s="11"/>
      <c r="L603" s="4">
        <f t="shared" si="16"/>
        <v>400</v>
      </c>
      <c r="M603" t="s">
        <v>7</v>
      </c>
      <c r="N603" t="s">
        <v>37</v>
      </c>
      <c r="O603" t="s">
        <v>33</v>
      </c>
      <c r="R603" t="s">
        <v>7</v>
      </c>
      <c r="U603" t="e">
        <f>VLOOKUP(A603,#REF!,6,FALSE)</f>
        <v>#REF!</v>
      </c>
    </row>
    <row r="604" spans="1:21" x14ac:dyDescent="0.25">
      <c r="A604">
        <v>1195</v>
      </c>
      <c r="B604" s="9" t="s">
        <v>58</v>
      </c>
      <c r="C604" s="19" t="s">
        <v>157</v>
      </c>
      <c r="D604" s="6">
        <v>45625</v>
      </c>
      <c r="E604" s="14">
        <v>45625.412442129629</v>
      </c>
      <c r="F604" t="s">
        <v>357</v>
      </c>
      <c r="G604" t="s">
        <v>358</v>
      </c>
      <c r="H604" t="s">
        <v>49</v>
      </c>
      <c r="J604" s="11">
        <v>325</v>
      </c>
      <c r="K604" s="11"/>
      <c r="L604" s="4">
        <f t="shared" si="16"/>
        <v>325</v>
      </c>
      <c r="M604" t="s">
        <v>7</v>
      </c>
      <c r="N604" t="s">
        <v>37</v>
      </c>
      <c r="O604" t="s">
        <v>33</v>
      </c>
      <c r="R604" t="s">
        <v>7</v>
      </c>
      <c r="U604" t="e">
        <f>VLOOKUP(A604,#REF!,6,FALSE)</f>
        <v>#REF!</v>
      </c>
    </row>
    <row r="605" spans="1:21" x14ac:dyDescent="0.25">
      <c r="A605">
        <v>1273</v>
      </c>
      <c r="B605" s="9" t="s">
        <v>58</v>
      </c>
      <c r="C605" s="19" t="s">
        <v>157</v>
      </c>
      <c r="D605" s="6">
        <v>45667</v>
      </c>
      <c r="E605" s="7">
        <v>45667.33734953704</v>
      </c>
      <c r="F605" t="s">
        <v>250</v>
      </c>
      <c r="G605" t="s">
        <v>34</v>
      </c>
      <c r="I605" t="s">
        <v>35</v>
      </c>
      <c r="J605" s="11"/>
      <c r="K605" s="11">
        <v>-45.19</v>
      </c>
      <c r="L605" s="4">
        <f t="shared" si="16"/>
        <v>-45.19</v>
      </c>
      <c r="M605" t="s">
        <v>90</v>
      </c>
      <c r="N605" t="s">
        <v>32</v>
      </c>
      <c r="O605" t="s">
        <v>33</v>
      </c>
      <c r="R605" t="s">
        <v>385</v>
      </c>
      <c r="U605" t="e">
        <f>VLOOKUP(A605,#REF!,6,FALSE)</f>
        <v>#REF!</v>
      </c>
    </row>
    <row r="606" spans="1:21" x14ac:dyDescent="0.25">
      <c r="A606">
        <v>1274</v>
      </c>
      <c r="B606" s="9" t="s">
        <v>58</v>
      </c>
      <c r="C606" s="19" t="s">
        <v>157</v>
      </c>
      <c r="D606" s="6">
        <v>45667</v>
      </c>
      <c r="E606" s="7">
        <v>45667.341099537036</v>
      </c>
      <c r="F606" t="s">
        <v>409</v>
      </c>
      <c r="G606" t="s">
        <v>410</v>
      </c>
      <c r="I606" t="s">
        <v>411</v>
      </c>
      <c r="J606" s="11"/>
      <c r="K606" s="11">
        <v>-613</v>
      </c>
      <c r="L606" s="4">
        <f t="shared" si="16"/>
        <v>-613</v>
      </c>
      <c r="M606" t="s">
        <v>412</v>
      </c>
      <c r="N606" t="s">
        <v>32</v>
      </c>
      <c r="O606" t="s">
        <v>33</v>
      </c>
      <c r="R606" t="s">
        <v>162</v>
      </c>
      <c r="U606" t="e">
        <f>VLOOKUP(A606,#REF!,6,FALSE)</f>
        <v>#REF!</v>
      </c>
    </row>
    <row r="607" spans="1:21" x14ac:dyDescent="0.25">
      <c r="A607">
        <v>1275</v>
      </c>
      <c r="B607" s="9" t="s">
        <v>58</v>
      </c>
      <c r="C607" s="19" t="s">
        <v>157</v>
      </c>
      <c r="D607" s="6">
        <v>45668</v>
      </c>
      <c r="E607" s="7">
        <v>45668.119421296295</v>
      </c>
      <c r="F607" t="s">
        <v>18</v>
      </c>
      <c r="I607" t="s">
        <v>18</v>
      </c>
      <c r="J607" s="11"/>
      <c r="K607" s="11">
        <v>-8.5</v>
      </c>
      <c r="L607" s="4">
        <f t="shared" si="16"/>
        <v>-8.5</v>
      </c>
      <c r="M607" t="s">
        <v>9</v>
      </c>
      <c r="N607" t="s">
        <v>36</v>
      </c>
      <c r="O607" t="s">
        <v>33</v>
      </c>
      <c r="R607" t="s">
        <v>9</v>
      </c>
      <c r="U607" t="e">
        <f>VLOOKUP(A607,#REF!,6,FALSE)</f>
        <v>#REF!</v>
      </c>
    </row>
    <row r="608" spans="1:21" x14ac:dyDescent="0.25">
      <c r="A608">
        <v>1276</v>
      </c>
      <c r="B608" s="9" t="s">
        <v>58</v>
      </c>
      <c r="C608" s="19" t="s">
        <v>157</v>
      </c>
      <c r="D608" s="6">
        <v>45670</v>
      </c>
      <c r="E608" s="7">
        <v>45670.447534722225</v>
      </c>
      <c r="F608" t="s">
        <v>18</v>
      </c>
      <c r="I608" t="s">
        <v>18</v>
      </c>
      <c r="J608" s="11"/>
      <c r="K608" s="11">
        <v>-7.35</v>
      </c>
      <c r="L608" s="4">
        <f t="shared" si="16"/>
        <v>-7.35</v>
      </c>
      <c r="M608" t="s">
        <v>9</v>
      </c>
      <c r="N608" t="s">
        <v>36</v>
      </c>
      <c r="O608" t="s">
        <v>33</v>
      </c>
      <c r="R608" t="s">
        <v>9</v>
      </c>
      <c r="U608" t="e">
        <f>VLOOKUP(A608,#REF!,6,FALSE)</f>
        <v>#REF!</v>
      </c>
    </row>
    <row r="609" spans="1:21" x14ac:dyDescent="0.25">
      <c r="A609">
        <v>1277</v>
      </c>
      <c r="B609" s="9" t="s">
        <v>58</v>
      </c>
      <c r="C609" s="19" t="s">
        <v>157</v>
      </c>
      <c r="D609" s="6">
        <v>45673</v>
      </c>
      <c r="E609" s="7">
        <v>45673.415347222224</v>
      </c>
      <c r="F609" t="s">
        <v>413</v>
      </c>
      <c r="I609" t="s">
        <v>413</v>
      </c>
      <c r="J609" s="11"/>
      <c r="K609" s="11">
        <v>-4</v>
      </c>
      <c r="L609" s="4">
        <f t="shared" si="16"/>
        <v>-4</v>
      </c>
      <c r="M609" t="s">
        <v>38</v>
      </c>
      <c r="N609" t="s">
        <v>36</v>
      </c>
      <c r="O609" t="s">
        <v>33</v>
      </c>
      <c r="R609" t="s">
        <v>61</v>
      </c>
      <c r="U609" t="e">
        <f>VLOOKUP(A609,#REF!,6,FALSE)</f>
        <v>#REF!</v>
      </c>
    </row>
    <row r="610" spans="1:21" x14ac:dyDescent="0.25">
      <c r="A610">
        <v>1212</v>
      </c>
      <c r="B610" s="9" t="s">
        <v>58</v>
      </c>
      <c r="C610" s="19" t="s">
        <v>157</v>
      </c>
      <c r="D610" s="6">
        <v>45629</v>
      </c>
      <c r="E610" s="14">
        <v>45629.717650462961</v>
      </c>
      <c r="F610" t="s">
        <v>108</v>
      </c>
      <c r="G610" t="s">
        <v>110</v>
      </c>
      <c r="H610" t="s">
        <v>51</v>
      </c>
      <c r="J610" s="11">
        <v>100</v>
      </c>
      <c r="K610" s="11"/>
      <c r="L610" s="4">
        <f t="shared" si="16"/>
        <v>100</v>
      </c>
      <c r="M610" t="s">
        <v>7</v>
      </c>
      <c r="N610" t="s">
        <v>37</v>
      </c>
      <c r="O610" t="s">
        <v>33</v>
      </c>
      <c r="R610" t="s">
        <v>6</v>
      </c>
      <c r="U610" t="e">
        <f>VLOOKUP(A610,#REF!,6,FALSE)</f>
        <v>#REF!</v>
      </c>
    </row>
    <row r="611" spans="1:21" x14ac:dyDescent="0.25">
      <c r="A611">
        <v>1279</v>
      </c>
      <c r="B611" s="9" t="s">
        <v>58</v>
      </c>
      <c r="C611" s="19" t="s">
        <v>157</v>
      </c>
      <c r="D611" s="6">
        <v>45674</v>
      </c>
      <c r="E611" s="7">
        <v>45674.269247685188</v>
      </c>
      <c r="F611" t="s">
        <v>148</v>
      </c>
      <c r="G611" t="s">
        <v>149</v>
      </c>
      <c r="I611" t="s">
        <v>31</v>
      </c>
      <c r="J611" s="11"/>
      <c r="K611" s="11">
        <v>-2100</v>
      </c>
      <c r="L611" s="4">
        <f t="shared" si="16"/>
        <v>-2100</v>
      </c>
      <c r="N611" t="s">
        <v>32</v>
      </c>
      <c r="O611" t="s">
        <v>33</v>
      </c>
      <c r="R611" t="s">
        <v>6</v>
      </c>
      <c r="U611" t="e">
        <f>VLOOKUP(A611,#REF!,6,FALSE)</f>
        <v>#REF!</v>
      </c>
    </row>
    <row r="612" spans="1:21" x14ac:dyDescent="0.25">
      <c r="A612">
        <v>1280</v>
      </c>
      <c r="B612" s="9" t="s">
        <v>58</v>
      </c>
      <c r="C612" s="19" t="s">
        <v>157</v>
      </c>
      <c r="D612" s="6">
        <v>45674</v>
      </c>
      <c r="E612" s="7">
        <v>45674.441851851851</v>
      </c>
      <c r="F612" t="s">
        <v>340</v>
      </c>
      <c r="I612" t="s">
        <v>340</v>
      </c>
      <c r="J612" s="11"/>
      <c r="K612" s="11">
        <v>-25.49</v>
      </c>
      <c r="L612" s="4">
        <f t="shared" si="16"/>
        <v>-25.49</v>
      </c>
      <c r="M612" t="s">
        <v>9</v>
      </c>
      <c r="N612" t="s">
        <v>36</v>
      </c>
      <c r="O612" t="s">
        <v>33</v>
      </c>
      <c r="R612" t="s">
        <v>9</v>
      </c>
      <c r="U612" t="e">
        <f>VLOOKUP(A612,#REF!,6,FALSE)</f>
        <v>#REF!</v>
      </c>
    </row>
    <row r="613" spans="1:21" x14ac:dyDescent="0.25">
      <c r="A613">
        <v>1281</v>
      </c>
      <c r="B613" s="9" t="s">
        <v>58</v>
      </c>
      <c r="C613" s="19" t="s">
        <v>157</v>
      </c>
      <c r="D613" s="6">
        <v>45674</v>
      </c>
      <c r="E613" s="7">
        <v>45674.671006944445</v>
      </c>
      <c r="F613" t="s">
        <v>340</v>
      </c>
      <c r="I613" t="s">
        <v>340</v>
      </c>
      <c r="J613" s="11"/>
      <c r="K613" s="11">
        <v>-20.39</v>
      </c>
      <c r="L613" s="4">
        <f t="shared" si="16"/>
        <v>-20.39</v>
      </c>
      <c r="M613" t="s">
        <v>9</v>
      </c>
      <c r="N613" t="s">
        <v>36</v>
      </c>
      <c r="O613" t="s">
        <v>33</v>
      </c>
      <c r="R613" t="s">
        <v>9</v>
      </c>
      <c r="U613" t="e">
        <f>VLOOKUP(A613,#REF!,6,FALSE)</f>
        <v>#REF!</v>
      </c>
    </row>
    <row r="614" spans="1:21" x14ac:dyDescent="0.25">
      <c r="A614">
        <v>1282</v>
      </c>
      <c r="B614" s="9" t="s">
        <v>58</v>
      </c>
      <c r="C614" s="19" t="s">
        <v>157</v>
      </c>
      <c r="D614" s="6">
        <v>45675</v>
      </c>
      <c r="E614" s="7">
        <v>45675.558541666665</v>
      </c>
      <c r="F614" t="s">
        <v>416</v>
      </c>
      <c r="I614" t="s">
        <v>416</v>
      </c>
      <c r="J614" s="11"/>
      <c r="K614" s="11">
        <v>-5.09</v>
      </c>
      <c r="L614" s="4">
        <f t="shared" si="16"/>
        <v>-5.09</v>
      </c>
      <c r="M614" t="s">
        <v>38</v>
      </c>
      <c r="N614" t="s">
        <v>36</v>
      </c>
      <c r="O614" t="s">
        <v>33</v>
      </c>
      <c r="R614" t="s">
        <v>61</v>
      </c>
      <c r="U614" t="e">
        <f>VLOOKUP(A614,#REF!,6,FALSE)</f>
        <v>#REF!</v>
      </c>
    </row>
    <row r="615" spans="1:21" x14ac:dyDescent="0.25">
      <c r="A615">
        <v>1283</v>
      </c>
      <c r="B615" s="9" t="s">
        <v>58</v>
      </c>
      <c r="C615" s="19" t="s">
        <v>157</v>
      </c>
      <c r="D615" s="6">
        <v>45676</v>
      </c>
      <c r="E615" s="7">
        <v>45676.458553240744</v>
      </c>
      <c r="F615" t="s">
        <v>417</v>
      </c>
      <c r="I615" t="s">
        <v>417</v>
      </c>
      <c r="J615" s="11"/>
      <c r="K615" s="11">
        <v>-4.75</v>
      </c>
      <c r="L615" s="4">
        <f t="shared" si="16"/>
        <v>-4.75</v>
      </c>
      <c r="M615" t="s">
        <v>38</v>
      </c>
      <c r="N615" t="s">
        <v>36</v>
      </c>
      <c r="O615" t="s">
        <v>33</v>
      </c>
      <c r="R615" t="s">
        <v>61</v>
      </c>
      <c r="U615" t="e">
        <f>VLOOKUP(A615,#REF!,6,FALSE)</f>
        <v>#REF!</v>
      </c>
    </row>
    <row r="616" spans="1:21" x14ac:dyDescent="0.25">
      <c r="A616">
        <v>1284</v>
      </c>
      <c r="B616" s="9" t="s">
        <v>58</v>
      </c>
      <c r="C616" s="19" t="s">
        <v>157</v>
      </c>
      <c r="D616" s="6">
        <v>45677</v>
      </c>
      <c r="E616" s="7">
        <v>45677.085150462961</v>
      </c>
      <c r="F616" t="s">
        <v>18</v>
      </c>
      <c r="I616" t="s">
        <v>18</v>
      </c>
      <c r="J616" s="11"/>
      <c r="K616" s="11">
        <v>-10</v>
      </c>
      <c r="L616" s="4">
        <f t="shared" si="16"/>
        <v>-10</v>
      </c>
      <c r="M616" t="s">
        <v>9</v>
      </c>
      <c r="N616" t="s">
        <v>36</v>
      </c>
      <c r="O616" t="s">
        <v>33</v>
      </c>
      <c r="R616" t="s">
        <v>9</v>
      </c>
      <c r="U616" t="e">
        <f>VLOOKUP(A616,#REF!,6,FALSE)</f>
        <v>#REF!</v>
      </c>
    </row>
    <row r="617" spans="1:21" x14ac:dyDescent="0.25">
      <c r="A617">
        <v>1285</v>
      </c>
      <c r="B617" s="9" t="s">
        <v>58</v>
      </c>
      <c r="C617" s="19" t="s">
        <v>157</v>
      </c>
      <c r="D617" s="6">
        <v>45677</v>
      </c>
      <c r="E617" s="7">
        <v>45677.564918981479</v>
      </c>
      <c r="F617" t="s">
        <v>418</v>
      </c>
      <c r="I617" t="s">
        <v>418</v>
      </c>
      <c r="J617" s="11"/>
      <c r="K617" s="11">
        <v>-3.99</v>
      </c>
      <c r="L617" s="4">
        <f t="shared" si="16"/>
        <v>-3.99</v>
      </c>
      <c r="M617" t="s">
        <v>38</v>
      </c>
      <c r="N617" t="s">
        <v>36</v>
      </c>
      <c r="O617" t="s">
        <v>33</v>
      </c>
      <c r="R617" t="s">
        <v>61</v>
      </c>
      <c r="U617" t="e">
        <f>VLOOKUP(A617,#REF!,6,FALSE)</f>
        <v>#REF!</v>
      </c>
    </row>
    <row r="618" spans="1:21" x14ac:dyDescent="0.25">
      <c r="A618">
        <v>1286</v>
      </c>
      <c r="B618" s="9" t="s">
        <v>58</v>
      </c>
      <c r="C618" s="19" t="s">
        <v>157</v>
      </c>
      <c r="D618" s="6">
        <v>45678</v>
      </c>
      <c r="E618" s="7">
        <v>45678.502500000002</v>
      </c>
      <c r="F618" t="s">
        <v>18</v>
      </c>
      <c r="I618" t="s">
        <v>18</v>
      </c>
      <c r="J618" s="11"/>
      <c r="K618" s="11">
        <v>-6.2</v>
      </c>
      <c r="L618" s="4">
        <f t="shared" si="16"/>
        <v>-6.2</v>
      </c>
      <c r="M618" t="s">
        <v>9</v>
      </c>
      <c r="N618" t="s">
        <v>36</v>
      </c>
      <c r="O618" t="s">
        <v>33</v>
      </c>
      <c r="R618" t="s">
        <v>9</v>
      </c>
      <c r="U618" t="e">
        <f>VLOOKUP(A618,#REF!,6,FALSE)</f>
        <v>#REF!</v>
      </c>
    </row>
    <row r="619" spans="1:21" x14ac:dyDescent="0.25">
      <c r="A619">
        <v>1287</v>
      </c>
      <c r="B619" s="9" t="s">
        <v>58</v>
      </c>
      <c r="C619" s="19" t="s">
        <v>157</v>
      </c>
      <c r="D619" s="6">
        <v>45680</v>
      </c>
      <c r="E619" s="7">
        <v>45680.412418981483</v>
      </c>
      <c r="F619" t="s">
        <v>419</v>
      </c>
      <c r="I619" t="s">
        <v>419</v>
      </c>
      <c r="J619" s="11"/>
      <c r="K619" s="11">
        <v>-2.15</v>
      </c>
      <c r="L619" s="4">
        <f t="shared" si="16"/>
        <v>-2.15</v>
      </c>
      <c r="M619" t="s">
        <v>38</v>
      </c>
      <c r="N619" t="s">
        <v>36</v>
      </c>
      <c r="O619" t="s">
        <v>33</v>
      </c>
      <c r="R619" t="s">
        <v>61</v>
      </c>
      <c r="U619" t="e">
        <f>VLOOKUP(A619,#REF!,6,FALSE)</f>
        <v>#REF!</v>
      </c>
    </row>
    <row r="620" spans="1:21" x14ac:dyDescent="0.25">
      <c r="A620">
        <v>1288</v>
      </c>
      <c r="B620" s="9" t="s">
        <v>58</v>
      </c>
      <c r="C620" s="19" t="s">
        <v>157</v>
      </c>
      <c r="D620" s="6">
        <v>45680</v>
      </c>
      <c r="E620" s="7">
        <v>45680.559131944443</v>
      </c>
      <c r="F620" t="s">
        <v>420</v>
      </c>
      <c r="I620" t="s">
        <v>420</v>
      </c>
      <c r="J620" s="11"/>
      <c r="K620" s="11">
        <v>-2.79</v>
      </c>
      <c r="L620" s="4">
        <f t="shared" si="16"/>
        <v>-2.79</v>
      </c>
      <c r="M620" t="s">
        <v>38</v>
      </c>
      <c r="N620" t="s">
        <v>36</v>
      </c>
      <c r="O620" t="s">
        <v>33</v>
      </c>
      <c r="R620" t="s">
        <v>61</v>
      </c>
      <c r="U620" t="e">
        <f>VLOOKUP(A620,#REF!,6,FALSE)</f>
        <v>#REF!</v>
      </c>
    </row>
    <row r="621" spans="1:21" x14ac:dyDescent="0.25">
      <c r="A621">
        <v>1289</v>
      </c>
      <c r="B621" s="9" t="s">
        <v>58</v>
      </c>
      <c r="C621" s="19" t="s">
        <v>157</v>
      </c>
      <c r="D621" s="6">
        <v>45681</v>
      </c>
      <c r="E621" s="7">
        <v>45681.549178240741</v>
      </c>
      <c r="F621" t="s">
        <v>18</v>
      </c>
      <c r="I621" t="s">
        <v>18</v>
      </c>
      <c r="J621" s="11"/>
      <c r="K621" s="11">
        <v>-4.45</v>
      </c>
      <c r="L621" s="4">
        <f t="shared" si="16"/>
        <v>-4.45</v>
      </c>
      <c r="M621" t="s">
        <v>9</v>
      </c>
      <c r="N621" t="s">
        <v>36</v>
      </c>
      <c r="O621" t="s">
        <v>33</v>
      </c>
      <c r="R621" t="s">
        <v>9</v>
      </c>
      <c r="U621" t="e">
        <f>VLOOKUP(A621,#REF!,6,FALSE)</f>
        <v>#REF!</v>
      </c>
    </row>
    <row r="622" spans="1:21" x14ac:dyDescent="0.25">
      <c r="A622">
        <v>1290</v>
      </c>
      <c r="B622" s="9" t="s">
        <v>58</v>
      </c>
      <c r="C622" s="19" t="s">
        <v>157</v>
      </c>
      <c r="D622" s="6">
        <v>45681</v>
      </c>
      <c r="E622" s="7">
        <v>45681.557546296295</v>
      </c>
      <c r="F622" t="s">
        <v>421</v>
      </c>
      <c r="I622" t="s">
        <v>421</v>
      </c>
      <c r="J622" s="11"/>
      <c r="K622" s="11">
        <v>-7.59</v>
      </c>
      <c r="L622" s="4">
        <f t="shared" si="16"/>
        <v>-7.59</v>
      </c>
      <c r="M622" t="s">
        <v>38</v>
      </c>
      <c r="N622" t="s">
        <v>36</v>
      </c>
      <c r="O622" t="s">
        <v>33</v>
      </c>
      <c r="R622" t="s">
        <v>61</v>
      </c>
      <c r="U622" t="e">
        <f>VLOOKUP(A622,#REF!,6,FALSE)</f>
        <v>#REF!</v>
      </c>
    </row>
    <row r="623" spans="1:21" x14ac:dyDescent="0.25">
      <c r="A623">
        <v>1291</v>
      </c>
      <c r="B623" s="9" t="s">
        <v>58</v>
      </c>
      <c r="C623" s="19" t="s">
        <v>157</v>
      </c>
      <c r="D623" s="6">
        <v>45682</v>
      </c>
      <c r="E623" s="7">
        <v>45682.347291666665</v>
      </c>
      <c r="F623" t="s">
        <v>134</v>
      </c>
      <c r="I623" t="s">
        <v>134</v>
      </c>
      <c r="J623" s="11"/>
      <c r="K623" s="11">
        <v>-3.75</v>
      </c>
      <c r="L623" s="4">
        <f t="shared" si="16"/>
        <v>-3.75</v>
      </c>
      <c r="M623" t="s">
        <v>38</v>
      </c>
      <c r="N623" t="s">
        <v>36</v>
      </c>
      <c r="O623" t="s">
        <v>33</v>
      </c>
      <c r="R623" t="s">
        <v>61</v>
      </c>
      <c r="U623" t="e">
        <f>VLOOKUP(A623,#REF!,6,FALSE)</f>
        <v>#REF!</v>
      </c>
    </row>
    <row r="624" spans="1:21" x14ac:dyDescent="0.25">
      <c r="A624">
        <v>1292</v>
      </c>
      <c r="B624" s="9" t="s">
        <v>58</v>
      </c>
      <c r="C624" s="19" t="s">
        <v>157</v>
      </c>
      <c r="D624" s="6">
        <v>45682</v>
      </c>
      <c r="E624" s="7">
        <v>45682.371932870374</v>
      </c>
      <c r="F624" t="s">
        <v>273</v>
      </c>
      <c r="I624" t="s">
        <v>273</v>
      </c>
      <c r="J624" s="11"/>
      <c r="K624" s="11">
        <v>-4.25</v>
      </c>
      <c r="L624" s="4">
        <f t="shared" si="16"/>
        <v>-4.25</v>
      </c>
      <c r="M624" t="s">
        <v>38</v>
      </c>
      <c r="N624" t="s">
        <v>36</v>
      </c>
      <c r="O624" t="s">
        <v>33</v>
      </c>
      <c r="R624" t="s">
        <v>61</v>
      </c>
      <c r="U624" t="e">
        <f>VLOOKUP(A624,#REF!,6,FALSE)</f>
        <v>#REF!</v>
      </c>
    </row>
    <row r="625" spans="1:21" x14ac:dyDescent="0.25">
      <c r="A625">
        <v>1293</v>
      </c>
      <c r="B625" s="9" t="s">
        <v>58</v>
      </c>
      <c r="C625" s="19" t="s">
        <v>157</v>
      </c>
      <c r="D625" s="6">
        <v>45682</v>
      </c>
      <c r="E625" s="7">
        <v>45682.552476851852</v>
      </c>
      <c r="F625" t="s">
        <v>422</v>
      </c>
      <c r="I625" t="s">
        <v>422</v>
      </c>
      <c r="J625" s="11"/>
      <c r="K625" s="11">
        <v>-6.23</v>
      </c>
      <c r="L625" s="4">
        <f t="shared" si="16"/>
        <v>-6.23</v>
      </c>
      <c r="M625" t="s">
        <v>38</v>
      </c>
      <c r="N625" t="s">
        <v>36</v>
      </c>
      <c r="O625" t="s">
        <v>33</v>
      </c>
      <c r="R625" t="s">
        <v>61</v>
      </c>
      <c r="U625" t="e">
        <f>VLOOKUP(A625,#REF!,6,FALSE)</f>
        <v>#REF!</v>
      </c>
    </row>
    <row r="626" spans="1:21" x14ac:dyDescent="0.25">
      <c r="A626">
        <v>1294</v>
      </c>
      <c r="B626" s="9" t="s">
        <v>58</v>
      </c>
      <c r="C626" s="19" t="s">
        <v>157</v>
      </c>
      <c r="D626" s="6">
        <v>45683</v>
      </c>
      <c r="E626" s="7">
        <v>45683.11314814815</v>
      </c>
      <c r="F626" t="s">
        <v>18</v>
      </c>
      <c r="I626" t="s">
        <v>18</v>
      </c>
      <c r="J626" s="11"/>
      <c r="K626" s="11">
        <v>-8.1</v>
      </c>
      <c r="L626" s="4">
        <f t="shared" si="16"/>
        <v>-8.1</v>
      </c>
      <c r="M626" t="s">
        <v>9</v>
      </c>
      <c r="N626" t="s">
        <v>36</v>
      </c>
      <c r="O626" t="s">
        <v>33</v>
      </c>
      <c r="R626" t="s">
        <v>9</v>
      </c>
      <c r="U626" t="e">
        <f>VLOOKUP(A626,#REF!,6,FALSE)</f>
        <v>#REF!</v>
      </c>
    </row>
    <row r="627" spans="1:21" x14ac:dyDescent="0.25">
      <c r="A627">
        <v>1295</v>
      </c>
      <c r="B627" s="9" t="s">
        <v>58</v>
      </c>
      <c r="C627" s="19" t="s">
        <v>157</v>
      </c>
      <c r="D627" s="6">
        <v>45683</v>
      </c>
      <c r="E627" s="7">
        <v>45683.361909722225</v>
      </c>
      <c r="F627" t="s">
        <v>423</v>
      </c>
      <c r="I627" t="s">
        <v>423</v>
      </c>
      <c r="J627" s="11"/>
      <c r="K627" s="11">
        <v>-3.47</v>
      </c>
      <c r="L627" s="4">
        <f t="shared" si="16"/>
        <v>-3.47</v>
      </c>
      <c r="M627" t="s">
        <v>38</v>
      </c>
      <c r="N627" t="s">
        <v>36</v>
      </c>
      <c r="O627" t="s">
        <v>33</v>
      </c>
      <c r="R627" t="s">
        <v>61</v>
      </c>
      <c r="U627" t="e">
        <f>VLOOKUP(A627,#REF!,6,FALSE)</f>
        <v>#REF!</v>
      </c>
    </row>
    <row r="628" spans="1:21" x14ac:dyDescent="0.25">
      <c r="A628">
        <v>1296</v>
      </c>
      <c r="B628" s="9" t="s">
        <v>58</v>
      </c>
      <c r="C628" s="19" t="s">
        <v>157</v>
      </c>
      <c r="D628" s="6">
        <v>45683</v>
      </c>
      <c r="E628" s="7">
        <v>45683.474976851852</v>
      </c>
      <c r="F628" t="s">
        <v>70</v>
      </c>
      <c r="I628" t="s">
        <v>70</v>
      </c>
      <c r="J628" s="11"/>
      <c r="K628" s="11">
        <v>-9.8000000000000007</v>
      </c>
      <c r="L628" s="4">
        <f t="shared" si="16"/>
        <v>-9.8000000000000007</v>
      </c>
      <c r="M628" t="s">
        <v>38</v>
      </c>
      <c r="N628" t="s">
        <v>36</v>
      </c>
      <c r="O628" t="s">
        <v>33</v>
      </c>
      <c r="R628" t="s">
        <v>61</v>
      </c>
      <c r="U628" t="e">
        <f>VLOOKUP(A628,#REF!,6,FALSE)</f>
        <v>#REF!</v>
      </c>
    </row>
    <row r="629" spans="1:21" x14ac:dyDescent="0.25">
      <c r="A629">
        <v>1297</v>
      </c>
      <c r="B629" s="9" t="s">
        <v>58</v>
      </c>
      <c r="C629" s="19" t="s">
        <v>157</v>
      </c>
      <c r="D629" s="6">
        <v>45684</v>
      </c>
      <c r="E629" s="7">
        <v>45684.35832175926</v>
      </c>
      <c r="F629" t="s">
        <v>18</v>
      </c>
      <c r="I629" t="s">
        <v>18</v>
      </c>
      <c r="J629" s="11"/>
      <c r="K629" s="11">
        <v>-5.4</v>
      </c>
      <c r="L629" s="4">
        <f t="shared" si="16"/>
        <v>-5.4</v>
      </c>
      <c r="M629" t="s">
        <v>9</v>
      </c>
      <c r="N629" t="s">
        <v>36</v>
      </c>
      <c r="O629" t="s">
        <v>33</v>
      </c>
      <c r="R629" t="s">
        <v>9</v>
      </c>
      <c r="U629" t="e">
        <f>VLOOKUP(A629,#REF!,6,FALSE)</f>
        <v>#REF!</v>
      </c>
    </row>
    <row r="630" spans="1:21" x14ac:dyDescent="0.25">
      <c r="A630">
        <v>1298</v>
      </c>
      <c r="B630" s="9" t="s">
        <v>58</v>
      </c>
      <c r="C630" s="19" t="s">
        <v>157</v>
      </c>
      <c r="D630" s="6">
        <v>45684</v>
      </c>
      <c r="E630" s="7">
        <v>45684.547673611109</v>
      </c>
      <c r="F630" t="s">
        <v>421</v>
      </c>
      <c r="I630" t="s">
        <v>421</v>
      </c>
      <c r="J630" s="11"/>
      <c r="K630" s="11">
        <v>-9.09</v>
      </c>
      <c r="L630" s="4">
        <f t="shared" si="16"/>
        <v>-9.09</v>
      </c>
      <c r="M630" t="s">
        <v>38</v>
      </c>
      <c r="N630" t="s">
        <v>36</v>
      </c>
      <c r="O630" t="s">
        <v>33</v>
      </c>
      <c r="R630" t="s">
        <v>61</v>
      </c>
      <c r="U630" t="e">
        <f>VLOOKUP(A630,#REF!,6,FALSE)</f>
        <v>#REF!</v>
      </c>
    </row>
    <row r="631" spans="1:21" x14ac:dyDescent="0.25">
      <c r="A631">
        <v>1299</v>
      </c>
      <c r="B631" s="9" t="s">
        <v>58</v>
      </c>
      <c r="C631" s="19" t="s">
        <v>157</v>
      </c>
      <c r="D631" s="6">
        <v>45685</v>
      </c>
      <c r="E631" s="7">
        <v>45685.492071759261</v>
      </c>
      <c r="F631" t="s">
        <v>18</v>
      </c>
      <c r="I631" t="s">
        <v>18</v>
      </c>
      <c r="J631" s="11"/>
      <c r="K631" s="11">
        <v>-1.75</v>
      </c>
      <c r="L631" s="4">
        <f t="shared" si="16"/>
        <v>-1.75</v>
      </c>
      <c r="M631" t="s">
        <v>9</v>
      </c>
      <c r="N631" t="s">
        <v>36</v>
      </c>
      <c r="O631" t="s">
        <v>33</v>
      </c>
      <c r="R631" t="s">
        <v>9</v>
      </c>
      <c r="U631" t="e">
        <f>VLOOKUP(A631,#REF!,6,FALSE)</f>
        <v>#REF!</v>
      </c>
    </row>
    <row r="632" spans="1:21" x14ac:dyDescent="0.25">
      <c r="A632">
        <v>1300</v>
      </c>
      <c r="B632" s="9" t="s">
        <v>58</v>
      </c>
      <c r="C632" s="19" t="s">
        <v>157</v>
      </c>
      <c r="D632" s="6">
        <v>45686</v>
      </c>
      <c r="E632" s="7">
        <v>45686.135266203702</v>
      </c>
      <c r="F632" t="s">
        <v>18</v>
      </c>
      <c r="I632" t="s">
        <v>18</v>
      </c>
      <c r="J632" s="11"/>
      <c r="K632" s="11">
        <v>-8.1999999999999993</v>
      </c>
      <c r="L632" s="4">
        <f t="shared" si="16"/>
        <v>-8.1999999999999993</v>
      </c>
      <c r="M632" t="s">
        <v>9</v>
      </c>
      <c r="N632" t="s">
        <v>36</v>
      </c>
      <c r="O632" t="s">
        <v>33</v>
      </c>
      <c r="R632" t="s">
        <v>9</v>
      </c>
      <c r="U632" t="e">
        <f>VLOOKUP(A632,#REF!,6,FALSE)</f>
        <v>#REF!</v>
      </c>
    </row>
    <row r="633" spans="1:21" x14ac:dyDescent="0.25">
      <c r="A633">
        <v>1301</v>
      </c>
      <c r="B633" s="9" t="s">
        <v>58</v>
      </c>
      <c r="C633" s="19" t="s">
        <v>157</v>
      </c>
      <c r="D633" s="6">
        <v>45687</v>
      </c>
      <c r="E633" s="7">
        <v>45687.392129629632</v>
      </c>
      <c r="F633" t="s">
        <v>424</v>
      </c>
      <c r="I633" t="s">
        <v>424</v>
      </c>
      <c r="J633" s="11"/>
      <c r="K633" s="11">
        <v>-1.45</v>
      </c>
      <c r="L633" s="4">
        <f t="shared" si="16"/>
        <v>-1.45</v>
      </c>
      <c r="M633" t="s">
        <v>38</v>
      </c>
      <c r="N633" t="s">
        <v>36</v>
      </c>
      <c r="O633" t="s">
        <v>33</v>
      </c>
      <c r="R633" t="s">
        <v>61</v>
      </c>
      <c r="U633" t="e">
        <f>VLOOKUP(A633,#REF!,6,FALSE)</f>
        <v>#REF!</v>
      </c>
    </row>
    <row r="634" spans="1:21" x14ac:dyDescent="0.25">
      <c r="A634">
        <v>1302</v>
      </c>
      <c r="B634" s="9" t="s">
        <v>58</v>
      </c>
      <c r="C634" s="19" t="s">
        <v>157</v>
      </c>
      <c r="D634" s="6">
        <v>45687</v>
      </c>
      <c r="E634" s="7">
        <v>45687.392500000002</v>
      </c>
      <c r="F634" t="s">
        <v>424</v>
      </c>
      <c r="I634" t="s">
        <v>424</v>
      </c>
      <c r="J634" s="11"/>
      <c r="K634" s="11">
        <v>-1.6</v>
      </c>
      <c r="L634" s="4">
        <f t="shared" si="16"/>
        <v>-1.6</v>
      </c>
      <c r="M634" t="s">
        <v>38</v>
      </c>
      <c r="N634" t="s">
        <v>36</v>
      </c>
      <c r="O634" t="s">
        <v>33</v>
      </c>
      <c r="R634" t="s">
        <v>61</v>
      </c>
      <c r="U634" t="e">
        <f>VLOOKUP(A634,#REF!,6,FALSE)</f>
        <v>#REF!</v>
      </c>
    </row>
    <row r="635" spans="1:21" x14ac:dyDescent="0.25">
      <c r="A635">
        <v>1303</v>
      </c>
      <c r="B635" s="9" t="s">
        <v>58</v>
      </c>
      <c r="C635" s="19" t="s">
        <v>157</v>
      </c>
      <c r="D635" s="6">
        <v>45687</v>
      </c>
      <c r="E635" s="7">
        <v>45687.549108796295</v>
      </c>
      <c r="F635" t="s">
        <v>425</v>
      </c>
      <c r="I635" t="s">
        <v>425</v>
      </c>
      <c r="J635" s="11"/>
      <c r="K635" s="11">
        <v>-2.85</v>
      </c>
      <c r="L635" s="4">
        <f t="shared" si="16"/>
        <v>-2.85</v>
      </c>
      <c r="M635" t="s">
        <v>38</v>
      </c>
      <c r="N635" t="s">
        <v>36</v>
      </c>
      <c r="O635" t="s">
        <v>33</v>
      </c>
      <c r="R635" t="s">
        <v>61</v>
      </c>
      <c r="U635" t="e">
        <f>VLOOKUP(A635,#REF!,6,FALSE)</f>
        <v>#REF!</v>
      </c>
    </row>
    <row r="636" spans="1:21" x14ac:dyDescent="0.25">
      <c r="A636">
        <v>1304</v>
      </c>
      <c r="B636" s="9" t="s">
        <v>58</v>
      </c>
      <c r="C636" s="19" t="s">
        <v>157</v>
      </c>
      <c r="D636" s="6">
        <v>45688</v>
      </c>
      <c r="E636" s="7">
        <v>45688.541898148149</v>
      </c>
      <c r="F636" t="s">
        <v>420</v>
      </c>
      <c r="I636" t="s">
        <v>420</v>
      </c>
      <c r="J636" s="11"/>
      <c r="K636" s="11">
        <v>-2.2599999999999998</v>
      </c>
      <c r="L636" s="4">
        <f t="shared" si="16"/>
        <v>-2.2599999999999998</v>
      </c>
      <c r="M636" t="s">
        <v>38</v>
      </c>
      <c r="N636" t="s">
        <v>36</v>
      </c>
      <c r="O636" t="s">
        <v>33</v>
      </c>
      <c r="R636" t="s">
        <v>61</v>
      </c>
      <c r="U636" t="e">
        <f>VLOOKUP(A636,#REF!,6,FALSE)</f>
        <v>#REF!</v>
      </c>
    </row>
    <row r="637" spans="1:21" x14ac:dyDescent="0.25">
      <c r="A637">
        <v>1305</v>
      </c>
      <c r="B637" s="9" t="s">
        <v>58</v>
      </c>
      <c r="C637" s="19" t="s">
        <v>157</v>
      </c>
      <c r="D637" s="6">
        <v>45688</v>
      </c>
      <c r="E637" s="7">
        <v>45688.544849537036</v>
      </c>
      <c r="F637" t="s">
        <v>425</v>
      </c>
      <c r="I637" t="s">
        <v>425</v>
      </c>
      <c r="J637" s="11"/>
      <c r="K637" s="11">
        <v>-3.55</v>
      </c>
      <c r="L637" s="4">
        <f t="shared" si="16"/>
        <v>-3.55</v>
      </c>
      <c r="M637" t="s">
        <v>38</v>
      </c>
      <c r="N637" t="s">
        <v>36</v>
      </c>
      <c r="O637" t="s">
        <v>33</v>
      </c>
      <c r="R637" t="s">
        <v>61</v>
      </c>
      <c r="U637" t="e">
        <f>VLOOKUP(A637,#REF!,6,FALSE)</f>
        <v>#REF!</v>
      </c>
    </row>
    <row r="638" spans="1:21" x14ac:dyDescent="0.25">
      <c r="A638">
        <v>1306</v>
      </c>
      <c r="B638" s="9" t="s">
        <v>58</v>
      </c>
      <c r="C638" s="19" t="s">
        <v>157</v>
      </c>
      <c r="D638" s="6">
        <v>45689</v>
      </c>
      <c r="E638" s="7">
        <v>45689.559942129628</v>
      </c>
      <c r="F638" t="s">
        <v>426</v>
      </c>
      <c r="I638" t="s">
        <v>426</v>
      </c>
      <c r="J638" s="11"/>
      <c r="K638" s="11">
        <v>-18.100000000000001</v>
      </c>
      <c r="L638" s="4">
        <f t="shared" si="16"/>
        <v>-18.100000000000001</v>
      </c>
      <c r="M638" t="s">
        <v>47</v>
      </c>
      <c r="N638" t="s">
        <v>36</v>
      </c>
      <c r="O638" t="s">
        <v>33</v>
      </c>
      <c r="R638" t="s">
        <v>466</v>
      </c>
      <c r="U638" t="e">
        <f>VLOOKUP(A638,#REF!,6,FALSE)</f>
        <v>#REF!</v>
      </c>
    </row>
    <row r="639" spans="1:21" x14ac:dyDescent="0.25">
      <c r="A639">
        <v>1307</v>
      </c>
      <c r="B639" s="9" t="s">
        <v>58</v>
      </c>
      <c r="C639" s="19" t="s">
        <v>157</v>
      </c>
      <c r="D639" s="6">
        <v>45690</v>
      </c>
      <c r="E639" s="7">
        <v>45690.396319444444</v>
      </c>
      <c r="F639" t="s">
        <v>191</v>
      </c>
      <c r="I639" t="s">
        <v>191</v>
      </c>
      <c r="J639" s="11"/>
      <c r="K639" s="11">
        <v>-2.99</v>
      </c>
      <c r="L639" s="4">
        <f t="shared" si="16"/>
        <v>-2.99</v>
      </c>
      <c r="M639" t="s">
        <v>194</v>
      </c>
      <c r="N639" t="s">
        <v>36</v>
      </c>
      <c r="O639" t="s">
        <v>33</v>
      </c>
      <c r="R639" t="s">
        <v>461</v>
      </c>
      <c r="U639" t="e">
        <f>VLOOKUP(A639,#REF!,6,FALSE)</f>
        <v>#REF!</v>
      </c>
    </row>
    <row r="640" spans="1:21" x14ac:dyDescent="0.25">
      <c r="A640">
        <v>1308</v>
      </c>
      <c r="B640" s="9" t="s">
        <v>58</v>
      </c>
      <c r="C640" s="19" t="s">
        <v>157</v>
      </c>
      <c r="D640" s="6">
        <v>45692</v>
      </c>
      <c r="E640" s="7">
        <v>45692.33965277778</v>
      </c>
      <c r="F640" t="s">
        <v>427</v>
      </c>
      <c r="G640" t="s">
        <v>428</v>
      </c>
      <c r="I640" t="s">
        <v>282</v>
      </c>
      <c r="J640" s="11"/>
      <c r="K640" s="11">
        <v>-7.19</v>
      </c>
      <c r="L640" s="4">
        <f t="shared" si="16"/>
        <v>-7.19</v>
      </c>
      <c r="N640" t="s">
        <v>283</v>
      </c>
      <c r="O640" t="s">
        <v>33</v>
      </c>
      <c r="R640" t="s">
        <v>453</v>
      </c>
      <c r="U640" t="e">
        <f>VLOOKUP(A640,#REF!,6,FALSE)</f>
        <v>#REF!</v>
      </c>
    </row>
    <row r="641" spans="1:21" x14ac:dyDescent="0.25">
      <c r="A641">
        <v>1309</v>
      </c>
      <c r="B641" s="9" t="s">
        <v>58</v>
      </c>
      <c r="C641" s="19" t="s">
        <v>157</v>
      </c>
      <c r="D641" s="6">
        <v>45692</v>
      </c>
      <c r="E641" s="7">
        <v>45692.390567129631</v>
      </c>
      <c r="F641" t="s">
        <v>429</v>
      </c>
      <c r="I641" t="s">
        <v>429</v>
      </c>
      <c r="J641" s="11"/>
      <c r="K641" s="11">
        <v>-1.8</v>
      </c>
      <c r="L641" s="4">
        <f t="shared" si="16"/>
        <v>-1.8</v>
      </c>
      <c r="M641" t="s">
        <v>38</v>
      </c>
      <c r="N641" t="s">
        <v>36</v>
      </c>
      <c r="O641" t="s">
        <v>33</v>
      </c>
      <c r="R641" t="s">
        <v>61</v>
      </c>
      <c r="U641" t="e">
        <f>VLOOKUP(A641,#REF!,6,FALSE)</f>
        <v>#REF!</v>
      </c>
    </row>
    <row r="642" spans="1:21" x14ac:dyDescent="0.25">
      <c r="A642">
        <v>1310</v>
      </c>
      <c r="B642" s="9" t="s">
        <v>58</v>
      </c>
      <c r="C642" s="19" t="s">
        <v>157</v>
      </c>
      <c r="D642" s="6">
        <v>45692</v>
      </c>
      <c r="E642" s="7">
        <v>45692.405115740738</v>
      </c>
      <c r="F642" t="s">
        <v>430</v>
      </c>
      <c r="I642" t="s">
        <v>430</v>
      </c>
      <c r="J642" s="11"/>
      <c r="K642" s="11">
        <v>-4.2</v>
      </c>
      <c r="L642" s="4">
        <f t="shared" si="16"/>
        <v>-4.2</v>
      </c>
      <c r="M642" t="s">
        <v>38</v>
      </c>
      <c r="N642" t="s">
        <v>36</v>
      </c>
      <c r="O642" t="s">
        <v>33</v>
      </c>
      <c r="R642" t="s">
        <v>61</v>
      </c>
      <c r="U642" t="e">
        <f>VLOOKUP(A642,#REF!,6,FALSE)</f>
        <v>#REF!</v>
      </c>
    </row>
    <row r="643" spans="1:21" x14ac:dyDescent="0.25">
      <c r="A643">
        <v>1311</v>
      </c>
      <c r="B643" s="9" t="s">
        <v>58</v>
      </c>
      <c r="C643" s="19" t="s">
        <v>157</v>
      </c>
      <c r="D643" s="6">
        <v>45692</v>
      </c>
      <c r="E643" s="7">
        <v>45692.549988425926</v>
      </c>
      <c r="F643" t="s">
        <v>413</v>
      </c>
      <c r="I643" t="s">
        <v>413</v>
      </c>
      <c r="J643" s="11"/>
      <c r="K643" s="11">
        <v>-6.45</v>
      </c>
      <c r="L643" s="4">
        <f t="shared" si="16"/>
        <v>-6.45</v>
      </c>
      <c r="M643" t="s">
        <v>38</v>
      </c>
      <c r="N643" t="s">
        <v>36</v>
      </c>
      <c r="O643" t="s">
        <v>33</v>
      </c>
      <c r="R643" t="s">
        <v>61</v>
      </c>
      <c r="U643" t="e">
        <f>VLOOKUP(A643,#REF!,6,FALSE)</f>
        <v>#REF!</v>
      </c>
    </row>
    <row r="644" spans="1:21" x14ac:dyDescent="0.25">
      <c r="A644">
        <v>1312</v>
      </c>
      <c r="B644" s="9" t="s">
        <v>58</v>
      </c>
      <c r="C644" s="19" t="s">
        <v>157</v>
      </c>
      <c r="D644" s="6">
        <v>45693</v>
      </c>
      <c r="E644" s="7">
        <v>45693.410740740743</v>
      </c>
      <c r="F644" t="s">
        <v>431</v>
      </c>
      <c r="I644" t="s">
        <v>431</v>
      </c>
      <c r="J644" s="11"/>
      <c r="K644" s="11">
        <v>-2.95</v>
      </c>
      <c r="L644" s="4">
        <f t="shared" si="16"/>
        <v>-2.95</v>
      </c>
      <c r="M644" t="s">
        <v>38</v>
      </c>
      <c r="N644" t="s">
        <v>36</v>
      </c>
      <c r="O644" t="s">
        <v>33</v>
      </c>
      <c r="P644" t="s">
        <v>48</v>
      </c>
      <c r="R644" t="s">
        <v>61</v>
      </c>
      <c r="U644" t="e">
        <f>VLOOKUP(A644,#REF!,6,FALSE)</f>
        <v>#REF!</v>
      </c>
    </row>
    <row r="645" spans="1:21" x14ac:dyDescent="0.25">
      <c r="A645">
        <v>1313</v>
      </c>
      <c r="B645" s="9" t="s">
        <v>58</v>
      </c>
      <c r="C645" s="19" t="s">
        <v>157</v>
      </c>
      <c r="D645" s="6">
        <v>45693</v>
      </c>
      <c r="E645" s="7">
        <v>45693.558287037034</v>
      </c>
      <c r="F645" t="s">
        <v>413</v>
      </c>
      <c r="I645" t="s">
        <v>413</v>
      </c>
      <c r="J645" s="11"/>
      <c r="K645" s="11">
        <v>-4.99</v>
      </c>
      <c r="L645" s="4">
        <f t="shared" si="16"/>
        <v>-4.99</v>
      </c>
      <c r="M645" t="s">
        <v>38</v>
      </c>
      <c r="N645" t="s">
        <v>36</v>
      </c>
      <c r="O645" t="s">
        <v>33</v>
      </c>
      <c r="P645" t="s">
        <v>48</v>
      </c>
      <c r="R645" t="s">
        <v>61</v>
      </c>
      <c r="U645" t="e">
        <f>VLOOKUP(A645,#REF!,6,FALSE)</f>
        <v>#REF!</v>
      </c>
    </row>
    <row r="646" spans="1:21" x14ac:dyDescent="0.25">
      <c r="A646">
        <v>1314</v>
      </c>
      <c r="B646" s="9" t="s">
        <v>58</v>
      </c>
      <c r="C646" s="19" t="s">
        <v>157</v>
      </c>
      <c r="D646" s="6">
        <v>45693</v>
      </c>
      <c r="E646" s="7">
        <v>45693.602592592593</v>
      </c>
      <c r="F646" t="s">
        <v>18</v>
      </c>
      <c r="I646" t="s">
        <v>18</v>
      </c>
      <c r="J646" s="11"/>
      <c r="K646" s="11">
        <v>-1.75</v>
      </c>
      <c r="L646" s="4">
        <f t="shared" si="16"/>
        <v>-1.75</v>
      </c>
      <c r="M646" t="s">
        <v>9</v>
      </c>
      <c r="N646" t="s">
        <v>36</v>
      </c>
      <c r="O646" t="s">
        <v>33</v>
      </c>
      <c r="R646" t="s">
        <v>9</v>
      </c>
      <c r="U646" t="e">
        <f>VLOOKUP(A646,#REF!,6,FALSE)</f>
        <v>#REF!</v>
      </c>
    </row>
    <row r="647" spans="1:21" x14ac:dyDescent="0.25">
      <c r="A647">
        <v>1315</v>
      </c>
      <c r="B647" s="9" t="s">
        <v>58</v>
      </c>
      <c r="C647" s="19" t="s">
        <v>157</v>
      </c>
      <c r="D647" s="6">
        <v>45694</v>
      </c>
      <c r="E647" s="7">
        <v>45694.395300925928</v>
      </c>
      <c r="F647" t="s">
        <v>432</v>
      </c>
      <c r="I647" t="s">
        <v>432</v>
      </c>
      <c r="J647" s="11"/>
      <c r="K647" s="11">
        <v>-1.29</v>
      </c>
      <c r="L647" s="4">
        <f t="shared" si="16"/>
        <v>-1.29</v>
      </c>
      <c r="M647" t="s">
        <v>38</v>
      </c>
      <c r="N647" t="s">
        <v>36</v>
      </c>
      <c r="O647" t="s">
        <v>33</v>
      </c>
      <c r="R647" t="s">
        <v>61</v>
      </c>
      <c r="U647" t="e">
        <f>VLOOKUP(A647,#REF!,6,FALSE)</f>
        <v>#REF!</v>
      </c>
    </row>
    <row r="648" spans="1:21" x14ac:dyDescent="0.25">
      <c r="A648">
        <v>1316</v>
      </c>
      <c r="B648" s="9" t="s">
        <v>58</v>
      </c>
      <c r="C648" s="19" t="s">
        <v>157</v>
      </c>
      <c r="D648" s="6">
        <v>45694</v>
      </c>
      <c r="E648" s="7">
        <v>45694.629074074073</v>
      </c>
      <c r="F648" t="s">
        <v>18</v>
      </c>
      <c r="I648" t="s">
        <v>18</v>
      </c>
      <c r="J648" s="11"/>
      <c r="K648" s="11">
        <v>-5.5</v>
      </c>
      <c r="L648" s="4">
        <f t="shared" si="16"/>
        <v>-5.5</v>
      </c>
      <c r="M648" t="s">
        <v>9</v>
      </c>
      <c r="N648" t="s">
        <v>36</v>
      </c>
      <c r="O648" t="s">
        <v>33</v>
      </c>
      <c r="R648" t="s">
        <v>9</v>
      </c>
      <c r="U648" t="e">
        <f>VLOOKUP(A648,#REF!,6,FALSE)</f>
        <v>#REF!</v>
      </c>
    </row>
    <row r="649" spans="1:21" x14ac:dyDescent="0.25">
      <c r="A649">
        <v>1221</v>
      </c>
      <c r="B649" s="9" t="s">
        <v>58</v>
      </c>
      <c r="C649" s="19" t="s">
        <v>157</v>
      </c>
      <c r="D649" s="6">
        <v>45632</v>
      </c>
      <c r="E649" s="14">
        <v>45632.046620370369</v>
      </c>
      <c r="F649" t="s">
        <v>371</v>
      </c>
      <c r="G649" t="s">
        <v>372</v>
      </c>
      <c r="H649" t="s">
        <v>373</v>
      </c>
      <c r="J649" s="11">
        <v>400</v>
      </c>
      <c r="K649" s="11"/>
      <c r="L649" s="4">
        <f t="shared" ref="L649:L681" si="17">J649+K649</f>
        <v>400</v>
      </c>
      <c r="M649" t="s">
        <v>7</v>
      </c>
      <c r="N649" t="s">
        <v>37</v>
      </c>
      <c r="O649" t="s">
        <v>33</v>
      </c>
      <c r="R649" t="s">
        <v>7</v>
      </c>
      <c r="U649" t="e">
        <f>VLOOKUP(A649,#REF!,6,FALSE)</f>
        <v>#REF!</v>
      </c>
    </row>
    <row r="650" spans="1:21" x14ac:dyDescent="0.25">
      <c r="A650">
        <v>1318</v>
      </c>
      <c r="B650" s="9" t="s">
        <v>58</v>
      </c>
      <c r="C650" s="19" t="s">
        <v>157</v>
      </c>
      <c r="D650" s="6">
        <v>45694</v>
      </c>
      <c r="E650" s="7">
        <v>45694.808194444442</v>
      </c>
      <c r="F650" t="s">
        <v>148</v>
      </c>
      <c r="G650" t="s">
        <v>149</v>
      </c>
      <c r="I650" t="s">
        <v>31</v>
      </c>
      <c r="J650" s="11"/>
      <c r="K650" s="11">
        <v>-1200</v>
      </c>
      <c r="L650" s="4">
        <f t="shared" si="17"/>
        <v>-1200</v>
      </c>
      <c r="N650" t="s">
        <v>32</v>
      </c>
      <c r="O650" t="s">
        <v>33</v>
      </c>
      <c r="R650" t="s">
        <v>6</v>
      </c>
      <c r="U650" t="e">
        <f>VLOOKUP(A650,#REF!,6,FALSE)</f>
        <v>#REF!</v>
      </c>
    </row>
    <row r="651" spans="1:21" x14ac:dyDescent="0.25">
      <c r="A651">
        <v>1319</v>
      </c>
      <c r="B651" s="9" t="s">
        <v>58</v>
      </c>
      <c r="C651" s="19" t="s">
        <v>157</v>
      </c>
      <c r="D651" s="6">
        <v>45695</v>
      </c>
      <c r="E651" s="7">
        <v>45695.581562500003</v>
      </c>
      <c r="F651" t="s">
        <v>148</v>
      </c>
      <c r="G651" t="s">
        <v>149</v>
      </c>
      <c r="I651" t="s">
        <v>31</v>
      </c>
      <c r="J651" s="11"/>
      <c r="K651" s="11">
        <v>-1500</v>
      </c>
      <c r="L651" s="4">
        <f t="shared" si="17"/>
        <v>-1500</v>
      </c>
      <c r="N651" t="s">
        <v>32</v>
      </c>
      <c r="O651" t="s">
        <v>33</v>
      </c>
      <c r="R651" t="s">
        <v>6</v>
      </c>
      <c r="U651" t="e">
        <f>VLOOKUP(A651,#REF!,6,FALSE)</f>
        <v>#REF!</v>
      </c>
    </row>
    <row r="652" spans="1:21" x14ac:dyDescent="0.25">
      <c r="A652">
        <v>1320</v>
      </c>
      <c r="B652" s="9" t="s">
        <v>58</v>
      </c>
      <c r="C652" s="19" t="s">
        <v>157</v>
      </c>
      <c r="D652" s="6">
        <v>45695</v>
      </c>
      <c r="E652" s="7">
        <v>45695.58866898148</v>
      </c>
      <c r="F652" t="s">
        <v>18</v>
      </c>
      <c r="I652" t="s">
        <v>18</v>
      </c>
      <c r="J652" s="11"/>
      <c r="K652" s="11">
        <v>-7.25</v>
      </c>
      <c r="L652" s="4">
        <f t="shared" si="17"/>
        <v>-7.25</v>
      </c>
      <c r="M652" t="s">
        <v>9</v>
      </c>
      <c r="N652" t="s">
        <v>36</v>
      </c>
      <c r="O652" t="s">
        <v>33</v>
      </c>
      <c r="R652" t="s">
        <v>9</v>
      </c>
      <c r="U652" t="e">
        <f>VLOOKUP(A652,#REF!,6,FALSE)</f>
        <v>#REF!</v>
      </c>
    </row>
    <row r="653" spans="1:21" x14ac:dyDescent="0.25">
      <c r="A653">
        <v>1321</v>
      </c>
      <c r="B653" s="9" t="s">
        <v>58</v>
      </c>
      <c r="C653" s="19" t="s">
        <v>157</v>
      </c>
      <c r="D653" s="6">
        <v>45696</v>
      </c>
      <c r="E653" s="7">
        <v>45696.129745370374</v>
      </c>
      <c r="F653" t="s">
        <v>18</v>
      </c>
      <c r="I653" t="s">
        <v>18</v>
      </c>
      <c r="J653" s="11"/>
      <c r="K653" s="11">
        <v>-3</v>
      </c>
      <c r="L653" s="4">
        <f t="shared" si="17"/>
        <v>-3</v>
      </c>
      <c r="M653" t="s">
        <v>9</v>
      </c>
      <c r="N653" t="s">
        <v>36</v>
      </c>
      <c r="O653" t="s">
        <v>33</v>
      </c>
      <c r="R653" t="s">
        <v>9</v>
      </c>
      <c r="U653" t="e">
        <f>VLOOKUP(A653,#REF!,6,FALSE)</f>
        <v>#REF!</v>
      </c>
    </row>
    <row r="654" spans="1:21" x14ac:dyDescent="0.25">
      <c r="A654">
        <v>1322</v>
      </c>
      <c r="B654" s="9" t="s">
        <v>58</v>
      </c>
      <c r="C654" s="19" t="s">
        <v>157</v>
      </c>
      <c r="D654" s="6">
        <v>45698</v>
      </c>
      <c r="E654" s="7">
        <v>45698.350115740737</v>
      </c>
      <c r="F654" t="s">
        <v>424</v>
      </c>
      <c r="I654" t="s">
        <v>424</v>
      </c>
      <c r="J654" s="11"/>
      <c r="K654" s="11">
        <v>-4.45</v>
      </c>
      <c r="L654" s="4">
        <f t="shared" si="17"/>
        <v>-4.45</v>
      </c>
      <c r="M654" t="s">
        <v>38</v>
      </c>
      <c r="N654" t="s">
        <v>36</v>
      </c>
      <c r="O654" t="s">
        <v>33</v>
      </c>
      <c r="R654" t="s">
        <v>61</v>
      </c>
      <c r="U654" t="e">
        <f>VLOOKUP(A654,#REF!,6,FALSE)</f>
        <v>#REF!</v>
      </c>
    </row>
    <row r="655" spans="1:21" x14ac:dyDescent="0.25">
      <c r="A655">
        <v>1323</v>
      </c>
      <c r="B655" s="9" t="s">
        <v>58</v>
      </c>
      <c r="C655" s="19" t="s">
        <v>157</v>
      </c>
      <c r="D655" s="6">
        <v>45698</v>
      </c>
      <c r="E655" s="7">
        <v>45698.391168981485</v>
      </c>
      <c r="F655" t="s">
        <v>436</v>
      </c>
      <c r="I655" t="s">
        <v>436</v>
      </c>
      <c r="J655" s="11"/>
      <c r="K655" s="11">
        <v>-3.9</v>
      </c>
      <c r="L655" s="4">
        <f t="shared" si="17"/>
        <v>-3.9</v>
      </c>
      <c r="M655" t="s">
        <v>38</v>
      </c>
      <c r="N655" t="s">
        <v>36</v>
      </c>
      <c r="O655" t="s">
        <v>33</v>
      </c>
      <c r="R655" t="s">
        <v>61</v>
      </c>
      <c r="U655" t="e">
        <f>VLOOKUP(A655,#REF!,6,FALSE)</f>
        <v>#REF!</v>
      </c>
    </row>
    <row r="656" spans="1:21" x14ac:dyDescent="0.25">
      <c r="A656">
        <v>1324</v>
      </c>
      <c r="B656" s="9" t="s">
        <v>58</v>
      </c>
      <c r="C656" s="19" t="s">
        <v>157</v>
      </c>
      <c r="D656" s="6">
        <v>45699</v>
      </c>
      <c r="E656" s="7">
        <v>45699.125625000001</v>
      </c>
      <c r="F656" t="s">
        <v>437</v>
      </c>
      <c r="G656" t="s">
        <v>438</v>
      </c>
      <c r="I656" t="s">
        <v>237</v>
      </c>
      <c r="J656" s="11"/>
      <c r="K656" s="11">
        <v>-78.59</v>
      </c>
      <c r="L656" s="4">
        <f t="shared" si="17"/>
        <v>-78.59</v>
      </c>
      <c r="M656" t="s">
        <v>43</v>
      </c>
      <c r="N656" t="s">
        <v>238</v>
      </c>
      <c r="O656" t="s">
        <v>33</v>
      </c>
      <c r="R656" t="s">
        <v>12</v>
      </c>
      <c r="U656" t="e">
        <f>VLOOKUP(A656,#REF!,6,FALSE)</f>
        <v>#REF!</v>
      </c>
    </row>
    <row r="657" spans="1:21" x14ac:dyDescent="0.25">
      <c r="A657">
        <v>1325</v>
      </c>
      <c r="B657" s="9" t="s">
        <v>58</v>
      </c>
      <c r="C657" s="19" t="s">
        <v>157</v>
      </c>
      <c r="D657" s="6">
        <v>45699</v>
      </c>
      <c r="E657" s="7">
        <v>45699.51258101852</v>
      </c>
      <c r="F657" t="s">
        <v>18</v>
      </c>
      <c r="I657" t="s">
        <v>18</v>
      </c>
      <c r="J657" s="11"/>
      <c r="K657" s="11">
        <v>-10</v>
      </c>
      <c r="L657" s="4">
        <f t="shared" si="17"/>
        <v>-10</v>
      </c>
      <c r="M657" t="s">
        <v>9</v>
      </c>
      <c r="N657" t="s">
        <v>36</v>
      </c>
      <c r="O657" t="s">
        <v>33</v>
      </c>
      <c r="R657" t="s">
        <v>9</v>
      </c>
      <c r="U657" t="e">
        <f>VLOOKUP(A657,#REF!,6,FALSE)</f>
        <v>#REF!</v>
      </c>
    </row>
    <row r="658" spans="1:21" x14ac:dyDescent="0.25">
      <c r="A658">
        <v>1326</v>
      </c>
      <c r="B658" s="9" t="s">
        <v>58</v>
      </c>
      <c r="C658" s="19" t="s">
        <v>157</v>
      </c>
      <c r="D658" s="6">
        <v>45700</v>
      </c>
      <c r="E658" s="7">
        <v>45700.394733796296</v>
      </c>
      <c r="F658" t="s">
        <v>431</v>
      </c>
      <c r="I658" t="s">
        <v>431</v>
      </c>
      <c r="J658" s="11"/>
      <c r="K658" s="11">
        <v>-2.95</v>
      </c>
      <c r="L658" s="4">
        <f t="shared" si="17"/>
        <v>-2.95</v>
      </c>
      <c r="M658" t="s">
        <v>38</v>
      </c>
      <c r="N658" t="s">
        <v>36</v>
      </c>
      <c r="O658" t="s">
        <v>33</v>
      </c>
      <c r="R658" t="s">
        <v>61</v>
      </c>
      <c r="U658" t="e">
        <f>VLOOKUP(A658,#REF!,6,FALSE)</f>
        <v>#REF!</v>
      </c>
    </row>
    <row r="659" spans="1:21" x14ac:dyDescent="0.25">
      <c r="A659">
        <v>1327</v>
      </c>
      <c r="B659" s="9" t="s">
        <v>58</v>
      </c>
      <c r="C659" s="19" t="s">
        <v>157</v>
      </c>
      <c r="D659" s="6">
        <v>45700</v>
      </c>
      <c r="E659" s="7">
        <v>45700.563217592593</v>
      </c>
      <c r="F659" t="s">
        <v>413</v>
      </c>
      <c r="I659" t="s">
        <v>413</v>
      </c>
      <c r="J659" s="11"/>
      <c r="K659" s="11">
        <v>-6.3</v>
      </c>
      <c r="L659" s="4">
        <f t="shared" si="17"/>
        <v>-6.3</v>
      </c>
      <c r="M659" t="s">
        <v>38</v>
      </c>
      <c r="N659" t="s">
        <v>36</v>
      </c>
      <c r="O659" t="s">
        <v>33</v>
      </c>
      <c r="R659" t="s">
        <v>61</v>
      </c>
      <c r="U659" t="e">
        <f>VLOOKUP(A659,#REF!,6,FALSE)</f>
        <v>#REF!</v>
      </c>
    </row>
    <row r="660" spans="1:21" x14ac:dyDescent="0.25">
      <c r="A660">
        <v>1328</v>
      </c>
      <c r="B660" s="9" t="s">
        <v>58</v>
      </c>
      <c r="C660" s="19" t="s">
        <v>157</v>
      </c>
      <c r="D660" s="6">
        <v>45701</v>
      </c>
      <c r="E660" s="7">
        <v>45701.639687499999</v>
      </c>
      <c r="F660" t="s">
        <v>18</v>
      </c>
      <c r="I660" t="s">
        <v>18</v>
      </c>
      <c r="J660" s="11"/>
      <c r="K660" s="11">
        <v>-1.75</v>
      </c>
      <c r="L660" s="4">
        <f t="shared" si="17"/>
        <v>-1.75</v>
      </c>
      <c r="M660" t="s">
        <v>9</v>
      </c>
      <c r="N660" t="s">
        <v>36</v>
      </c>
      <c r="O660" t="s">
        <v>33</v>
      </c>
      <c r="R660" t="s">
        <v>9</v>
      </c>
      <c r="U660" t="e">
        <f>VLOOKUP(A660,#REF!,6,FALSE)</f>
        <v>#REF!</v>
      </c>
    </row>
    <row r="661" spans="1:21" x14ac:dyDescent="0.25">
      <c r="A661">
        <v>1329</v>
      </c>
      <c r="B661" s="9" t="s">
        <v>58</v>
      </c>
      <c r="C661" s="19" t="s">
        <v>157</v>
      </c>
      <c r="D661" s="6">
        <v>45702</v>
      </c>
      <c r="E661" s="7">
        <v>45702.045324074075</v>
      </c>
      <c r="F661" t="s">
        <v>439</v>
      </c>
      <c r="G661" t="s">
        <v>440</v>
      </c>
      <c r="H661" t="s">
        <v>408</v>
      </c>
      <c r="J661" s="11">
        <v>1450</v>
      </c>
      <c r="K661" s="11"/>
      <c r="L661" s="4">
        <f t="shared" si="17"/>
        <v>1450</v>
      </c>
      <c r="M661" t="s">
        <v>7</v>
      </c>
      <c r="N661" t="s">
        <v>37</v>
      </c>
      <c r="O661" t="s">
        <v>33</v>
      </c>
      <c r="R661" t="s">
        <v>7</v>
      </c>
      <c r="U661" t="e">
        <f>VLOOKUP(A661,#REF!,6,FALSE)</f>
        <v>#REF!</v>
      </c>
    </row>
    <row r="662" spans="1:21" x14ac:dyDescent="0.25">
      <c r="A662">
        <v>1216</v>
      </c>
      <c r="B662" s="9" t="s">
        <v>58</v>
      </c>
      <c r="C662" s="19" t="s">
        <v>157</v>
      </c>
      <c r="D662" s="6">
        <v>45631</v>
      </c>
      <c r="E662" s="14">
        <v>45631.306585648148</v>
      </c>
      <c r="F662" t="s">
        <v>366</v>
      </c>
      <c r="G662" t="s">
        <v>367</v>
      </c>
      <c r="J662" s="11">
        <v>0.98</v>
      </c>
      <c r="K662" s="11"/>
      <c r="L662" s="4">
        <f t="shared" si="17"/>
        <v>0.98</v>
      </c>
      <c r="M662" t="s">
        <v>7</v>
      </c>
      <c r="N662" t="s">
        <v>368</v>
      </c>
      <c r="O662" t="s">
        <v>33</v>
      </c>
      <c r="R662" t="s">
        <v>453</v>
      </c>
      <c r="U662" t="e">
        <f>VLOOKUP(A662,#REF!,6,FALSE)</f>
        <v>#REF!</v>
      </c>
    </row>
    <row r="663" spans="1:21" x14ac:dyDescent="0.25">
      <c r="A663">
        <v>1331</v>
      </c>
      <c r="B663" s="9" t="s">
        <v>58</v>
      </c>
      <c r="C663" s="19" t="s">
        <v>157</v>
      </c>
      <c r="D663" s="6">
        <v>45706</v>
      </c>
      <c r="E663" s="7">
        <v>45706.559664351851</v>
      </c>
      <c r="F663" t="s">
        <v>413</v>
      </c>
      <c r="I663" t="s">
        <v>413</v>
      </c>
      <c r="J663" s="11"/>
      <c r="K663" s="11">
        <v>-3.93</v>
      </c>
      <c r="L663" s="4">
        <f t="shared" si="17"/>
        <v>-3.93</v>
      </c>
      <c r="M663" t="s">
        <v>38</v>
      </c>
      <c r="N663" t="s">
        <v>36</v>
      </c>
      <c r="O663" t="s">
        <v>33</v>
      </c>
      <c r="R663" t="s">
        <v>61</v>
      </c>
      <c r="U663" t="e">
        <f>VLOOKUP(A663,#REF!,6,FALSE)</f>
        <v>#REF!</v>
      </c>
    </row>
    <row r="664" spans="1:21" x14ac:dyDescent="0.25">
      <c r="A664">
        <v>1332</v>
      </c>
      <c r="B664" s="9" t="s">
        <v>58</v>
      </c>
      <c r="C664" s="19" t="s">
        <v>157</v>
      </c>
      <c r="D664" s="6">
        <v>45706</v>
      </c>
      <c r="E664" s="7">
        <v>45706.561111111114</v>
      </c>
      <c r="F664" t="s">
        <v>430</v>
      </c>
      <c r="I664" t="s">
        <v>430</v>
      </c>
      <c r="J664" s="11"/>
      <c r="K664" s="11">
        <v>-4.6500000000000004</v>
      </c>
      <c r="L664" s="4">
        <f t="shared" si="17"/>
        <v>-4.6500000000000004</v>
      </c>
      <c r="M664" t="s">
        <v>38</v>
      </c>
      <c r="N664" t="s">
        <v>36</v>
      </c>
      <c r="O664" t="s">
        <v>33</v>
      </c>
      <c r="R664" t="s">
        <v>61</v>
      </c>
      <c r="U664" t="e">
        <f>VLOOKUP(A664,#REF!,6,FALSE)</f>
        <v>#REF!</v>
      </c>
    </row>
    <row r="665" spans="1:21" x14ac:dyDescent="0.25">
      <c r="A665">
        <v>1333</v>
      </c>
      <c r="B665" s="9" t="s">
        <v>58</v>
      </c>
      <c r="C665" s="19" t="s">
        <v>157</v>
      </c>
      <c r="D665" s="6">
        <v>45707</v>
      </c>
      <c r="E665" s="7">
        <v>45707.434791666667</v>
      </c>
      <c r="F665" t="s">
        <v>443</v>
      </c>
      <c r="G665" t="s">
        <v>443</v>
      </c>
      <c r="I665" t="s">
        <v>444</v>
      </c>
      <c r="J665" s="11"/>
      <c r="K665" s="11">
        <v>-2</v>
      </c>
      <c r="L665" s="4">
        <f t="shared" si="17"/>
        <v>-2</v>
      </c>
      <c r="M665" t="s">
        <v>186</v>
      </c>
      <c r="N665" t="s">
        <v>17</v>
      </c>
      <c r="O665" t="s">
        <v>33</v>
      </c>
      <c r="R665" s="3" t="s">
        <v>63</v>
      </c>
      <c r="U665" t="e">
        <f>VLOOKUP(A665,#REF!,6,FALSE)</f>
        <v>#REF!</v>
      </c>
    </row>
    <row r="666" spans="1:21" x14ac:dyDescent="0.25">
      <c r="A666">
        <v>1334</v>
      </c>
      <c r="B666" s="9" t="s">
        <v>58</v>
      </c>
      <c r="C666" s="19" t="s">
        <v>157</v>
      </c>
      <c r="D666" s="6">
        <v>45709</v>
      </c>
      <c r="E666" s="7">
        <v>45709.562604166669</v>
      </c>
      <c r="F666" t="s">
        <v>430</v>
      </c>
      <c r="I666" t="s">
        <v>430</v>
      </c>
      <c r="J666" s="11"/>
      <c r="K666" s="11">
        <v>-4.4000000000000004</v>
      </c>
      <c r="L666" s="4">
        <f t="shared" si="17"/>
        <v>-4.4000000000000004</v>
      </c>
      <c r="M666" t="s">
        <v>38</v>
      </c>
      <c r="N666" t="s">
        <v>36</v>
      </c>
      <c r="O666" t="s">
        <v>33</v>
      </c>
      <c r="R666" t="s">
        <v>61</v>
      </c>
      <c r="U666" t="e">
        <f>VLOOKUP(A666,#REF!,6,FALSE)</f>
        <v>#REF!</v>
      </c>
    </row>
    <row r="667" spans="1:21" x14ac:dyDescent="0.25">
      <c r="A667">
        <v>1335</v>
      </c>
      <c r="B667" s="9" t="s">
        <v>58</v>
      </c>
      <c r="C667" s="19" t="s">
        <v>157</v>
      </c>
      <c r="D667" s="6">
        <v>45710</v>
      </c>
      <c r="E667" s="7">
        <v>45710.284189814818</v>
      </c>
      <c r="F667" t="s">
        <v>18</v>
      </c>
      <c r="I667" t="s">
        <v>18</v>
      </c>
      <c r="J667" s="11"/>
      <c r="K667" s="11">
        <v>-6.2</v>
      </c>
      <c r="L667" s="4">
        <f t="shared" si="17"/>
        <v>-6.2</v>
      </c>
      <c r="M667" t="s">
        <v>9</v>
      </c>
      <c r="N667" t="s">
        <v>36</v>
      </c>
      <c r="O667" t="s">
        <v>33</v>
      </c>
      <c r="R667" t="s">
        <v>9</v>
      </c>
      <c r="U667" t="e">
        <f>VLOOKUP(A667,#REF!,6,FALSE)</f>
        <v>#REF!</v>
      </c>
    </row>
    <row r="668" spans="1:21" x14ac:dyDescent="0.25">
      <c r="A668">
        <v>1336</v>
      </c>
      <c r="B668" s="9" t="s">
        <v>58</v>
      </c>
      <c r="C668" s="19" t="s">
        <v>157</v>
      </c>
      <c r="D668" s="6">
        <v>45710</v>
      </c>
      <c r="E668" s="7">
        <v>45710.294872685183</v>
      </c>
      <c r="F668" t="s">
        <v>87</v>
      </c>
      <c r="I668" t="s">
        <v>87</v>
      </c>
      <c r="J668" s="11"/>
      <c r="K668" s="11">
        <v>-1.17</v>
      </c>
      <c r="L668" s="4">
        <f t="shared" si="17"/>
        <v>-1.17</v>
      </c>
      <c r="M668" t="s">
        <v>38</v>
      </c>
      <c r="N668" t="s">
        <v>36</v>
      </c>
      <c r="O668" t="s">
        <v>33</v>
      </c>
      <c r="R668" t="s">
        <v>61</v>
      </c>
      <c r="U668" t="e">
        <f>VLOOKUP(A668,#REF!,6,FALSE)</f>
        <v>#REF!</v>
      </c>
    </row>
    <row r="669" spans="1:21" x14ac:dyDescent="0.25">
      <c r="A669">
        <v>1337</v>
      </c>
      <c r="B669" s="9" t="s">
        <v>58</v>
      </c>
      <c r="C669" s="19" t="s">
        <v>157</v>
      </c>
      <c r="D669" s="6">
        <v>45710</v>
      </c>
      <c r="E669" s="7">
        <v>45710.383946759262</v>
      </c>
      <c r="F669" t="s">
        <v>445</v>
      </c>
      <c r="I669" t="s">
        <v>445</v>
      </c>
      <c r="J669" s="11"/>
      <c r="K669" s="11">
        <v>-3.75</v>
      </c>
      <c r="L669" s="4">
        <f t="shared" si="17"/>
        <v>-3.75</v>
      </c>
      <c r="M669" t="s">
        <v>47</v>
      </c>
      <c r="N669" t="s">
        <v>36</v>
      </c>
      <c r="O669" t="s">
        <v>33</v>
      </c>
      <c r="R669" t="s">
        <v>61</v>
      </c>
      <c r="U669" t="e">
        <f>VLOOKUP(A669,#REF!,6,FALSE)</f>
        <v>#REF!</v>
      </c>
    </row>
    <row r="670" spans="1:21" x14ac:dyDescent="0.25">
      <c r="A670">
        <v>1338</v>
      </c>
      <c r="B670" s="9" t="s">
        <v>58</v>
      </c>
      <c r="C670" s="19" t="s">
        <v>157</v>
      </c>
      <c r="D670" s="6">
        <v>45710</v>
      </c>
      <c r="E670" s="7">
        <v>45710.594768518517</v>
      </c>
      <c r="F670" t="s">
        <v>137</v>
      </c>
      <c r="I670" t="s">
        <v>137</v>
      </c>
      <c r="J670" s="11"/>
      <c r="K670" s="11">
        <v>-12.38</v>
      </c>
      <c r="L670" s="4">
        <f t="shared" si="17"/>
        <v>-12.38</v>
      </c>
      <c r="M670" t="s">
        <v>38</v>
      </c>
      <c r="N670" t="s">
        <v>36</v>
      </c>
      <c r="O670" t="s">
        <v>33</v>
      </c>
      <c r="R670" t="s">
        <v>61</v>
      </c>
      <c r="U670" t="e">
        <f>VLOOKUP(A670,#REF!,6,FALSE)</f>
        <v>#REF!</v>
      </c>
    </row>
    <row r="671" spans="1:21" x14ac:dyDescent="0.25">
      <c r="A671">
        <v>1339</v>
      </c>
      <c r="B671" s="9" t="s">
        <v>58</v>
      </c>
      <c r="C671" s="19" t="s">
        <v>157</v>
      </c>
      <c r="D671" s="6">
        <v>45711</v>
      </c>
      <c r="E671" s="7">
        <v>45711.324791666666</v>
      </c>
      <c r="F671" t="s">
        <v>446</v>
      </c>
      <c r="I671" t="s">
        <v>446</v>
      </c>
      <c r="J671" s="11"/>
      <c r="K671" s="11">
        <v>-4.8499999999999996</v>
      </c>
      <c r="L671" s="4">
        <f t="shared" si="17"/>
        <v>-4.8499999999999996</v>
      </c>
      <c r="M671" t="s">
        <v>38</v>
      </c>
      <c r="N671" t="s">
        <v>36</v>
      </c>
      <c r="O671" t="s">
        <v>33</v>
      </c>
      <c r="R671" t="s">
        <v>61</v>
      </c>
      <c r="U671" t="e">
        <f>VLOOKUP(A671,#REF!,6,FALSE)</f>
        <v>#REF!</v>
      </c>
    </row>
    <row r="672" spans="1:21" x14ac:dyDescent="0.25">
      <c r="A672">
        <v>1340</v>
      </c>
      <c r="B672" s="9" t="s">
        <v>58</v>
      </c>
      <c r="C672" s="19" t="s">
        <v>157</v>
      </c>
      <c r="D672" s="6">
        <v>45711</v>
      </c>
      <c r="E672" s="7">
        <v>45711.632777777777</v>
      </c>
      <c r="F672" t="s">
        <v>447</v>
      </c>
      <c r="I672" t="s">
        <v>447</v>
      </c>
      <c r="J672" s="11"/>
      <c r="K672" s="11">
        <v>-6.8</v>
      </c>
      <c r="L672" s="4">
        <f t="shared" si="17"/>
        <v>-6.8</v>
      </c>
      <c r="M672" t="s">
        <v>38</v>
      </c>
      <c r="N672" t="s">
        <v>36</v>
      </c>
      <c r="O672" t="s">
        <v>33</v>
      </c>
      <c r="R672" t="s">
        <v>61</v>
      </c>
      <c r="U672" t="e">
        <f>VLOOKUP(A672,#REF!,6,FALSE)</f>
        <v>#REF!</v>
      </c>
    </row>
    <row r="673" spans="1:21" x14ac:dyDescent="0.25">
      <c r="A673">
        <v>1341</v>
      </c>
      <c r="B673" s="9" t="s">
        <v>58</v>
      </c>
      <c r="C673" s="19" t="s">
        <v>157</v>
      </c>
      <c r="D673" s="6">
        <v>45712</v>
      </c>
      <c r="E673" s="7">
        <v>45712.353981481479</v>
      </c>
      <c r="F673" t="s">
        <v>18</v>
      </c>
      <c r="I673" t="s">
        <v>18</v>
      </c>
      <c r="J673" s="11"/>
      <c r="K673" s="11">
        <v>-8.1</v>
      </c>
      <c r="L673" s="4">
        <f t="shared" si="17"/>
        <v>-8.1</v>
      </c>
      <c r="M673" t="s">
        <v>9</v>
      </c>
      <c r="N673" t="s">
        <v>36</v>
      </c>
      <c r="O673" t="s">
        <v>33</v>
      </c>
      <c r="R673" t="s">
        <v>9</v>
      </c>
      <c r="U673" t="e">
        <f>VLOOKUP(A673,#REF!,6,FALSE)</f>
        <v>#REF!</v>
      </c>
    </row>
    <row r="674" spans="1:21" x14ac:dyDescent="0.25">
      <c r="A674">
        <v>1342</v>
      </c>
      <c r="B674" s="9" t="s">
        <v>58</v>
      </c>
      <c r="C674" s="19" t="s">
        <v>157</v>
      </c>
      <c r="D674" s="6">
        <v>45712</v>
      </c>
      <c r="E674" s="7">
        <v>45712.392800925925</v>
      </c>
      <c r="F674" t="s">
        <v>424</v>
      </c>
      <c r="I674" t="s">
        <v>424</v>
      </c>
      <c r="J674" s="11"/>
      <c r="K674" s="11">
        <v>-5.05</v>
      </c>
      <c r="L674" s="4">
        <f t="shared" si="17"/>
        <v>-5.05</v>
      </c>
      <c r="M674" t="s">
        <v>38</v>
      </c>
      <c r="N674" t="s">
        <v>36</v>
      </c>
      <c r="O674" t="s">
        <v>33</v>
      </c>
      <c r="R674" t="s">
        <v>61</v>
      </c>
      <c r="U674" t="e">
        <f>VLOOKUP(A674,#REF!,6,FALSE)</f>
        <v>#REF!</v>
      </c>
    </row>
    <row r="675" spans="1:21" x14ac:dyDescent="0.25">
      <c r="A675">
        <v>1343</v>
      </c>
      <c r="B675" s="9" t="s">
        <v>58</v>
      </c>
      <c r="C675" s="19" t="s">
        <v>157</v>
      </c>
      <c r="D675" s="6">
        <v>45712</v>
      </c>
      <c r="E675" s="7">
        <v>45712.554085648146</v>
      </c>
      <c r="F675" t="s">
        <v>413</v>
      </c>
      <c r="I675" t="s">
        <v>413</v>
      </c>
      <c r="J675" s="11"/>
      <c r="K675" s="11">
        <v>-2.9</v>
      </c>
      <c r="L675" s="4">
        <f t="shared" si="17"/>
        <v>-2.9</v>
      </c>
      <c r="M675" t="s">
        <v>38</v>
      </c>
      <c r="N675" t="s">
        <v>36</v>
      </c>
      <c r="O675" t="s">
        <v>33</v>
      </c>
      <c r="R675" t="s">
        <v>61</v>
      </c>
      <c r="U675" t="e">
        <f>VLOOKUP(A675,#REF!,6,FALSE)</f>
        <v>#REF!</v>
      </c>
    </row>
    <row r="676" spans="1:21" x14ac:dyDescent="0.25">
      <c r="A676">
        <v>1344</v>
      </c>
      <c r="B676" s="9" t="s">
        <v>58</v>
      </c>
      <c r="C676" s="19" t="s">
        <v>157</v>
      </c>
      <c r="D676" s="6">
        <v>45713</v>
      </c>
      <c r="E676" s="7">
        <v>45713.086469907408</v>
      </c>
      <c r="F676" t="s">
        <v>18</v>
      </c>
      <c r="I676" t="s">
        <v>18</v>
      </c>
      <c r="J676" s="11"/>
      <c r="K676" s="11">
        <v>-1.75</v>
      </c>
      <c r="L676" s="4">
        <f t="shared" si="17"/>
        <v>-1.75</v>
      </c>
      <c r="M676" t="s">
        <v>9</v>
      </c>
      <c r="N676" t="s">
        <v>36</v>
      </c>
      <c r="O676" t="s">
        <v>33</v>
      </c>
      <c r="R676" t="s">
        <v>9</v>
      </c>
      <c r="U676" t="e">
        <f>VLOOKUP(A676,#REF!,6,FALSE)</f>
        <v>#REF!</v>
      </c>
    </row>
    <row r="677" spans="1:21" x14ac:dyDescent="0.25">
      <c r="A677">
        <v>1345</v>
      </c>
      <c r="B677" s="9" t="s">
        <v>58</v>
      </c>
      <c r="C677" s="19" t="s">
        <v>157</v>
      </c>
      <c r="D677" s="6">
        <v>45713</v>
      </c>
      <c r="E677" s="7">
        <v>45713.562071759261</v>
      </c>
      <c r="F677" t="s">
        <v>430</v>
      </c>
      <c r="I677" t="s">
        <v>430</v>
      </c>
      <c r="J677" s="11"/>
      <c r="K677" s="11">
        <v>-4.2</v>
      </c>
      <c r="L677" s="4">
        <f t="shared" si="17"/>
        <v>-4.2</v>
      </c>
      <c r="M677" t="s">
        <v>38</v>
      </c>
      <c r="N677" t="s">
        <v>36</v>
      </c>
      <c r="O677" t="s">
        <v>33</v>
      </c>
      <c r="R677" t="s">
        <v>61</v>
      </c>
      <c r="U677" t="e">
        <f>VLOOKUP(A677,#REF!,6,FALSE)</f>
        <v>#REF!</v>
      </c>
    </row>
    <row r="678" spans="1:21" x14ac:dyDescent="0.25">
      <c r="A678">
        <v>1346</v>
      </c>
      <c r="B678" s="9" t="s">
        <v>58</v>
      </c>
      <c r="C678" s="19" t="s">
        <v>157</v>
      </c>
      <c r="D678" s="6">
        <v>45714</v>
      </c>
      <c r="E678" s="7">
        <v>45714.379861111112</v>
      </c>
      <c r="F678" t="s">
        <v>448</v>
      </c>
      <c r="I678" t="s">
        <v>448</v>
      </c>
      <c r="J678" s="11"/>
      <c r="K678" s="11">
        <v>-4.25</v>
      </c>
      <c r="L678" s="4">
        <f t="shared" si="17"/>
        <v>-4.25</v>
      </c>
      <c r="M678" t="s">
        <v>38</v>
      </c>
      <c r="N678" t="s">
        <v>36</v>
      </c>
      <c r="O678" t="s">
        <v>33</v>
      </c>
      <c r="R678" t="s">
        <v>61</v>
      </c>
      <c r="U678" t="e">
        <f>VLOOKUP(A678,#REF!,6,FALSE)</f>
        <v>#REF!</v>
      </c>
    </row>
    <row r="679" spans="1:21" x14ac:dyDescent="0.25">
      <c r="A679">
        <v>1347</v>
      </c>
      <c r="B679" s="9" t="s">
        <v>58</v>
      </c>
      <c r="C679" s="19" t="s">
        <v>157</v>
      </c>
      <c r="D679" s="6">
        <v>45714</v>
      </c>
      <c r="E679" s="7">
        <v>45714.545960648145</v>
      </c>
      <c r="F679" t="s">
        <v>420</v>
      </c>
      <c r="I679" t="s">
        <v>420</v>
      </c>
      <c r="J679" s="11"/>
      <c r="K679" s="11">
        <v>-2.78</v>
      </c>
      <c r="L679" s="4">
        <f t="shared" si="17"/>
        <v>-2.78</v>
      </c>
      <c r="M679" t="s">
        <v>38</v>
      </c>
      <c r="N679" t="s">
        <v>36</v>
      </c>
      <c r="O679" t="s">
        <v>33</v>
      </c>
      <c r="R679" t="s">
        <v>61</v>
      </c>
      <c r="U679" t="e">
        <f>VLOOKUP(A679,#REF!,6,FALSE)</f>
        <v>#REF!</v>
      </c>
    </row>
    <row r="680" spans="1:21" x14ac:dyDescent="0.25">
      <c r="A680">
        <v>1348</v>
      </c>
      <c r="B680" s="9" t="s">
        <v>58</v>
      </c>
      <c r="C680" s="19" t="s">
        <v>157</v>
      </c>
      <c r="D680" s="6">
        <v>45715</v>
      </c>
      <c r="E680" s="7">
        <v>45715.574293981481</v>
      </c>
      <c r="F680" t="s">
        <v>18</v>
      </c>
      <c r="I680" t="s">
        <v>18</v>
      </c>
      <c r="J680" s="11"/>
      <c r="K680" s="11">
        <v>-2.7</v>
      </c>
      <c r="L680" s="4">
        <f t="shared" si="17"/>
        <v>-2.7</v>
      </c>
      <c r="M680" t="s">
        <v>9</v>
      </c>
      <c r="N680" t="s">
        <v>36</v>
      </c>
      <c r="O680" t="s">
        <v>33</v>
      </c>
      <c r="R680" t="s">
        <v>9</v>
      </c>
      <c r="U680" t="e">
        <f>VLOOKUP(A680,#REF!,6,FALSE)</f>
        <v>#REF!</v>
      </c>
    </row>
    <row r="681" spans="1:21" x14ac:dyDescent="0.25">
      <c r="A681">
        <v>1349</v>
      </c>
      <c r="B681" s="9" t="s">
        <v>58</v>
      </c>
      <c r="C681" s="19" t="s">
        <v>157</v>
      </c>
      <c r="D681" s="6">
        <v>45715</v>
      </c>
      <c r="E681" s="7">
        <v>45715.689050925925</v>
      </c>
      <c r="F681" t="s">
        <v>148</v>
      </c>
      <c r="G681" t="s">
        <v>149</v>
      </c>
      <c r="I681" t="s">
        <v>31</v>
      </c>
      <c r="J681" s="11"/>
      <c r="K681" s="11">
        <v>-900</v>
      </c>
      <c r="L681" s="4">
        <f t="shared" si="17"/>
        <v>-900</v>
      </c>
      <c r="N681" t="s">
        <v>32</v>
      </c>
      <c r="O681" t="s">
        <v>33</v>
      </c>
      <c r="R681" t="s">
        <v>6</v>
      </c>
      <c r="U681" t="e">
        <f>VLOOKUP(A681,#REF!,6,FALSE)</f>
        <v>#REF!</v>
      </c>
    </row>
    <row r="682" spans="1:21" x14ac:dyDescent="0.25">
      <c r="A682">
        <v>1350</v>
      </c>
      <c r="B682" s="9" t="s">
        <v>58</v>
      </c>
      <c r="C682" s="19" t="s">
        <v>157</v>
      </c>
      <c r="D682" s="6">
        <v>45716</v>
      </c>
      <c r="E682" s="7">
        <v>45716.365891203706</v>
      </c>
      <c r="F682" t="s">
        <v>449</v>
      </c>
      <c r="I682" t="s">
        <v>449</v>
      </c>
      <c r="J682" s="11"/>
      <c r="K682" s="11">
        <v>-1.5</v>
      </c>
      <c r="L682" s="4">
        <f t="shared" ref="L682:L725" si="18">J682+K682</f>
        <v>-1.5</v>
      </c>
      <c r="M682" t="s">
        <v>38</v>
      </c>
      <c r="N682" t="s">
        <v>36</v>
      </c>
      <c r="O682" t="s">
        <v>33</v>
      </c>
      <c r="R682" t="s">
        <v>61</v>
      </c>
      <c r="U682" t="e">
        <f>VLOOKUP(A682,#REF!,6,FALSE)</f>
        <v>#REF!</v>
      </c>
    </row>
    <row r="683" spans="1:21" x14ac:dyDescent="0.25">
      <c r="A683">
        <v>1351</v>
      </c>
      <c r="B683" s="9" t="s">
        <v>58</v>
      </c>
      <c r="C683" s="19" t="s">
        <v>157</v>
      </c>
      <c r="D683" s="6">
        <v>45716</v>
      </c>
      <c r="E683" s="7">
        <v>45716.579328703701</v>
      </c>
      <c r="F683" t="s">
        <v>18</v>
      </c>
      <c r="I683" t="s">
        <v>18</v>
      </c>
      <c r="J683" s="11"/>
      <c r="K683" s="11">
        <v>-8.3000000000000007</v>
      </c>
      <c r="L683" s="4">
        <f t="shared" si="18"/>
        <v>-8.3000000000000007</v>
      </c>
      <c r="M683" t="s">
        <v>9</v>
      </c>
      <c r="N683" t="s">
        <v>36</v>
      </c>
      <c r="O683" t="s">
        <v>33</v>
      </c>
      <c r="R683" t="s">
        <v>9</v>
      </c>
      <c r="U683" t="e">
        <f>VLOOKUP(A683,#REF!,6,FALSE)</f>
        <v>#REF!</v>
      </c>
    </row>
    <row r="684" spans="1:21" x14ac:dyDescent="0.25">
      <c r="A684">
        <v>1352</v>
      </c>
      <c r="B684" s="9" t="s">
        <v>58</v>
      </c>
      <c r="C684" s="19" t="s">
        <v>157</v>
      </c>
      <c r="D684" s="6">
        <v>45716</v>
      </c>
      <c r="E684" s="7">
        <v>45716.632118055553</v>
      </c>
      <c r="F684" t="s">
        <v>450</v>
      </c>
      <c r="I684" t="s">
        <v>450</v>
      </c>
      <c r="J684" s="11"/>
      <c r="K684" s="11">
        <v>-2.8</v>
      </c>
      <c r="L684" s="4">
        <f t="shared" si="18"/>
        <v>-2.8</v>
      </c>
      <c r="M684" t="s">
        <v>47</v>
      </c>
      <c r="N684" t="s">
        <v>36</v>
      </c>
      <c r="O684" t="s">
        <v>33</v>
      </c>
      <c r="R684" t="s">
        <v>61</v>
      </c>
      <c r="U684" t="e">
        <f>VLOOKUP(A684,#REF!,6,FALSE)</f>
        <v>#REF!</v>
      </c>
    </row>
    <row r="685" spans="1:21" x14ac:dyDescent="0.25">
      <c r="B685" s="9"/>
      <c r="C685" s="9"/>
      <c r="D685" s="6"/>
      <c r="E685" s="7"/>
      <c r="J685" s="11"/>
      <c r="K685" s="11"/>
      <c r="L685" s="4"/>
    </row>
    <row r="686" spans="1:21" x14ac:dyDescent="0.25">
      <c r="B686" s="9"/>
      <c r="C686" s="9"/>
      <c r="D686" s="6"/>
      <c r="E686" s="7"/>
      <c r="J686" s="11"/>
      <c r="K686" s="11"/>
      <c r="L686" s="4"/>
    </row>
    <row r="687" spans="1:21" x14ac:dyDescent="0.25">
      <c r="B687" s="9"/>
      <c r="C687" s="9"/>
      <c r="D687" s="6"/>
      <c r="E687" s="7"/>
      <c r="J687" s="11"/>
      <c r="K687" s="11"/>
      <c r="L687" s="4"/>
    </row>
    <row r="688" spans="1:21" x14ac:dyDescent="0.25">
      <c r="B688" s="9"/>
      <c r="C688" s="9"/>
      <c r="D688" s="6"/>
      <c r="E688" s="7"/>
      <c r="J688" s="11"/>
      <c r="K688" s="11"/>
      <c r="L688" s="4"/>
    </row>
    <row r="689" spans="1:21" x14ac:dyDescent="0.25">
      <c r="B689" s="9"/>
      <c r="C689" s="9"/>
      <c r="D689" s="6"/>
      <c r="E689" s="7"/>
      <c r="J689" s="11"/>
      <c r="K689" s="11"/>
      <c r="L689" s="4"/>
    </row>
    <row r="690" spans="1:21" x14ac:dyDescent="0.25">
      <c r="B690" s="9"/>
      <c r="C690" s="9"/>
      <c r="D690" s="6"/>
      <c r="E690" s="7"/>
      <c r="J690" s="11"/>
      <c r="K690" s="11"/>
      <c r="L690" s="4"/>
    </row>
    <row r="691" spans="1:21" x14ac:dyDescent="0.25">
      <c r="B691" s="9"/>
      <c r="C691" s="9"/>
      <c r="D691" s="6"/>
      <c r="E691" s="7"/>
      <c r="J691" s="11"/>
      <c r="K691" s="11"/>
      <c r="L691" s="4"/>
    </row>
    <row r="692" spans="1:21" x14ac:dyDescent="0.25">
      <c r="B692" s="9"/>
      <c r="C692" s="9"/>
      <c r="D692" s="6"/>
      <c r="E692" s="7"/>
      <c r="J692" s="11"/>
      <c r="K692" s="11"/>
      <c r="L692" s="4"/>
    </row>
    <row r="693" spans="1:21" x14ac:dyDescent="0.25">
      <c r="B693" s="9"/>
      <c r="C693" s="9"/>
      <c r="D693" s="6"/>
      <c r="E693" s="7"/>
      <c r="J693" s="11"/>
      <c r="K693" s="11"/>
      <c r="L693" s="4"/>
    </row>
    <row r="694" spans="1:21" x14ac:dyDescent="0.25">
      <c r="B694" s="9"/>
      <c r="C694" s="9"/>
      <c r="D694" s="6"/>
      <c r="E694" s="7"/>
      <c r="J694" s="11"/>
      <c r="K694" s="11"/>
      <c r="L694" s="4"/>
    </row>
    <row r="695" spans="1:21" x14ac:dyDescent="0.25">
      <c r="B695" s="9"/>
      <c r="C695" s="9"/>
      <c r="D695" s="6"/>
      <c r="E695" s="7"/>
      <c r="J695" s="11"/>
      <c r="K695" s="11"/>
      <c r="L695" s="4"/>
    </row>
    <row r="696" spans="1:21" x14ac:dyDescent="0.25">
      <c r="B696" s="9"/>
      <c r="C696" s="9"/>
      <c r="D696" s="6"/>
      <c r="E696" s="7"/>
      <c r="J696" s="11"/>
      <c r="K696" s="11"/>
      <c r="L696" s="4"/>
    </row>
    <row r="697" spans="1:21" x14ac:dyDescent="0.25">
      <c r="B697" s="9"/>
      <c r="C697" s="9"/>
      <c r="D697" s="6"/>
      <c r="E697" s="7"/>
      <c r="J697" s="11"/>
      <c r="K697" s="11"/>
      <c r="L697" s="4"/>
    </row>
    <row r="698" spans="1:21" x14ac:dyDescent="0.25">
      <c r="B698" s="9"/>
      <c r="C698" s="9"/>
      <c r="D698" s="6"/>
      <c r="E698" s="7"/>
      <c r="J698" s="11"/>
      <c r="K698" s="11"/>
      <c r="L698" s="4"/>
    </row>
    <row r="699" spans="1:21" x14ac:dyDescent="0.25">
      <c r="B699" s="9"/>
      <c r="C699" s="9"/>
      <c r="D699" s="6"/>
      <c r="E699" s="7"/>
      <c r="J699" s="11"/>
      <c r="K699" s="11"/>
      <c r="L699" s="4"/>
    </row>
    <row r="700" spans="1:21" x14ac:dyDescent="0.25">
      <c r="A700">
        <v>1330</v>
      </c>
      <c r="B700" s="9" t="s">
        <v>58</v>
      </c>
      <c r="C700" s="19" t="s">
        <v>157</v>
      </c>
      <c r="D700" s="6">
        <v>45702</v>
      </c>
      <c r="E700" s="14">
        <v>45702.046759259261</v>
      </c>
      <c r="F700" t="s">
        <v>441</v>
      </c>
      <c r="G700" t="s">
        <v>442</v>
      </c>
      <c r="H700" t="s">
        <v>41</v>
      </c>
      <c r="J700" s="11">
        <v>375</v>
      </c>
      <c r="K700" s="11"/>
      <c r="L700" s="4">
        <f t="shared" si="18"/>
        <v>375</v>
      </c>
      <c r="M700" t="s">
        <v>7</v>
      </c>
      <c r="N700" t="s">
        <v>37</v>
      </c>
      <c r="O700" t="s">
        <v>33</v>
      </c>
      <c r="R700" t="s">
        <v>7</v>
      </c>
      <c r="U700" t="e">
        <f>VLOOKUP(A700,#REF!,6,FALSE)</f>
        <v>#REF!</v>
      </c>
    </row>
    <row r="701" spans="1:21" x14ac:dyDescent="0.25">
      <c r="B701" s="9"/>
      <c r="C701" s="9"/>
      <c r="D701" s="6"/>
      <c r="E701" s="7"/>
      <c r="J701" s="11"/>
      <c r="K701" s="11"/>
      <c r="L701" s="4"/>
    </row>
    <row r="702" spans="1:21" x14ac:dyDescent="0.25">
      <c r="B702" s="9"/>
      <c r="C702" s="9"/>
      <c r="D702" s="6"/>
      <c r="E702" s="7"/>
      <c r="J702" s="11"/>
      <c r="K702" s="11"/>
      <c r="L702" s="4"/>
    </row>
    <row r="703" spans="1:21" x14ac:dyDescent="0.25">
      <c r="B703" s="9"/>
      <c r="C703" s="9"/>
      <c r="D703" s="6"/>
      <c r="E703" s="7"/>
      <c r="J703" s="11"/>
      <c r="K703" s="11"/>
      <c r="L703" s="4"/>
    </row>
    <row r="704" spans="1:21" x14ac:dyDescent="0.25">
      <c r="B704" s="9"/>
      <c r="C704" s="9"/>
      <c r="D704" s="6"/>
      <c r="E704" s="7"/>
      <c r="J704" s="11"/>
      <c r="K704" s="11"/>
      <c r="L704" s="4"/>
    </row>
    <row r="705" spans="1:21" x14ac:dyDescent="0.25">
      <c r="B705" s="9"/>
      <c r="C705" s="9"/>
      <c r="D705" s="6"/>
      <c r="E705" s="7"/>
      <c r="J705" s="11"/>
      <c r="K705" s="11"/>
      <c r="L705" s="4"/>
    </row>
    <row r="706" spans="1:21" x14ac:dyDescent="0.25">
      <c r="A706">
        <v>1249</v>
      </c>
      <c r="B706" s="9" t="s">
        <v>58</v>
      </c>
      <c r="C706" s="19" t="s">
        <v>157</v>
      </c>
      <c r="D706" s="6">
        <v>45650</v>
      </c>
      <c r="E706" s="14">
        <v>45650.047962962963</v>
      </c>
      <c r="F706" t="s">
        <v>393</v>
      </c>
      <c r="G706" t="s">
        <v>394</v>
      </c>
      <c r="H706" t="s">
        <v>41</v>
      </c>
      <c r="J706" s="11">
        <v>700</v>
      </c>
      <c r="K706" s="11"/>
      <c r="L706" s="4">
        <f t="shared" si="18"/>
        <v>700</v>
      </c>
      <c r="M706" t="s">
        <v>7</v>
      </c>
      <c r="N706" t="s">
        <v>37</v>
      </c>
      <c r="O706" t="s">
        <v>33</v>
      </c>
      <c r="R706" t="s">
        <v>7</v>
      </c>
      <c r="U706" t="e">
        <f>VLOOKUP(A706,#REF!,6,FALSE)</f>
        <v>#REF!</v>
      </c>
    </row>
    <row r="707" spans="1:21" x14ac:dyDescent="0.25">
      <c r="B707" s="9"/>
      <c r="C707" s="9"/>
      <c r="D707" s="6"/>
      <c r="E707" s="7"/>
      <c r="J707" s="11"/>
      <c r="K707" s="11"/>
      <c r="L707" s="4"/>
    </row>
    <row r="708" spans="1:21" x14ac:dyDescent="0.25">
      <c r="B708" s="9"/>
      <c r="C708" s="9"/>
      <c r="D708" s="6"/>
      <c r="E708" s="7"/>
      <c r="J708" s="11"/>
      <c r="K708" s="11"/>
      <c r="L708" s="4"/>
    </row>
    <row r="709" spans="1:21" x14ac:dyDescent="0.25">
      <c r="B709" s="9"/>
      <c r="C709" s="9"/>
      <c r="D709" s="6"/>
      <c r="E709" s="7"/>
      <c r="J709" s="11"/>
      <c r="K709" s="11"/>
      <c r="L709" s="4"/>
    </row>
    <row r="710" spans="1:21" x14ac:dyDescent="0.25">
      <c r="B710" s="9"/>
      <c r="C710" s="9"/>
      <c r="D710" s="6"/>
      <c r="E710" s="7"/>
      <c r="J710" s="11"/>
      <c r="K710" s="11"/>
      <c r="L710" s="4"/>
    </row>
    <row r="711" spans="1:21" x14ac:dyDescent="0.25">
      <c r="B711" s="9"/>
      <c r="C711" s="9"/>
      <c r="D711" s="6"/>
      <c r="E711" s="7"/>
      <c r="J711" s="11"/>
      <c r="K711" s="11"/>
      <c r="L711" s="4"/>
    </row>
    <row r="712" spans="1:21" x14ac:dyDescent="0.25">
      <c r="B712" s="9"/>
      <c r="C712" s="9"/>
      <c r="D712" s="6"/>
      <c r="E712" s="7"/>
      <c r="J712" s="11"/>
      <c r="K712" s="11"/>
      <c r="L712" s="4"/>
    </row>
    <row r="713" spans="1:21" x14ac:dyDescent="0.25">
      <c r="B713" s="9"/>
      <c r="C713" s="9"/>
      <c r="D713" s="6"/>
      <c r="E713" s="7"/>
      <c r="J713" s="11"/>
      <c r="K713" s="11"/>
      <c r="L713" s="4"/>
    </row>
    <row r="714" spans="1:21" x14ac:dyDescent="0.25">
      <c r="B714" s="9"/>
      <c r="C714" s="9"/>
      <c r="D714" s="6"/>
      <c r="E714" s="7"/>
      <c r="J714" s="11"/>
      <c r="K714" s="11"/>
      <c r="L714" s="4"/>
    </row>
    <row r="715" spans="1:21" x14ac:dyDescent="0.25">
      <c r="B715" s="9"/>
      <c r="C715" s="9"/>
      <c r="D715" s="6"/>
      <c r="E715" s="7"/>
      <c r="J715" s="11"/>
      <c r="K715" s="11"/>
      <c r="L715" s="4"/>
    </row>
    <row r="716" spans="1:21" x14ac:dyDescent="0.25">
      <c r="B716" s="9"/>
      <c r="C716" s="9"/>
      <c r="D716" s="6"/>
      <c r="E716" s="7"/>
      <c r="J716" s="11"/>
      <c r="K716" s="11"/>
      <c r="L716" s="4"/>
    </row>
    <row r="717" spans="1:21" x14ac:dyDescent="0.25">
      <c r="B717" s="9"/>
      <c r="C717" s="9"/>
      <c r="D717" s="6"/>
      <c r="E717" s="7"/>
      <c r="J717" s="11"/>
      <c r="K717" s="11"/>
      <c r="L717" s="4"/>
    </row>
    <row r="718" spans="1:21" x14ac:dyDescent="0.25">
      <c r="B718" s="9"/>
      <c r="C718" s="9"/>
      <c r="D718" s="6"/>
      <c r="E718" s="7"/>
      <c r="J718" s="11"/>
      <c r="K718" s="11"/>
      <c r="L718" s="4"/>
    </row>
    <row r="719" spans="1:21" x14ac:dyDescent="0.25">
      <c r="B719" s="9"/>
      <c r="C719" s="9"/>
      <c r="D719" s="6"/>
      <c r="E719" s="7"/>
      <c r="J719" s="11"/>
      <c r="K719" s="11"/>
      <c r="L719" s="4"/>
    </row>
    <row r="720" spans="1:21" x14ac:dyDescent="0.25">
      <c r="B720" s="9"/>
      <c r="C720" s="9"/>
      <c r="D720" s="6"/>
      <c r="E720" s="7"/>
      <c r="J720" s="11"/>
      <c r="K720" s="11"/>
      <c r="L720" s="4"/>
    </row>
    <row r="721" spans="2:18" x14ac:dyDescent="0.25">
      <c r="B721" s="9"/>
      <c r="C721" s="9"/>
      <c r="D721" s="6"/>
      <c r="E721" s="7"/>
      <c r="J721" s="11"/>
      <c r="K721" s="11"/>
      <c r="L721" s="4"/>
    </row>
    <row r="722" spans="2:18" x14ac:dyDescent="0.25">
      <c r="B722" s="9"/>
      <c r="C722" s="9"/>
      <c r="D722" s="6"/>
      <c r="E722" s="7"/>
      <c r="J722" s="11"/>
      <c r="K722" s="11"/>
      <c r="L722" s="4"/>
    </row>
    <row r="723" spans="2:18" x14ac:dyDescent="0.25">
      <c r="B723" s="9"/>
      <c r="C723" s="9"/>
      <c r="D723" s="6"/>
      <c r="E723" s="7"/>
      <c r="J723" s="11"/>
      <c r="K723" s="11"/>
      <c r="L723" s="4"/>
    </row>
    <row r="724" spans="2:18" x14ac:dyDescent="0.25">
      <c r="B724" s="9"/>
      <c r="C724" s="9"/>
      <c r="D724" s="6"/>
      <c r="E724" s="7"/>
      <c r="J724" s="11"/>
      <c r="K724" s="11"/>
      <c r="L724" s="4"/>
      <c r="R724" s="3"/>
    </row>
    <row r="725" spans="2:18" x14ac:dyDescent="0.25">
      <c r="B725" s="9"/>
      <c r="C725" s="9"/>
      <c r="D725" s="6"/>
      <c r="E725" s="7"/>
      <c r="J725" s="11"/>
      <c r="K725" s="11"/>
      <c r="L725" s="4"/>
    </row>
    <row r="726" spans="2:18" x14ac:dyDescent="0.25">
      <c r="B726" s="9"/>
      <c r="C726" s="9"/>
      <c r="D726" s="6"/>
      <c r="E726" s="7"/>
      <c r="J726" s="11"/>
      <c r="K726" s="11"/>
      <c r="L726" s="4"/>
    </row>
    <row r="727" spans="2:18" x14ac:dyDescent="0.25">
      <c r="B727" s="9"/>
      <c r="C727" s="9"/>
      <c r="D727" s="6"/>
      <c r="E727" s="7"/>
      <c r="J727" s="11"/>
      <c r="K727" s="11"/>
      <c r="L727" s="4"/>
    </row>
    <row r="728" spans="2:18" x14ac:dyDescent="0.25">
      <c r="B728" s="9"/>
      <c r="C728" s="9"/>
      <c r="D728" s="6"/>
      <c r="E728" s="7"/>
      <c r="J728" s="11"/>
      <c r="K728" s="11"/>
      <c r="L728" s="4"/>
    </row>
    <row r="729" spans="2:18" x14ac:dyDescent="0.25">
      <c r="B729" s="9"/>
      <c r="C729" s="9"/>
      <c r="D729" s="6"/>
      <c r="E729" s="7"/>
      <c r="J729" s="11"/>
      <c r="K729" s="11"/>
      <c r="L729" s="4"/>
    </row>
    <row r="730" spans="2:18" x14ac:dyDescent="0.25">
      <c r="B730" s="9"/>
      <c r="C730" s="9"/>
      <c r="D730" s="6"/>
      <c r="E730" s="7"/>
      <c r="J730" s="11"/>
      <c r="K730" s="11"/>
      <c r="L730" s="4"/>
    </row>
    <row r="731" spans="2:18" x14ac:dyDescent="0.25">
      <c r="B731" s="9"/>
      <c r="C731" s="9"/>
      <c r="D731" s="6"/>
      <c r="E731" s="7"/>
      <c r="J731" s="11"/>
      <c r="K731" s="11"/>
      <c r="L731" s="4"/>
    </row>
    <row r="732" spans="2:18" x14ac:dyDescent="0.25">
      <c r="B732" s="9"/>
      <c r="C732" s="9"/>
      <c r="D732" s="6"/>
      <c r="E732" s="7"/>
      <c r="J732" s="11"/>
      <c r="K732" s="11"/>
      <c r="L732" s="4"/>
    </row>
    <row r="733" spans="2:18" x14ac:dyDescent="0.25">
      <c r="B733" s="9"/>
      <c r="C733" s="9"/>
      <c r="D733" s="6"/>
      <c r="E733" s="7"/>
      <c r="J733" s="11"/>
      <c r="K733" s="11"/>
      <c r="L733" s="4"/>
    </row>
    <row r="734" spans="2:18" x14ac:dyDescent="0.25">
      <c r="B734" s="9"/>
      <c r="C734" s="9"/>
      <c r="D734" s="6"/>
      <c r="E734" s="7"/>
      <c r="J734" s="11"/>
      <c r="K734" s="11"/>
      <c r="L734" s="4"/>
    </row>
    <row r="735" spans="2:18" x14ac:dyDescent="0.25">
      <c r="B735" s="9"/>
      <c r="C735" s="9"/>
      <c r="D735" s="6"/>
      <c r="E735" s="7"/>
      <c r="J735" s="11"/>
      <c r="K735" s="11"/>
      <c r="L735" s="4"/>
    </row>
    <row r="736" spans="2:18" x14ac:dyDescent="0.25">
      <c r="B736" s="9"/>
      <c r="C736" s="9"/>
      <c r="D736" s="6"/>
      <c r="E736" s="7"/>
      <c r="J736" s="11"/>
      <c r="K736" s="11"/>
      <c r="L736" s="4"/>
    </row>
    <row r="737" spans="2:12" x14ac:dyDescent="0.25">
      <c r="B737" s="9"/>
      <c r="C737" s="9"/>
      <c r="D737" s="6"/>
      <c r="E737" s="7"/>
      <c r="J737" s="11"/>
      <c r="K737" s="11"/>
      <c r="L737" s="4"/>
    </row>
    <row r="738" spans="2:12" x14ac:dyDescent="0.25">
      <c r="B738" s="9"/>
      <c r="C738" s="9"/>
      <c r="D738" s="6"/>
      <c r="E738" s="7"/>
      <c r="J738" s="11"/>
      <c r="K738" s="11"/>
      <c r="L738" s="4"/>
    </row>
    <row r="739" spans="2:12" x14ac:dyDescent="0.25">
      <c r="B739" s="9"/>
      <c r="C739" s="9"/>
      <c r="D739" s="6"/>
      <c r="E739" s="7"/>
      <c r="J739" s="11"/>
      <c r="K739" s="11"/>
      <c r="L739" s="4"/>
    </row>
    <row r="740" spans="2:12" x14ac:dyDescent="0.25">
      <c r="B740" s="9"/>
      <c r="C740" s="9"/>
      <c r="D740" s="6"/>
      <c r="E740" s="7"/>
      <c r="J740" s="11"/>
      <c r="K740" s="11"/>
      <c r="L740" s="4"/>
    </row>
    <row r="741" spans="2:12" x14ac:dyDescent="0.25">
      <c r="B741" s="9"/>
      <c r="C741" s="9"/>
      <c r="D741" s="6"/>
      <c r="E741" s="7"/>
      <c r="J741" s="11"/>
      <c r="K741" s="11"/>
      <c r="L741" s="4"/>
    </row>
    <row r="742" spans="2:12" x14ac:dyDescent="0.25">
      <c r="B742" s="9"/>
      <c r="C742" s="9"/>
      <c r="D742" s="6"/>
      <c r="E742" s="7"/>
      <c r="J742" s="11"/>
      <c r="K742" s="11"/>
      <c r="L742" s="4"/>
    </row>
    <row r="743" spans="2:12" x14ac:dyDescent="0.25">
      <c r="B743" s="9"/>
      <c r="C743" s="9"/>
      <c r="D743" s="6"/>
      <c r="E743" s="7"/>
      <c r="J743" s="11"/>
      <c r="K743" s="11"/>
      <c r="L743" s="4"/>
    </row>
    <row r="744" spans="2:12" x14ac:dyDescent="0.25">
      <c r="B744" s="9"/>
      <c r="C744" s="9"/>
      <c r="D744" s="6"/>
      <c r="E744" s="7"/>
      <c r="J744" s="11"/>
      <c r="K744" s="11"/>
      <c r="L744" s="4"/>
    </row>
    <row r="745" spans="2:12" x14ac:dyDescent="0.25">
      <c r="B745" s="9"/>
      <c r="C745" s="9"/>
      <c r="D745" s="6"/>
      <c r="E745" s="7"/>
      <c r="J745" s="11"/>
      <c r="K745" s="11"/>
      <c r="L745" s="4"/>
    </row>
    <row r="746" spans="2:12" x14ac:dyDescent="0.25">
      <c r="B746" s="9"/>
      <c r="C746" s="9"/>
      <c r="D746" s="6"/>
      <c r="E746" s="7"/>
      <c r="J746" s="11"/>
      <c r="K746" s="11"/>
      <c r="L746" s="4"/>
    </row>
    <row r="747" spans="2:12" x14ac:dyDescent="0.25">
      <c r="B747" s="9"/>
      <c r="C747" s="9"/>
      <c r="D747" s="6"/>
      <c r="E747" s="7"/>
      <c r="J747" s="11"/>
      <c r="K747" s="11"/>
      <c r="L747" s="4"/>
    </row>
    <row r="748" spans="2:12" x14ac:dyDescent="0.25">
      <c r="B748" s="9"/>
      <c r="C748" s="9"/>
      <c r="D748" s="6"/>
      <c r="E748" s="7"/>
      <c r="J748" s="11"/>
      <c r="K748" s="11"/>
      <c r="L748" s="4"/>
    </row>
    <row r="749" spans="2:12" x14ac:dyDescent="0.25">
      <c r="B749" s="9"/>
      <c r="C749" s="9"/>
      <c r="D749" s="6"/>
      <c r="E749" s="7"/>
      <c r="J749" s="11"/>
      <c r="K749" s="11"/>
      <c r="L749" s="4"/>
    </row>
    <row r="750" spans="2:12" x14ac:dyDescent="0.25">
      <c r="B750" s="9"/>
      <c r="C750" s="9"/>
      <c r="D750" s="6"/>
      <c r="E750" s="7"/>
      <c r="J750" s="11"/>
      <c r="K750" s="11"/>
      <c r="L750" s="4"/>
    </row>
    <row r="751" spans="2:12" x14ac:dyDescent="0.25">
      <c r="B751" s="9"/>
      <c r="C751" s="9"/>
      <c r="D751" s="6"/>
      <c r="E751" s="7"/>
      <c r="J751" s="11"/>
      <c r="K751" s="11"/>
      <c r="L751" s="4"/>
    </row>
    <row r="752" spans="2:12" x14ac:dyDescent="0.25">
      <c r="B752" s="9"/>
      <c r="C752" s="9"/>
      <c r="D752" s="6"/>
      <c r="E752" s="7"/>
      <c r="J752" s="11"/>
      <c r="K752" s="11"/>
      <c r="L752" s="4"/>
    </row>
    <row r="753" spans="2:12" x14ac:dyDescent="0.25">
      <c r="B753" s="9"/>
      <c r="C753" s="9"/>
      <c r="D753" s="6"/>
      <c r="E753" s="7"/>
      <c r="J753" s="11"/>
      <c r="K753" s="11"/>
      <c r="L753" s="4"/>
    </row>
    <row r="754" spans="2:12" x14ac:dyDescent="0.25">
      <c r="B754" s="9"/>
      <c r="C754" s="9"/>
      <c r="D754" s="6"/>
      <c r="E754" s="7"/>
      <c r="J754" s="11"/>
      <c r="K754" s="11"/>
      <c r="L754" s="4"/>
    </row>
    <row r="755" spans="2:12" x14ac:dyDescent="0.25">
      <c r="B755" s="9"/>
      <c r="C755" s="9"/>
      <c r="D755" s="6"/>
      <c r="E755" s="7"/>
      <c r="J755" s="11"/>
      <c r="K755" s="11"/>
      <c r="L755" s="4"/>
    </row>
    <row r="756" spans="2:12" x14ac:dyDescent="0.25">
      <c r="J756" s="11"/>
      <c r="K756" s="11"/>
    </row>
  </sheetData>
  <autoFilter ref="A1:U755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"/>
  <sheetViews>
    <sheetView tabSelected="1" topLeftCell="B1" zoomScaleNormal="100" workbookViewId="0">
      <selection activeCell="H1" sqref="H1"/>
    </sheetView>
  </sheetViews>
  <sheetFormatPr defaultRowHeight="15" x14ac:dyDescent="0.25"/>
  <cols>
    <col min="1" max="1" width="18.7109375" bestFit="1" customWidth="1"/>
    <col min="2" max="2" width="16.28515625" bestFit="1" customWidth="1"/>
    <col min="3" max="3" width="10.28515625" bestFit="1" customWidth="1"/>
    <col min="4" max="4" width="9.28515625" bestFit="1" customWidth="1"/>
    <col min="6" max="7" width="10.5703125" bestFit="1" customWidth="1"/>
    <col min="10" max="10" width="10.5703125" bestFit="1" customWidth="1"/>
    <col min="11" max="11" width="15" bestFit="1" customWidth="1"/>
    <col min="12" max="12" width="10.5703125" customWidth="1"/>
    <col min="13" max="17" width="9.140625" style="1" customWidth="1"/>
    <col min="18" max="18" width="10.5703125" style="1" customWidth="1"/>
    <col min="19" max="19" width="9.5703125" style="1" customWidth="1"/>
    <col min="20" max="23" width="9.140625" style="1" customWidth="1"/>
    <col min="24" max="24" width="9.5703125" style="1" customWidth="1"/>
    <col min="25" max="25" width="10.5703125" style="1" bestFit="1" customWidth="1"/>
  </cols>
  <sheetData>
    <row r="1" spans="1:12" x14ac:dyDescent="0.25">
      <c r="E1" t="s">
        <v>164</v>
      </c>
    </row>
    <row r="3" spans="1:12" x14ac:dyDescent="0.25">
      <c r="A3" s="2" t="s">
        <v>65</v>
      </c>
      <c r="B3" s="2" t="s">
        <v>455</v>
      </c>
    </row>
    <row r="4" spans="1:12" x14ac:dyDescent="0.25">
      <c r="A4" s="2" t="s">
        <v>3</v>
      </c>
      <c r="B4" t="s">
        <v>157</v>
      </c>
      <c r="E4" t="s">
        <v>14</v>
      </c>
      <c r="F4" s="1">
        <f>SUMIF(C:C,E4,B:B)</f>
        <v>44168.62999999999</v>
      </c>
    </row>
    <row r="5" spans="1:12" x14ac:dyDescent="0.25">
      <c r="A5" s="3" t="s">
        <v>162</v>
      </c>
      <c r="B5" s="4">
        <v>-613</v>
      </c>
      <c r="C5" t="s">
        <v>13</v>
      </c>
      <c r="E5" t="s">
        <v>13</v>
      </c>
      <c r="F5" s="1">
        <f>SUMIF(C:C,E5,B:B)</f>
        <v>-46403.39</v>
      </c>
      <c r="K5" t="s">
        <v>7</v>
      </c>
      <c r="L5" s="1">
        <f>SUMIF(A:A,K5,B:B)</f>
        <v>51130</v>
      </c>
    </row>
    <row r="6" spans="1:12" x14ac:dyDescent="0.25">
      <c r="A6" s="3" t="s">
        <v>63</v>
      </c>
      <c r="B6" s="16">
        <v>-89.44</v>
      </c>
      <c r="C6" t="s">
        <v>14</v>
      </c>
      <c r="F6" s="1">
        <f>SUM(F4:F5)</f>
        <v>-2234.7600000000093</v>
      </c>
      <c r="K6" s="3" t="s">
        <v>67</v>
      </c>
      <c r="L6" s="1">
        <f t="shared" ref="L6:L35" si="0">SUMIF(A:A,K6,B:B)</f>
        <v>0</v>
      </c>
    </row>
    <row r="7" spans="1:12" x14ac:dyDescent="0.25">
      <c r="A7" s="3" t="s">
        <v>6</v>
      </c>
      <c r="B7" s="4">
        <v>-38947</v>
      </c>
      <c r="C7" t="s">
        <v>13</v>
      </c>
      <c r="F7" s="12">
        <f>F6-B27</f>
        <v>-7.73070496506989E-12</v>
      </c>
      <c r="L7" s="1">
        <f t="shared" si="0"/>
        <v>0</v>
      </c>
    </row>
    <row r="8" spans="1:12" x14ac:dyDescent="0.25">
      <c r="A8" s="3" t="s">
        <v>10</v>
      </c>
      <c r="B8" s="4">
        <v>-45.95</v>
      </c>
      <c r="C8" t="s">
        <v>13</v>
      </c>
      <c r="K8" t="s">
        <v>66</v>
      </c>
      <c r="L8" s="1">
        <f t="shared" si="0"/>
        <v>0</v>
      </c>
    </row>
    <row r="9" spans="1:12" x14ac:dyDescent="0.25">
      <c r="A9" s="3" t="s">
        <v>15</v>
      </c>
      <c r="B9" s="4">
        <v>-20</v>
      </c>
      <c r="C9" t="s">
        <v>14</v>
      </c>
      <c r="K9" s="3" t="s">
        <v>385</v>
      </c>
      <c r="L9" s="1">
        <f t="shared" si="0"/>
        <v>-165.03999999999991</v>
      </c>
    </row>
    <row r="10" spans="1:12" x14ac:dyDescent="0.25">
      <c r="A10" s="3" t="s">
        <v>158</v>
      </c>
      <c r="B10" s="4">
        <v>-5105.87</v>
      </c>
      <c r="C10" t="s">
        <v>13</v>
      </c>
      <c r="L10" s="1">
        <f t="shared" si="0"/>
        <v>0</v>
      </c>
    </row>
    <row r="11" spans="1:12" x14ac:dyDescent="0.25">
      <c r="A11" s="3" t="s">
        <v>385</v>
      </c>
      <c r="B11" s="16">
        <v>-165.03999999999991</v>
      </c>
      <c r="C11" t="s">
        <v>14</v>
      </c>
      <c r="K11" t="s">
        <v>61</v>
      </c>
      <c r="L11" s="1">
        <f t="shared" si="0"/>
        <v>-1102.7500000000009</v>
      </c>
    </row>
    <row r="12" spans="1:12" x14ac:dyDescent="0.25">
      <c r="A12" s="3" t="s">
        <v>452</v>
      </c>
      <c r="B12" s="4">
        <v>-1584.7</v>
      </c>
      <c r="C12" t="s">
        <v>13</v>
      </c>
      <c r="K12" s="3" t="s">
        <v>159</v>
      </c>
      <c r="L12" s="1">
        <f t="shared" si="0"/>
        <v>-122.61</v>
      </c>
    </row>
    <row r="13" spans="1:12" x14ac:dyDescent="0.25">
      <c r="A13" s="3" t="s">
        <v>7</v>
      </c>
      <c r="B13" s="16">
        <v>51130</v>
      </c>
      <c r="C13" t="s">
        <v>14</v>
      </c>
      <c r="K13" s="3" t="s">
        <v>9</v>
      </c>
      <c r="L13" s="1">
        <f t="shared" si="0"/>
        <v>-2130.9600000000005</v>
      </c>
    </row>
    <row r="14" spans="1:12" x14ac:dyDescent="0.25">
      <c r="A14" s="3" t="s">
        <v>61</v>
      </c>
      <c r="B14" s="16">
        <v>-1102.7500000000009</v>
      </c>
      <c r="C14" t="s">
        <v>14</v>
      </c>
      <c r="K14" s="3" t="s">
        <v>165</v>
      </c>
      <c r="L14" s="1">
        <f t="shared" si="0"/>
        <v>0</v>
      </c>
    </row>
    <row r="15" spans="1:12" x14ac:dyDescent="0.25">
      <c r="A15" s="3" t="s">
        <v>159</v>
      </c>
      <c r="B15" s="16">
        <v>-122.61</v>
      </c>
      <c r="C15" t="s">
        <v>14</v>
      </c>
      <c r="K15" s="3" t="s">
        <v>160</v>
      </c>
      <c r="L15" s="1">
        <f t="shared" si="0"/>
        <v>0</v>
      </c>
    </row>
    <row r="16" spans="1:12" x14ac:dyDescent="0.25">
      <c r="A16" s="3" t="s">
        <v>12</v>
      </c>
      <c r="B16" s="16">
        <v>-1009.5500000000001</v>
      </c>
      <c r="C16" t="s">
        <v>14</v>
      </c>
      <c r="L16" s="1">
        <f t="shared" si="0"/>
        <v>0</v>
      </c>
    </row>
    <row r="17" spans="1:12" x14ac:dyDescent="0.25">
      <c r="A17" s="3" t="s">
        <v>451</v>
      </c>
      <c r="B17" s="16">
        <v>-30.09</v>
      </c>
      <c r="C17" t="s">
        <v>14</v>
      </c>
      <c r="K17" s="3" t="s">
        <v>161</v>
      </c>
      <c r="L17" s="1">
        <f t="shared" si="0"/>
        <v>0</v>
      </c>
    </row>
    <row r="18" spans="1:12" x14ac:dyDescent="0.25">
      <c r="A18" s="3" t="s">
        <v>92</v>
      </c>
      <c r="B18" s="4">
        <v>-452.99</v>
      </c>
      <c r="C18" t="s">
        <v>14</v>
      </c>
      <c r="L18" s="1">
        <f t="shared" si="0"/>
        <v>0</v>
      </c>
    </row>
    <row r="19" spans="1:12" x14ac:dyDescent="0.25">
      <c r="A19" s="3" t="s">
        <v>11</v>
      </c>
      <c r="B19" s="16">
        <v>-17.04</v>
      </c>
      <c r="C19" t="s">
        <v>14</v>
      </c>
      <c r="K19" s="3" t="s">
        <v>12</v>
      </c>
      <c r="L19" s="1">
        <f t="shared" si="0"/>
        <v>-1009.5500000000001</v>
      </c>
    </row>
    <row r="20" spans="1:12" x14ac:dyDescent="0.25">
      <c r="A20" s="3" t="s">
        <v>64</v>
      </c>
      <c r="B20" s="16">
        <v>-119.98</v>
      </c>
      <c r="C20" t="s">
        <v>14</v>
      </c>
      <c r="K20" s="3" t="s">
        <v>463</v>
      </c>
      <c r="L20" s="1">
        <f t="shared" si="0"/>
        <v>-18.12</v>
      </c>
    </row>
    <row r="21" spans="1:12" x14ac:dyDescent="0.25">
      <c r="A21" s="3" t="s">
        <v>9</v>
      </c>
      <c r="B21" s="16">
        <v>-2130.9600000000005</v>
      </c>
      <c r="C21" t="s">
        <v>14</v>
      </c>
      <c r="K21" s="3" t="s">
        <v>451</v>
      </c>
      <c r="L21" s="1">
        <f t="shared" si="0"/>
        <v>-30.09</v>
      </c>
    </row>
    <row r="22" spans="1:12" x14ac:dyDescent="0.25">
      <c r="A22" s="3" t="s">
        <v>462</v>
      </c>
      <c r="B22" s="4">
        <v>-982.65</v>
      </c>
      <c r="C22" t="s">
        <v>14</v>
      </c>
      <c r="K22" s="3" t="s">
        <v>11</v>
      </c>
      <c r="L22" s="1">
        <f t="shared" si="0"/>
        <v>-17.04</v>
      </c>
    </row>
    <row r="23" spans="1:12" x14ac:dyDescent="0.25">
      <c r="A23" s="3" t="s">
        <v>463</v>
      </c>
      <c r="B23" s="4">
        <v>-18.12</v>
      </c>
      <c r="C23" t="s">
        <v>14</v>
      </c>
      <c r="K23" s="3" t="s">
        <v>64</v>
      </c>
      <c r="L23" s="1">
        <f t="shared" si="0"/>
        <v>-119.98</v>
      </c>
    </row>
    <row r="24" spans="1:12" x14ac:dyDescent="0.25">
      <c r="A24" s="3" t="s">
        <v>461</v>
      </c>
      <c r="B24" s="4">
        <v>-106.86999999999996</v>
      </c>
      <c r="C24" t="s">
        <v>13</v>
      </c>
      <c r="K24" s="3" t="s">
        <v>63</v>
      </c>
      <c r="L24" s="1">
        <f t="shared" si="0"/>
        <v>-89.44</v>
      </c>
    </row>
    <row r="25" spans="1:12" x14ac:dyDescent="0.25">
      <c r="A25" s="3" t="s">
        <v>465</v>
      </c>
      <c r="B25" s="4">
        <v>-376.51</v>
      </c>
      <c r="C25" t="s">
        <v>14</v>
      </c>
      <c r="K25" s="3" t="s">
        <v>464</v>
      </c>
      <c r="L25" s="1">
        <f t="shared" si="0"/>
        <v>0</v>
      </c>
    </row>
    <row r="26" spans="1:12" x14ac:dyDescent="0.25">
      <c r="A26" s="3" t="s">
        <v>466</v>
      </c>
      <c r="B26" s="4">
        <v>-323.64000000000004</v>
      </c>
      <c r="C26" t="s">
        <v>14</v>
      </c>
      <c r="K26" s="3" t="s">
        <v>15</v>
      </c>
      <c r="L26" s="1">
        <f t="shared" si="0"/>
        <v>-20</v>
      </c>
    </row>
    <row r="27" spans="1:12" x14ac:dyDescent="0.25">
      <c r="A27" s="3" t="s">
        <v>4</v>
      </c>
      <c r="B27" s="4">
        <v>-2234.7600000000016</v>
      </c>
      <c r="K27" s="3" t="s">
        <v>465</v>
      </c>
      <c r="L27" s="1">
        <f t="shared" si="0"/>
        <v>-376.51</v>
      </c>
    </row>
    <row r="28" spans="1:12" x14ac:dyDescent="0.25">
      <c r="K28" s="3" t="s">
        <v>466</v>
      </c>
      <c r="L28" s="1">
        <f t="shared" si="0"/>
        <v>-323.64000000000004</v>
      </c>
    </row>
    <row r="29" spans="1:12" x14ac:dyDescent="0.25">
      <c r="K29" s="3" t="s">
        <v>454</v>
      </c>
      <c r="L29" s="1">
        <f t="shared" si="0"/>
        <v>0</v>
      </c>
    </row>
    <row r="30" spans="1:12" x14ac:dyDescent="0.25">
      <c r="K30" s="3" t="s">
        <v>166</v>
      </c>
      <c r="L30" s="1">
        <f t="shared" si="0"/>
        <v>0</v>
      </c>
    </row>
    <row r="31" spans="1:12" x14ac:dyDescent="0.25">
      <c r="K31" t="s">
        <v>462</v>
      </c>
      <c r="L31" s="1">
        <f t="shared" si="0"/>
        <v>-982.65</v>
      </c>
    </row>
    <row r="32" spans="1:12" x14ac:dyDescent="0.25">
      <c r="L32" s="1">
        <f t="shared" si="0"/>
        <v>0</v>
      </c>
    </row>
    <row r="33" spans="5:12" x14ac:dyDescent="0.25">
      <c r="K33" s="3"/>
      <c r="L33" s="1"/>
    </row>
    <row r="34" spans="5:12" x14ac:dyDescent="0.25">
      <c r="L34" s="1">
        <f t="shared" si="0"/>
        <v>0</v>
      </c>
    </row>
    <row r="35" spans="5:12" x14ac:dyDescent="0.25">
      <c r="K35" s="3" t="s">
        <v>92</v>
      </c>
      <c r="L35" s="1">
        <f t="shared" si="0"/>
        <v>-452.99</v>
      </c>
    </row>
    <row r="39" spans="5:12" x14ac:dyDescent="0.25">
      <c r="L39" s="15">
        <f>SUM(L5:L38)</f>
        <v>44168.62999999999</v>
      </c>
    </row>
    <row r="40" spans="5:12" x14ac:dyDescent="0.25">
      <c r="F40" s="3"/>
      <c r="L40" s="17">
        <f>L39-F4</f>
        <v>0</v>
      </c>
    </row>
    <row r="41" spans="5:12" x14ac:dyDescent="0.25">
      <c r="F41" s="3"/>
    </row>
    <row r="42" spans="5:12" x14ac:dyDescent="0.25">
      <c r="F42" s="3"/>
    </row>
    <row r="43" spans="5:12" x14ac:dyDescent="0.25">
      <c r="F43" s="3"/>
    </row>
    <row r="44" spans="5:12" x14ac:dyDescent="0.25">
      <c r="E44" s="3"/>
      <c r="G44" s="4"/>
      <c r="H44" s="4"/>
    </row>
    <row r="45" spans="5:12" x14ac:dyDescent="0.25">
      <c r="E45" s="3"/>
      <c r="G45" s="4"/>
      <c r="H45" s="4"/>
    </row>
    <row r="46" spans="5:12" x14ac:dyDescent="0.25">
      <c r="E46" s="3"/>
      <c r="G46" s="4"/>
      <c r="H46" s="4"/>
    </row>
    <row r="47" spans="5:12" x14ac:dyDescent="0.25">
      <c r="E47" s="3"/>
      <c r="G47" s="4"/>
      <c r="H47" s="4"/>
      <c r="J47" s="1"/>
    </row>
    <row r="48" spans="5:12" x14ac:dyDescent="0.25">
      <c r="E48" s="3"/>
      <c r="G48" s="4"/>
      <c r="H48" s="4"/>
      <c r="J48" s="1"/>
      <c r="K48" s="1"/>
      <c r="L48" s="1"/>
    </row>
    <row r="49" spans="5:12" x14ac:dyDescent="0.25">
      <c r="E49" s="3"/>
      <c r="G49" s="4"/>
      <c r="H49" s="4"/>
      <c r="I49" t="s">
        <v>16</v>
      </c>
      <c r="J49" s="1">
        <f>[1]Worksheet!$E$17</f>
        <v>10</v>
      </c>
      <c r="K49" s="1">
        <f>GETPIVOTDATA("Amount",$A$3,"AC","FY25")</f>
        <v>-2234.7600000000016</v>
      </c>
      <c r="L49" s="1">
        <f>J49+K49</f>
        <v>-2224.7600000000016</v>
      </c>
    </row>
    <row r="50" spans="5:12" x14ac:dyDescent="0.25">
      <c r="E50" s="3"/>
      <c r="G50" s="4"/>
      <c r="I50" t="s">
        <v>10</v>
      </c>
      <c r="J50" s="1"/>
      <c r="K50" s="1">
        <f>-GETPIVOTDATA("Amount",$A$3,"AC","FY25","UC category","DLA")</f>
        <v>45.95</v>
      </c>
      <c r="L50" s="1">
        <f t="shared" ref="L50:L55" si="1">J50+K50</f>
        <v>45.95</v>
      </c>
    </row>
    <row r="51" spans="5:12" x14ac:dyDescent="0.25">
      <c r="I51" t="s">
        <v>62</v>
      </c>
      <c r="J51" s="1"/>
      <c r="K51" s="1"/>
      <c r="L51" s="1">
        <f t="shared" si="1"/>
        <v>0</v>
      </c>
    </row>
    <row r="52" spans="5:12" x14ac:dyDescent="0.25">
      <c r="I52" t="s">
        <v>163</v>
      </c>
      <c r="J52" s="1">
        <f>[1]Worksheet!$E$19</f>
        <v>-634</v>
      </c>
      <c r="K52" s="1">
        <f>-GETPIVOTDATA("Amount",$A$3,"AC","FY25","UC category","Accountancy")</f>
        <v>613</v>
      </c>
      <c r="L52" s="1">
        <f t="shared" si="1"/>
        <v>-21</v>
      </c>
    </row>
    <row r="53" spans="5:12" x14ac:dyDescent="0.25">
      <c r="I53" t="s">
        <v>167</v>
      </c>
      <c r="J53" s="1">
        <f>[1]Worksheet!$E$18</f>
        <v>-5134</v>
      </c>
      <c r="K53" s="1">
        <f>-GETPIVOTDATA("Amount",$A$3,"AC","FY25","UC category","HMRC")</f>
        <v>5105.87</v>
      </c>
      <c r="L53" s="1">
        <f t="shared" si="1"/>
        <v>-28.130000000000109</v>
      </c>
    </row>
    <row r="54" spans="5:12" x14ac:dyDescent="0.25">
      <c r="I54" t="s">
        <v>456</v>
      </c>
      <c r="J54" s="1">
        <v>1</v>
      </c>
      <c r="K54" s="1"/>
      <c r="L54" s="1">
        <f t="shared" si="1"/>
        <v>1</v>
      </c>
    </row>
    <row r="55" spans="5:12" x14ac:dyDescent="0.25">
      <c r="I55" s="3" t="s">
        <v>461</v>
      </c>
      <c r="J55" s="1"/>
      <c r="K55" s="1">
        <f>-GETPIVOTDATA("Amount",$A$3,"AC","FY25","UC category","DLA - fraud")</f>
        <v>106.86999999999996</v>
      </c>
      <c r="L55" s="1">
        <f t="shared" si="1"/>
        <v>106.86999999999996</v>
      </c>
    </row>
    <row r="56" spans="5:12" x14ac:dyDescent="0.25">
      <c r="J56" s="1"/>
      <c r="K56" s="1"/>
      <c r="L56" s="1"/>
    </row>
    <row r="57" spans="5:12" x14ac:dyDescent="0.25">
      <c r="J57" s="13">
        <f>SUM(J49:J56)</f>
        <v>-5757</v>
      </c>
      <c r="K57" s="1"/>
      <c r="L57" s="13">
        <f>SUM(L49:L56)</f>
        <v>-2120.070000000002</v>
      </c>
    </row>
    <row r="58" spans="5:12" x14ac:dyDescent="0.25">
      <c r="J58" s="1"/>
      <c r="K58" s="1"/>
      <c r="L58" s="1"/>
    </row>
    <row r="59" spans="5:12" x14ac:dyDescent="0.25">
      <c r="J59" s="1"/>
      <c r="K59" s="1"/>
      <c r="L59" s="1"/>
    </row>
    <row r="60" spans="5:12" x14ac:dyDescent="0.25">
      <c r="J60" s="1"/>
      <c r="K60" s="1"/>
      <c r="L60" s="1"/>
    </row>
    <row r="61" spans="5:12" x14ac:dyDescent="0.25">
      <c r="J61" s="1"/>
      <c r="K61" s="1"/>
      <c r="L61" s="1"/>
    </row>
    <row r="62" spans="5:12" x14ac:dyDescent="0.25">
      <c r="I62" t="s">
        <v>457</v>
      </c>
      <c r="J62" s="1">
        <v>-21886</v>
      </c>
      <c r="K62" s="1"/>
      <c r="L62" s="1">
        <f>J62+J63</f>
        <v>5758</v>
      </c>
    </row>
    <row r="63" spans="5:12" x14ac:dyDescent="0.25">
      <c r="I63" t="s">
        <v>458</v>
      </c>
      <c r="J63" s="1">
        <f>[1]Worksheet!$E$21</f>
        <v>27644</v>
      </c>
      <c r="K63" s="1"/>
      <c r="L63" s="1"/>
    </row>
    <row r="64" spans="5:12" x14ac:dyDescent="0.25">
      <c r="I64" t="s">
        <v>456</v>
      </c>
      <c r="J64" s="1">
        <f>[1]Worksheet!$E$20</f>
        <v>-1</v>
      </c>
      <c r="K64" s="1"/>
      <c r="L64" s="1">
        <f>J64</f>
        <v>-1</v>
      </c>
    </row>
    <row r="65" spans="9:12" x14ac:dyDescent="0.25">
      <c r="I65" t="s">
        <v>459</v>
      </c>
      <c r="J65" s="1"/>
      <c r="K65" s="1"/>
      <c r="L65" s="1">
        <f>-L39</f>
        <v>-44168.62999999999</v>
      </c>
    </row>
    <row r="66" spans="9:12" x14ac:dyDescent="0.25">
      <c r="I66" t="s">
        <v>460</v>
      </c>
      <c r="J66" s="1"/>
      <c r="K66" s="1">
        <f>-GETPIVOTDATA("Amount",$A$3,"AC","FY25","UC category","Dividends")-GETPIVOTDATA("Amount",$A$3,"AC","FY25","UC category","HMRC SA")</f>
        <v>40531.699999999997</v>
      </c>
      <c r="L66" s="1">
        <f>J66+K66</f>
        <v>40531.699999999997</v>
      </c>
    </row>
    <row r="67" spans="9:12" x14ac:dyDescent="0.25">
      <c r="J67" s="1"/>
      <c r="K67" s="1"/>
      <c r="L67" s="1"/>
    </row>
    <row r="68" spans="9:12" x14ac:dyDescent="0.25">
      <c r="J68" s="13">
        <f>SUM(J62:J67)</f>
        <v>5757</v>
      </c>
      <c r="K68" s="1"/>
      <c r="L68" s="13">
        <f>SUM(L62:L67)</f>
        <v>2120.070000000007</v>
      </c>
    </row>
    <row r="69" spans="9:12" x14ac:dyDescent="0.25">
      <c r="J69" s="18">
        <f>J68+J57</f>
        <v>0</v>
      </c>
      <c r="K69" s="1"/>
      <c r="L69" s="18">
        <f>L68+L57</f>
        <v>5.0022208597511053E-12</v>
      </c>
    </row>
    <row r="70" spans="9:12" x14ac:dyDescent="0.25">
      <c r="J70" s="1"/>
      <c r="K70" s="1"/>
      <c r="L70" s="1"/>
    </row>
    <row r="71" spans="9:12" x14ac:dyDescent="0.25">
      <c r="J71" s="1"/>
      <c r="K71" s="1"/>
      <c r="L71" s="1"/>
    </row>
    <row r="72" spans="9:12" x14ac:dyDescent="0.25">
      <c r="K72" s="1"/>
      <c r="L72" s="1"/>
    </row>
    <row r="76" spans="9:12" x14ac:dyDescent="0.25">
      <c r="K76" s="1"/>
    </row>
    <row r="77" spans="9:12" x14ac:dyDescent="0.25">
      <c r="K77" s="1"/>
    </row>
  </sheetData>
  <sortState ref="N10:N21">
    <sortCondition ref="N10:N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2025</vt:lpstr>
      <vt:lpstr>Analysis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Chaudhry</dc:creator>
  <cp:lastModifiedBy>Ahmed Alam</cp:lastModifiedBy>
  <dcterms:created xsi:type="dcterms:W3CDTF">2015-06-05T18:17:20Z</dcterms:created>
  <dcterms:modified xsi:type="dcterms:W3CDTF">2026-07-01T21:53:51Z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c2d680b-ba60-44f1-9019-53349d9520ba_Enabled">
    <vt:lpwstr>true</vt:lpwstr>
  </property>
  <property fmtid="{D5CDD505-2E9C-101B-9397-08002B2CF9AE}" pid="5" name="MSIP_Label_4c2d680b-ba60-44f1-9019-53349d9520ba_SetDate">
    <vt:lpwstr>2024-01-04T23:16:03Z</vt:lpwstr>
  </property>
  <property fmtid="{D5CDD505-2E9C-101B-9397-08002B2CF9AE}" pid="6" name="MSIP_Label_4c2d680b-ba60-44f1-9019-53349d9520ba_Method">
    <vt:lpwstr>Standard</vt:lpwstr>
  </property>
  <property fmtid="{D5CDD505-2E9C-101B-9397-08002B2CF9AE}" pid="7" name="MSIP_Label_4c2d680b-ba60-44f1-9019-53349d9520ba_Name">
    <vt:lpwstr>Secret - Prod</vt:lpwstr>
  </property>
  <property fmtid="{D5CDD505-2E9C-101B-9397-08002B2CF9AE}" pid="8" name="MSIP_Label_4c2d680b-ba60-44f1-9019-53349d9520ba_SiteId">
    <vt:lpwstr>5b2d121f-48c2-42b5-abd2-286c96656636</vt:lpwstr>
  </property>
  <property fmtid="{D5CDD505-2E9C-101B-9397-08002B2CF9AE}" pid="9" name="MSIP_Label_4c2d680b-ba60-44f1-9019-53349d9520ba_ActionId">
    <vt:lpwstr>69c25d10-44be-425b-935a-89cf33ba5051</vt:lpwstr>
  </property>
  <property fmtid="{D5CDD505-2E9C-101B-9397-08002B2CF9AE}" pid="10" name="MSIP_Label_4c2d680b-ba60-44f1-9019-53349d9520ba_ContentBits">
    <vt:lpwstr>1</vt:lpwstr>
  </property>
</Properties>
</file>