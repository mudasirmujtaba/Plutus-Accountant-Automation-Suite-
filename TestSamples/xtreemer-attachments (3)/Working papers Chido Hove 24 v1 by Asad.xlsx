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cumkit\Chido Hove\MY work Chido Hove\Latest Chido Hove\"/>
    </mc:Choice>
  </mc:AlternateContent>
  <bookViews>
    <workbookView xWindow="0" yWindow="0" windowWidth="24000" windowHeight="9600" tabRatio="827" activeTab="1"/>
  </bookViews>
  <sheets>
    <sheet name="Raw 24" sheetId="5" r:id="rId1"/>
    <sheet name="Analysis 24" sheetId="6" r:id="rId2"/>
  </sheets>
  <definedNames>
    <definedName name="_xlnm._FilterDatabase" localSheetId="0" hidden="1">'Raw 24'!$A$1:$M$213</definedName>
  </definedNames>
  <calcPr calcId="162913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6" l="1"/>
  <c r="J5" i="6"/>
  <c r="J4" i="6"/>
  <c r="N5" i="6" l="1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J7" i="6" l="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J8" i="6"/>
  <c r="M48" i="6"/>
  <c r="N48" i="6" l="1"/>
  <c r="M59" i="6"/>
  <c r="I127" i="5" l="1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120" i="5"/>
  <c r="I121" i="5"/>
  <c r="I122" i="5"/>
  <c r="I123" i="5"/>
  <c r="I124" i="5"/>
  <c r="I125" i="5"/>
  <c r="I126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M44" i="6"/>
  <c r="N44" i="6" l="1"/>
  <c r="N60" i="6"/>
  <c r="L57" i="6"/>
  <c r="L55" i="6"/>
  <c r="N55" i="6" s="1"/>
  <c r="N43" i="6"/>
  <c r="M45" i="6"/>
  <c r="N56" i="6" l="1"/>
  <c r="L63" i="6"/>
  <c r="N49" i="6"/>
  <c r="N59" i="6"/>
  <c r="L47" i="6"/>
  <c r="N47" i="6" s="1"/>
  <c r="L46" i="6"/>
  <c r="N46" i="6" s="1"/>
  <c r="L45" i="6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2" i="5"/>
  <c r="I3" i="5"/>
  <c r="I4" i="5"/>
  <c r="I5" i="5"/>
  <c r="I6" i="5"/>
  <c r="I7" i="5"/>
  <c r="I8" i="5"/>
  <c r="N36" i="6" l="1"/>
  <c r="M58" i="6" s="1"/>
  <c r="N45" i="6"/>
  <c r="L52" i="6"/>
  <c r="L66" i="6" s="1"/>
  <c r="N52" i="6" l="1"/>
  <c r="N38" i="6"/>
  <c r="N58" i="6"/>
  <c r="N63" i="6" s="1"/>
  <c r="N66" i="6" l="1"/>
  <c r="J2" i="5" l="1"/>
  <c r="J3" i="5" s="1"/>
  <c r="K3" i="5" s="1"/>
  <c r="K2" i="5" l="1"/>
  <c r="J4" i="5" l="1"/>
  <c r="J5" i="5" s="1"/>
  <c r="K5" i="5" s="1"/>
  <c r="K4" i="5" l="1"/>
  <c r="J6" i="5" l="1"/>
  <c r="J7" i="5" s="1"/>
  <c r="J8" i="5" l="1"/>
  <c r="K7" i="5"/>
  <c r="K6" i="5"/>
  <c r="J9" i="5" l="1"/>
  <c r="K8" i="5"/>
  <c r="K9" i="5" l="1"/>
  <c r="J10" i="5"/>
  <c r="J11" i="5" l="1"/>
  <c r="K10" i="5"/>
  <c r="J12" i="5" l="1"/>
  <c r="K11" i="5"/>
  <c r="J13" i="5" l="1"/>
  <c r="K12" i="5"/>
  <c r="K13" i="5" l="1"/>
  <c r="J14" i="5"/>
  <c r="K14" i="5" l="1"/>
  <c r="J15" i="5"/>
  <c r="K15" i="5" l="1"/>
  <c r="J16" i="5"/>
  <c r="J17" i="5" l="1"/>
  <c r="K16" i="5"/>
  <c r="J18" i="5" l="1"/>
  <c r="K17" i="5"/>
  <c r="K18" i="5" l="1"/>
  <c r="J19" i="5"/>
  <c r="K19" i="5" l="1"/>
  <c r="J20" i="5"/>
  <c r="J21" i="5" l="1"/>
  <c r="K20" i="5"/>
  <c r="K21" i="5" l="1"/>
  <c r="J22" i="5"/>
  <c r="J23" i="5" l="1"/>
  <c r="K22" i="5"/>
  <c r="K23" i="5" l="1"/>
  <c r="J24" i="5"/>
  <c r="J25" i="5" l="1"/>
  <c r="K24" i="5"/>
  <c r="K25" i="5" l="1"/>
  <c r="J26" i="5"/>
  <c r="K26" i="5" l="1"/>
  <c r="J27" i="5"/>
  <c r="K27" i="5" s="1"/>
  <c r="J28" i="5" l="1"/>
  <c r="J29" i="5" s="1"/>
  <c r="K29" i="5" l="1"/>
  <c r="J30" i="5"/>
  <c r="K28" i="5"/>
  <c r="J31" i="5" l="1"/>
  <c r="K30" i="5"/>
  <c r="J32" i="5" l="1"/>
  <c r="K31" i="5"/>
  <c r="J33" i="5" l="1"/>
  <c r="K32" i="5"/>
  <c r="K33" i="5" l="1"/>
  <c r="J34" i="5"/>
  <c r="K34" i="5" l="1"/>
  <c r="J35" i="5"/>
  <c r="J36" i="5" l="1"/>
  <c r="K35" i="5"/>
  <c r="J37" i="5" l="1"/>
  <c r="K36" i="5"/>
  <c r="J38" i="5" l="1"/>
  <c r="K37" i="5"/>
  <c r="K38" i="5" l="1"/>
  <c r="J39" i="5"/>
  <c r="K39" i="5" l="1"/>
  <c r="J40" i="5"/>
  <c r="J41" i="5" l="1"/>
  <c r="K40" i="5"/>
  <c r="J42" i="5" l="1"/>
  <c r="K41" i="5"/>
  <c r="K42" i="5" l="1"/>
  <c r="J43" i="5"/>
  <c r="K43" i="5" l="1"/>
  <c r="J44" i="5"/>
  <c r="J45" i="5" l="1"/>
  <c r="K44" i="5"/>
  <c r="K45" i="5" l="1"/>
  <c r="J46" i="5"/>
  <c r="K46" i="5" l="1"/>
  <c r="J47" i="5"/>
  <c r="K47" i="5" l="1"/>
  <c r="J48" i="5"/>
  <c r="J49" i="5" l="1"/>
  <c r="K48" i="5"/>
  <c r="K49" i="5" l="1"/>
  <c r="J50" i="5"/>
  <c r="K50" i="5" s="1"/>
  <c r="J51" i="5" l="1"/>
  <c r="K51" i="5" s="1"/>
  <c r="J52" i="5" l="1"/>
  <c r="K52" i="5" s="1"/>
  <c r="J53" i="5" l="1"/>
  <c r="J54" i="5" s="1"/>
  <c r="K54" i="5" s="1"/>
  <c r="J55" i="5" l="1"/>
  <c r="K55" i="5" s="1"/>
  <c r="K53" i="5"/>
  <c r="J56" i="5" l="1"/>
  <c r="K56" i="5" s="1"/>
  <c r="J57" i="5" l="1"/>
  <c r="K57" i="5" s="1"/>
  <c r="J58" i="5" l="1"/>
  <c r="K58" i="5" s="1"/>
  <c r="J59" i="5" l="1"/>
  <c r="K59" i="5" s="1"/>
  <c r="J60" i="5" l="1"/>
  <c r="J61" i="5" s="1"/>
  <c r="K60" i="5" l="1"/>
  <c r="J62" i="5"/>
  <c r="K61" i="5"/>
  <c r="K62" i="5" l="1"/>
  <c r="J63" i="5"/>
  <c r="K63" i="5" l="1"/>
  <c r="J64" i="5"/>
  <c r="J65" i="5" l="1"/>
  <c r="K64" i="5"/>
  <c r="J66" i="5" l="1"/>
  <c r="K65" i="5"/>
  <c r="K66" i="5" l="1"/>
  <c r="J67" i="5"/>
  <c r="K67" i="5" l="1"/>
  <c r="J68" i="5"/>
  <c r="K68" i="5" l="1"/>
  <c r="J69" i="5"/>
  <c r="K69" i="5" l="1"/>
  <c r="J70" i="5"/>
  <c r="J71" i="5" l="1"/>
  <c r="K70" i="5"/>
  <c r="J72" i="5" l="1"/>
  <c r="K71" i="5"/>
  <c r="J73" i="5" l="1"/>
  <c r="K72" i="5"/>
  <c r="K73" i="5" l="1"/>
  <c r="J74" i="5"/>
  <c r="J75" i="5" l="1"/>
  <c r="K74" i="5"/>
  <c r="K75" i="5" l="1"/>
  <c r="J76" i="5"/>
  <c r="J77" i="5" l="1"/>
  <c r="K76" i="5"/>
  <c r="J78" i="5" l="1"/>
  <c r="K77" i="5"/>
  <c r="J79" i="5" l="1"/>
  <c r="K78" i="5"/>
  <c r="K79" i="5" l="1"/>
  <c r="J80" i="5"/>
  <c r="J81" i="5" l="1"/>
  <c r="K80" i="5"/>
  <c r="K81" i="5" l="1"/>
  <c r="J82" i="5"/>
  <c r="K82" i="5" l="1"/>
  <c r="J83" i="5"/>
  <c r="K83" i="5" l="1"/>
  <c r="J84" i="5"/>
  <c r="J85" i="5" l="1"/>
  <c r="K84" i="5"/>
  <c r="K85" i="5" l="1"/>
  <c r="J86" i="5"/>
  <c r="J87" i="5" l="1"/>
  <c r="K86" i="5"/>
  <c r="J88" i="5" l="1"/>
  <c r="K87" i="5"/>
  <c r="J89" i="5" l="1"/>
  <c r="K88" i="5"/>
  <c r="J90" i="5" l="1"/>
  <c r="K89" i="5"/>
  <c r="J91" i="5" l="1"/>
  <c r="K90" i="5"/>
  <c r="J92" i="5" l="1"/>
  <c r="K91" i="5"/>
  <c r="J93" i="5" l="1"/>
  <c r="K92" i="5"/>
  <c r="J94" i="5" l="1"/>
  <c r="K93" i="5"/>
  <c r="K94" i="5" l="1"/>
  <c r="J95" i="5"/>
  <c r="J96" i="5" l="1"/>
  <c r="K95" i="5"/>
  <c r="J97" i="5" l="1"/>
  <c r="K96" i="5"/>
  <c r="K97" i="5" l="1"/>
  <c r="J98" i="5"/>
  <c r="K98" i="5" l="1"/>
  <c r="J99" i="5"/>
  <c r="K99" i="5" l="1"/>
  <c r="J100" i="5"/>
  <c r="J101" i="5" l="1"/>
  <c r="K100" i="5"/>
  <c r="J102" i="5" l="1"/>
  <c r="K101" i="5"/>
  <c r="J103" i="5" l="1"/>
  <c r="K102" i="5"/>
  <c r="J104" i="5" l="1"/>
  <c r="K103" i="5"/>
  <c r="K104" i="5" l="1"/>
  <c r="J105" i="5"/>
  <c r="K105" i="5" l="1"/>
  <c r="J106" i="5"/>
  <c r="K106" i="5" l="1"/>
  <c r="J107" i="5"/>
  <c r="K107" i="5" l="1"/>
  <c r="J108" i="5"/>
  <c r="J109" i="5" l="1"/>
  <c r="K108" i="5"/>
  <c r="J110" i="5" l="1"/>
  <c r="K109" i="5"/>
  <c r="J111" i="5" l="1"/>
  <c r="K110" i="5"/>
  <c r="J112" i="5" l="1"/>
  <c r="K111" i="5"/>
  <c r="J113" i="5" l="1"/>
  <c r="K112" i="5"/>
  <c r="K113" i="5" l="1"/>
  <c r="J114" i="5"/>
  <c r="K114" i="5" l="1"/>
  <c r="J115" i="5"/>
  <c r="J116" i="5" l="1"/>
  <c r="K115" i="5"/>
  <c r="J117" i="5" l="1"/>
  <c r="K116" i="5"/>
  <c r="K117" i="5" l="1"/>
  <c r="J118" i="5"/>
  <c r="K118" i="5" l="1"/>
  <c r="J119" i="5"/>
  <c r="K119" i="5" l="1"/>
  <c r="J120" i="5"/>
  <c r="J121" i="5" l="1"/>
  <c r="K120" i="5"/>
  <c r="J122" i="5" l="1"/>
  <c r="K121" i="5"/>
  <c r="K122" i="5" l="1"/>
  <c r="J123" i="5"/>
  <c r="K123" i="5" l="1"/>
  <c r="J124" i="5"/>
  <c r="J125" i="5" l="1"/>
  <c r="K124" i="5"/>
  <c r="J126" i="5" l="1"/>
  <c r="K125" i="5"/>
  <c r="J127" i="5" l="1"/>
  <c r="K126" i="5"/>
  <c r="K127" i="5" l="1"/>
  <c r="J128" i="5"/>
  <c r="J129" i="5" l="1"/>
  <c r="K128" i="5"/>
  <c r="J130" i="5" l="1"/>
  <c r="K129" i="5"/>
  <c r="K130" i="5" l="1"/>
  <c r="J131" i="5"/>
  <c r="K131" i="5" l="1"/>
  <c r="J132" i="5"/>
  <c r="J133" i="5" l="1"/>
  <c r="K132" i="5"/>
  <c r="J134" i="5" l="1"/>
  <c r="K133" i="5"/>
  <c r="J135" i="5" l="1"/>
  <c r="K134" i="5"/>
  <c r="J136" i="5" l="1"/>
  <c r="K135" i="5"/>
  <c r="K136" i="5" l="1"/>
  <c r="J137" i="5"/>
  <c r="K137" i="5" l="1"/>
  <c r="J138" i="5"/>
  <c r="J139" i="5" l="1"/>
  <c r="K138" i="5"/>
  <c r="J140" i="5" l="1"/>
  <c r="K139" i="5"/>
  <c r="J141" i="5" l="1"/>
  <c r="K140" i="5"/>
  <c r="K141" i="5" l="1"/>
  <c r="J142" i="5"/>
  <c r="K142" i="5" l="1"/>
  <c r="J143" i="5"/>
  <c r="K143" i="5" l="1"/>
  <c r="J144" i="5"/>
  <c r="J145" i="5" l="1"/>
  <c r="K144" i="5"/>
  <c r="J146" i="5" l="1"/>
  <c r="K145" i="5"/>
  <c r="J147" i="5" l="1"/>
  <c r="K146" i="5"/>
  <c r="K147" i="5" l="1"/>
  <c r="J148" i="5"/>
  <c r="K148" i="5" l="1"/>
  <c r="J149" i="5"/>
  <c r="K149" i="5" l="1"/>
  <c r="J150" i="5"/>
  <c r="J151" i="5" l="1"/>
  <c r="K150" i="5"/>
  <c r="K151" i="5" l="1"/>
  <c r="J152" i="5"/>
  <c r="J153" i="5" l="1"/>
  <c r="K152" i="5"/>
  <c r="J154" i="5" l="1"/>
  <c r="K153" i="5"/>
  <c r="K154" i="5" l="1"/>
  <c r="J155" i="5"/>
  <c r="K155" i="5" l="1"/>
  <c r="J156" i="5"/>
  <c r="J157" i="5" l="1"/>
  <c r="K156" i="5"/>
  <c r="J158" i="5" l="1"/>
  <c r="K157" i="5"/>
  <c r="J159" i="5" l="1"/>
  <c r="K158" i="5"/>
  <c r="J160" i="5" l="1"/>
  <c r="K159" i="5"/>
  <c r="J161" i="5" l="1"/>
  <c r="K160" i="5"/>
  <c r="K161" i="5" l="1"/>
  <c r="J162" i="5"/>
  <c r="K162" i="5" l="1"/>
  <c r="J163" i="5"/>
  <c r="J164" i="5" l="1"/>
  <c r="K163" i="5"/>
  <c r="K164" i="5" l="1"/>
  <c r="J165" i="5"/>
  <c r="K165" i="5" l="1"/>
  <c r="J166" i="5"/>
  <c r="K166" i="5" l="1"/>
  <c r="J167" i="5"/>
  <c r="J168" i="5" l="1"/>
  <c r="K167" i="5"/>
  <c r="J169" i="5" l="1"/>
  <c r="K168" i="5"/>
  <c r="J170" i="5" l="1"/>
  <c r="K169" i="5"/>
  <c r="K170" i="5" l="1"/>
  <c r="J171" i="5"/>
  <c r="J172" i="5" l="1"/>
  <c r="K171" i="5"/>
  <c r="K172" i="5" l="1"/>
  <c r="J173" i="5"/>
  <c r="K173" i="5" l="1"/>
  <c r="J174" i="5"/>
  <c r="K174" i="5" l="1"/>
  <c r="J175" i="5"/>
  <c r="J176" i="5" l="1"/>
  <c r="K175" i="5"/>
  <c r="J177" i="5" l="1"/>
  <c r="K176" i="5"/>
  <c r="J178" i="5" l="1"/>
  <c r="K177" i="5"/>
  <c r="K178" i="5" l="1"/>
  <c r="J179" i="5"/>
  <c r="K179" i="5" l="1"/>
  <c r="J180" i="5"/>
  <c r="J181" i="5" l="1"/>
  <c r="K180" i="5"/>
  <c r="K181" i="5" l="1"/>
  <c r="J182" i="5"/>
  <c r="J183" i="5" l="1"/>
  <c r="K182" i="5"/>
  <c r="J184" i="5" l="1"/>
  <c r="K183" i="5"/>
  <c r="J185" i="5" l="1"/>
  <c r="K184" i="5"/>
  <c r="K185" i="5" l="1"/>
  <c r="J186" i="5"/>
  <c r="J187" i="5" l="1"/>
  <c r="K186" i="5"/>
  <c r="J188" i="5" l="1"/>
  <c r="K187" i="5"/>
  <c r="J189" i="5" l="1"/>
  <c r="K188" i="5"/>
  <c r="K189" i="5" l="1"/>
  <c r="J190" i="5"/>
  <c r="K190" i="5" l="1"/>
  <c r="J191" i="5"/>
  <c r="K191" i="5" l="1"/>
  <c r="J192" i="5"/>
  <c r="J193" i="5" l="1"/>
  <c r="K192" i="5"/>
  <c r="J194" i="5" l="1"/>
  <c r="K193" i="5"/>
  <c r="K194" i="5" l="1"/>
  <c r="J195" i="5"/>
  <c r="J196" i="5" l="1"/>
  <c r="K195" i="5"/>
  <c r="K196" i="5" l="1"/>
  <c r="J197" i="5"/>
  <c r="J198" i="5" l="1"/>
  <c r="K197" i="5"/>
  <c r="J199" i="5" l="1"/>
  <c r="K198" i="5"/>
  <c r="K199" i="5" l="1"/>
  <c r="J200" i="5"/>
  <c r="K200" i="5" l="1"/>
  <c r="J201" i="5"/>
  <c r="K201" i="5" l="1"/>
  <c r="J202" i="5"/>
  <c r="K202" i="5" l="1"/>
  <c r="J203" i="5"/>
  <c r="K203" i="5" l="1"/>
  <c r="J204" i="5"/>
  <c r="J205" i="5" l="1"/>
  <c r="K204" i="5"/>
  <c r="K205" i="5" l="1"/>
  <c r="J206" i="5"/>
  <c r="J207" i="5" l="1"/>
  <c r="K206" i="5"/>
  <c r="J208" i="5" l="1"/>
  <c r="K207" i="5"/>
  <c r="K208" i="5" l="1"/>
  <c r="J209" i="5"/>
  <c r="J210" i="5" l="1"/>
  <c r="K209" i="5"/>
  <c r="J211" i="5" l="1"/>
  <c r="K210" i="5"/>
  <c r="K211" i="5" l="1"/>
  <c r="J212" i="5"/>
  <c r="K212" i="5" l="1"/>
  <c r="J213" i="5"/>
  <c r="K213" i="5" s="1"/>
</calcChain>
</file>

<file path=xl/sharedStrings.xml><?xml version="1.0" encoding="utf-8"?>
<sst xmlns="http://schemas.openxmlformats.org/spreadsheetml/2006/main" count="946" uniqueCount="228">
  <si>
    <t>UC category</t>
  </si>
  <si>
    <t>Dividend</t>
  </si>
  <si>
    <t>Sum of NET</t>
  </si>
  <si>
    <t>Column Labels</t>
  </si>
  <si>
    <t>Grand Total</t>
  </si>
  <si>
    <t>Row Labels</t>
  </si>
  <si>
    <t>No</t>
  </si>
  <si>
    <t>SA</t>
  </si>
  <si>
    <t>ACC</t>
  </si>
  <si>
    <t>Date</t>
  </si>
  <si>
    <t>Description</t>
  </si>
  <si>
    <t>Paid in</t>
  </si>
  <si>
    <t>Paid out</t>
  </si>
  <si>
    <t>Balance</t>
  </si>
  <si>
    <t>NET</t>
  </si>
  <si>
    <t>Balance UC</t>
  </si>
  <si>
    <t>Check UC</t>
  </si>
  <si>
    <t>Income</t>
  </si>
  <si>
    <t>SA24</t>
  </si>
  <si>
    <t>Hotel</t>
  </si>
  <si>
    <t>Lunch</t>
  </si>
  <si>
    <t>Parking</t>
  </si>
  <si>
    <t>Toll</t>
  </si>
  <si>
    <t>Petrol</t>
  </si>
  <si>
    <t>Professional - College</t>
  </si>
  <si>
    <t>Professional - AOP</t>
  </si>
  <si>
    <t>Automated Credit SPECSAVERS FINANCE SPECSAVERS  SEP
 COM</t>
  </si>
  <si>
    <t>Subscription</t>
  </si>
  <si>
    <t>FY24</t>
  </si>
  <si>
    <t>Automated Credit ICONIC EYEWE KUOONA LIMITED COM  FP 30/11/23 1854  088430524581031101</t>
  </si>
  <si>
    <t>Automated Credit BOOTS OPTICIANS PR 1003 2000004442  K</t>
  </si>
  <si>
    <t>Direct Debit THE COLLEGE OF OPT  DD001773</t>
  </si>
  <si>
    <t>OnLine Transaction CHIDO HOVE In VIA MOBILE - LVP  FP 05/12/23 10  01224352238059000N</t>
  </si>
  <si>
    <t>Automated Credit VISION EXPRESS UK  200003317620</t>
  </si>
  <si>
    <t>Automated Credit C HOVE CASH RETURN FP 11/12/23  2324
 500000001255931510</t>
  </si>
  <si>
    <t>OnLine Transaction CHIDO HOVE INVEST VIA ONLINE - PYMT FP 11/12/23 10  36224100239120000N</t>
  </si>
  <si>
    <t>PL</t>
  </si>
  <si>
    <t>BS</t>
  </si>
  <si>
    <t>Miles</t>
  </si>
  <si>
    <t>DLA</t>
  </si>
  <si>
    <t>Automated Credit SPECSAVERS FINANCE SPECSAVERS SEP COM</t>
  </si>
  <si>
    <t>Direct Debit THE COLLEGE OF OPT DD001773</t>
  </si>
  <si>
    <t>Direct Debit ASSOC OPTOMETRISTS 0000070593</t>
  </si>
  <si>
    <t>Card Transaction 4163 19DEC23 C TAMAR BRIDGE PLYMOUTH GB</t>
  </si>
  <si>
    <r>
      <rPr>
        <sz val="10"/>
        <rFont val="Calibri"/>
        <family val="2"/>
        <scheme val="minor"/>
      </rPr>
      <t>OnLine Transaction CHIDO HOVE INVEST VIA MOBILE - PYMT FP 26/12/23 10 52121347307951000N</t>
    </r>
  </si>
  <si>
    <t>OnLine Transaction CHIDO HOVE TRANSFER VIA MOBILE - PYMT FP 28/12/23 10 30071348133982000N</t>
  </si>
  <si>
    <t>OnLine Transaction CHIDO HOVE TRANSFER VIA MOBILE - PYMT FP 01/01/24 10 47215400526440000N</t>
  </si>
  <si>
    <t>OnLine Transaction CHIDO HOVE TRANSFER VIA MOBILE - PYMT FP 30/12/23 10 59132623308479000N</t>
  </si>
  <si>
    <t>Card Transaction 4163 30DEC23 C TESCO-STORES-6106 CALLINGTON GB</t>
  </si>
  <si>
    <t>Card Transaction 4163 09JAN24 C TAMAR BRIDGE PLYMOUTH GB</t>
  </si>
  <si>
    <t>Automated Credit LOCUM MATCH LIMITE ASDA PAYMENT FP 12/01/24 0232 05023128353259000J ASDA PAYMENT</t>
  </si>
  <si>
    <t>Card Transaction 4163 11JAN24 C TAMAR BRIDGE PLYMOUTH GB</t>
  </si>
  <si>
    <t>SA25</t>
  </si>
  <si>
    <t>FY25</t>
  </si>
  <si>
    <t>Automated Credit BOOTS OPTICIANS PR 1003 2000007863 K</t>
  </si>
  <si>
    <t>OnLine Transaction CHIDO HOVE TRANSFER VIA MOBILE - PYMT FP 18/02/24 10 02024505456541000N</t>
  </si>
  <si>
    <t>Card Transaction 4163 16FEB24 C TAMAR BRIDGE PLYMOUTH GB</t>
  </si>
  <si>
    <t>OnLine Transaction CHIDO HOVE TRANSFER VIA MOBILE - PYMT FP 20/02/24 10 60130231717931000N</t>
  </si>
  <si>
    <t>Card Transaction 4163 22FEB24 C TAMAR BRIDGE PLYMOUTH GB</t>
  </si>
  <si>
    <t>Card Transaction 4163 28FEB24 C TAMAR BRIDGE PLYMOUTH GB</t>
  </si>
  <si>
    <t>Automated Credit SCRIVENS LTD</t>
  </si>
  <si>
    <t>Automated Credit BOOTS OPTICIANS PR 1003 2000008641 K</t>
  </si>
  <si>
    <t>Card Transaction 4163 29FEB24 C TAMAR BRIDGE PLYMOUTH GB</t>
  </si>
  <si>
    <t>Card Transaction 4163 04MAR24 EB *DEVON LOC STUDY DA 801-413-7200 GB</t>
  </si>
  <si>
    <t>Card Transaction 4163 04MAR24 WWW.OPTICAL.ORG LONDON GB</t>
  </si>
  <si>
    <t>Card Transaction 4163 12MAR24 C TAMAR BRIDGE PLYMOUTH GB</t>
  </si>
  <si>
    <t>Card Transaction 4163 13MAR24 C TAMAR BRIDGE PLYMOUTH GB</t>
  </si>
  <si>
    <t>Automated Credit LOCUM PAYROL LTD ASDA FP 15/03/24 0443 MF074714400E1B3D00</t>
  </si>
  <si>
    <t>OnLine Transaction CHIDO HOVE TRANSFER VIA MOBILE - PYMT FP 15/03/24 10 29161216081850000N</t>
  </si>
  <si>
    <t>Card Transaction 4163 14MAR24 C TAMAR BRIDGE PLYMOUTH GB</t>
  </si>
  <si>
    <t>Card Transaction 4163 15MAR24 EURO CAR PARKS LTD LONDON GB</t>
  </si>
  <si>
    <t>OnLine Transaction CHIDO HOVE TRANSFER VIA MOBILE - PYMT FP 19/03/24 10 55152550137006000N</t>
  </si>
  <si>
    <t>Card Transaction 4163 18MAR24 C COSTERO LOUNGE PAIGNTON GB</t>
  </si>
  <si>
    <t>Card Transaction 4163 18MAR24 C TAMAR BRIDGE PLYMOUTH GB</t>
  </si>
  <si>
    <t>Card Transaction 4163 26MAR24 PLYMOUTH CITY COUN PLYMOUTH GB</t>
  </si>
  <si>
    <t>Automated Credit LOCUM PAYROL LTD ASDA FP 29/03/24 0324 MF06941440227AC400</t>
  </si>
  <si>
    <t>Automated Credit BOOTS OPTICIANS PR 1003 2000010225 K</t>
  </si>
  <si>
    <t>Card Transaction 4163 01APR24 C IBIS STYLE HOTEL PAIGNTON GB</t>
  </si>
  <si>
    <t>Card Transaction 4163 01APR24 C TAMAR BRIDGE PLYMOUTH GB</t>
  </si>
  <si>
    <t>Card Transaction 4163 30MAR24 TORBAY COUNCIL - WEB TORQUAY GB</t>
  </si>
  <si>
    <t>Card Transaction 4163 29MAR24 ALIEXPRESS.COM LONDON GB</t>
  </si>
  <si>
    <t>Card Transaction 4163 29MAR24 BIRMINGHAM OPTICAL BIRMINGHAM GB</t>
  </si>
  <si>
    <t>Card Transaction 4163 02APR24 C TESCO-STORES 4898 PAIGNTON GB</t>
  </si>
  <si>
    <t>Card Transaction 4163 01APR24 IBIS STYLES HOTEL PAIG PAIGNTON GB</t>
  </si>
  <si>
    <t>Card Transaction 4163 03APR24 C CORNWALL COUNCIL - MO TRURO GB</t>
  </si>
  <si>
    <t>Card Transaction 4163 04APR24 C TAMAR BRIDGE PLYMOUTH GB</t>
  </si>
  <si>
    <t>OnLine Transaction CHIDO HOVE INVEST VIA MOBILE - PYMT FP 08/04/24 10 51130224856545000N</t>
  </si>
  <si>
    <t>OnLine Transaction CHIDO HOVE TRANSFER VIA MOBILE - PYMT FP 08/04/24 10 43130253344082000N</t>
  </si>
  <si>
    <t>Card Transaction 4163 05APR24 C CORNWALL COUNCIL - MO TRURO GB</t>
  </si>
  <si>
    <t>Card Transaction 4163 08APR24 C TAMAR BRIDGE PLYMOUTH GB</t>
  </si>
  <si>
    <t>Card Transaction 4163 09APR24 C CORNWALL COUNCIL - MO TRURO GB</t>
  </si>
  <si>
    <t>Card Transaction 4163 10APR24 C TAMAR BRIDGE PLYMOUTH GB</t>
  </si>
  <si>
    <t>Card Transaction 4163 11APR24 C TAMAR BRIDGE PLYMOUTH GB</t>
  </si>
  <si>
    <t>Automated Credit BOOTS OPTICIANS PR 1003 2000011048 K</t>
  </si>
  <si>
    <t>Card Transaction 4163 12APR24 C TAMAR BRIDGE PLYMOUTH GB</t>
  </si>
  <si>
    <t>Card Transaction 4163 13APR24 C GDK PLYMOUTH PLYMOUTH PL1 GB</t>
  </si>
  <si>
    <t>Automated Credit VISION EXPRESS UK RG50570000589024</t>
  </si>
  <si>
    <t>OnLine Transaction CHIDO HOVE TRANSFER VIA MOBILE - PYMT FP 19/04/24 10 14065550118196000N</t>
  </si>
  <si>
    <t>Direct Debit ASSOCIATION OF OPT 0000070593</t>
  </si>
  <si>
    <t>Card Transaction 4163 01MAY24 1STFORMATIO NS.CO.UK LONDON GB</t>
  </si>
  <si>
    <t>Card Transaction 4163 07MAY24 C TAMAR BRIDGE PLYMOUTH GB</t>
  </si>
  <si>
    <t>Card Transaction 4163 08MAY24 C TAMAR BRIDGE PLYMOUTH GB</t>
  </si>
  <si>
    <t>Card Transaction 4163 09MAY24 C TAMAR BRIDGE PLYMOUTH GB</t>
  </si>
  <si>
    <t>Card Transaction 4163 10MAY24 C TAMAR BRIDGE PLYMOUTH GB</t>
  </si>
  <si>
    <t>Card Transaction 4163 15MAY24 C TAMAR BRIDGE PLYMOUTH GB</t>
  </si>
  <si>
    <t>Card Transaction 4163 16MAY24 C TAMAR BRIDGE PLYMOUTH GB</t>
  </si>
  <si>
    <t>OnLine Transaction CHIDO HOVE TRANSFER VIA MOBILE - PYMT FP 19/05/24 10 50082449533488000N</t>
  </si>
  <si>
    <t>Card Transaction 4163 17MAY24 C TAMAR BRIDGE PLYMOUTH GB</t>
  </si>
  <si>
    <t>Card Transaction 4163 20MAY24 TAMAR BRIDGE PLYMOUTH GB</t>
  </si>
  <si>
    <t>Card Transaction 4163 20MAY24 C TAMAR BRIDGE PLYMOUTH GB</t>
  </si>
  <si>
    <t>Card Transaction 4163 21MAY24 C TAMAR BRIDGE PLYMOUTH GB</t>
  </si>
  <si>
    <t>Card Transaction 4163 22MAY24 C TAMAR BRIDGE PLYMOUTH GB</t>
  </si>
  <si>
    <t>Card Transaction 4163 23MAY24 C TAMAR BRIDGE PLYMOUTH GB</t>
  </si>
  <si>
    <t>Card Transaction 4163 03JUN24 PLYMOUTH CITY COUN PLYMOUTH GB</t>
  </si>
  <si>
    <t>Card Transaction 4163 03JUN24 EURO CAR PARKS LTD LONDON GB</t>
  </si>
  <si>
    <t>Card Transaction 4163 05JUN24 AIRBNB * HMFWTHQD8Z 203-318-1111 GB</t>
  </si>
  <si>
    <t>OnLine Transaction CHIDO HOVE TRANSFER VIA MOBILE - PYMT FP 09/06/24 10 50134345215198000N</t>
  </si>
  <si>
    <t>OnLine Transaction CHIDO HOVE TRANSFER VIA MOBILE - PYMT FP 15/06/24 10 28180949197463000N</t>
  </si>
  <si>
    <t>OnLine Transaction CHIDO HOVE Nn VIA MOBILE - LVP FP 15/06/24 10 35181028028696000N</t>
  </si>
  <si>
    <t>Card Transaction 4163 17JUN24 C CORNWALL COUNCIL - THE TRURO GB</t>
  </si>
  <si>
    <t>Automated Credit VISION EXPRESS UK RG50570001276824</t>
  </si>
  <si>
    <t>OnLine Transaction CHIDO HOVE TRANSFER VIA MOBILE - PYMT FP 21/06/24 10 34113627650022000N</t>
  </si>
  <si>
    <t>OnLine Transaction Locums Limited Chido Accounts VIA MOBILE - LVP FP 26/06/24 10 46231124828256000N</t>
  </si>
  <si>
    <t>Card Transaction 4163 27JUN24 C CORNWALL COUNCIL TRURO GB</t>
  </si>
  <si>
    <t>Card Transaction 4163 01JUL24 C CORNWALL COUNCIL TRURO GB</t>
  </si>
  <si>
    <t>OnLine Transaction CHIDO HOVE Expenses owing VIA MOBILE - LVP FP 08/07/24 10 57142638488619000N</t>
  </si>
  <si>
    <t>Card Transaction 4163 09JUL24 C ZETTLE_*THE THOMAS DAN NEWQUAY GB</t>
  </si>
  <si>
    <t>Card Transaction 4163 09JUL24 C CORNWALL COUNCIL - MO TRURO GB</t>
  </si>
  <si>
    <t>Card Transaction 4163 10JUL24 C CORNWALL COUNCIL - MO TRURO GB</t>
  </si>
  <si>
    <t>Automated Credit VISION EXPRESS UK RG50570001484124</t>
  </si>
  <si>
    <t>OnLine Transaction CHIDO HOVE TRANSFER VIA MOBILE - PYMT FP 17/07/24 10 34175323404077000N</t>
  </si>
  <si>
    <t>Automated Credit VISION EXPRESS UK RG50570001550124</t>
  </si>
  <si>
    <t>Card Transaction 4163 24JUL24 C TAMAR BRIDGE PLYMOUTH GB</t>
  </si>
  <si>
    <t>Card Transaction 4163 29JUL24 C TAMAR BRIDGE PLYMOUTH GB</t>
  </si>
  <si>
    <t>Card Transaction 4163 30JUL24 C DRAKE CIRCUS CTR LTD PLYMOUTH GB</t>
  </si>
  <si>
    <t>Card Transaction 4163 30JUL24 C TAMAR BRIDGE PLYMOUTH GB</t>
  </si>
  <si>
    <t>Automated Credit VISION EXPRESS UK RG50570001680324</t>
  </si>
  <si>
    <t>Automated Credit VISION EXPRESS UK RG50570001745824</t>
  </si>
  <si>
    <t>Card Transaction 4163 14AUG24 HOTEL AT BOOKING.COM CAMBRIDGE GB</t>
  </si>
  <si>
    <t>OnLine Transaction CORP TAX C/NAULD I 4233420646A00103A VIA ONLINE - PYMT FP 16/08/24 10
26133634172711000N</t>
  </si>
  <si>
    <t>OnLine Transaction CORP TAX C/NAULD I 4233420646A00102A VIA ONLINE - PYMT FP 16/08/24 10
34133300541794000N</t>
  </si>
  <si>
    <t>OnLine Transaction CHIDO HOVE TRANSFER VIA MOBILE - PYMT FP 21/08/24 10 20160503296635000N</t>
  </si>
  <si>
    <t>Card Transaction 4163 20AUG24 C TAMAR BRIDGE PLYMOUTH GB</t>
  </si>
  <si>
    <t>Automated Credit VISION EXPRESS UK RG50570001810824</t>
  </si>
  <si>
    <t>Card Transaction 4163 23AUG24 C SUMUP *SERVET BAYAR PLYMOUTH GB</t>
  </si>
  <si>
    <t>Card Transaction 4163 23AUG24 C TAMAR BRIDGE PLYMOUTH GB</t>
  </si>
  <si>
    <t>Card Transaction 4163 26AUG24 C TAMAR BRIDGE PLYMOUTH GB</t>
  </si>
  <si>
    <t>Card Transaction 4163 26AUG24 TAMAR BRIDGE PLYMOUTH GB</t>
  </si>
  <si>
    <t>Automated Credit VISION EXPRESS UK RG50570001911924</t>
  </si>
  <si>
    <t>Charges 02AUG A/C 41204042</t>
  </si>
  <si>
    <t>Card Transaction 4163 01SEP24 1STFORMATIO NS.CO.UK LONDON GB</t>
  </si>
  <si>
    <t>Card Transaction 4163 05SEP24 C TRY DOWER TRURO, TRURO GB</t>
  </si>
  <si>
    <t>Automated Credit VISION EXPRESS UK RG50570001970824</t>
  </si>
  <si>
    <t>Card Transaction 4163 06SEP24 MANNINGS HOTEL CORNWALL GB</t>
  </si>
  <si>
    <t>Automated Credit VISION EXPRESS UK RG50570002036724</t>
  </si>
  <si>
    <t>OnLine Transaction HMRC CUMBERNAULD 475PA017019352409 VIA MOBILE - LVP FP 17/09/24 10
20164832426090000N</t>
  </si>
  <si>
    <t>OnLine Transaction CORP TAX C/NAULD I 475PA017019352412 VIA MOBILE - LVP FP 17/09/24 10
55165358717991000N</t>
  </si>
  <si>
    <t>OnLine Transaction CORP TAX C/NAULD I 475PA017019352411 VIA MOBILE - LVP FP 17/09/24 10
32165224675996000N</t>
  </si>
  <si>
    <t>OnLine Transaction CORP TAX C/NAULD I 475PA017019352410 VIA MOBILE - LVP FP 17/09/24 10
46165050478564000N</t>
  </si>
  <si>
    <t>CHAPS Transfer RG50570002103824 PCM55CI20934252 VISION EXPRESS ( UK) LTD CHAPS TFR</t>
  </si>
  <si>
    <t>Card Transaction 4163 18SEP24 BOOKING.COM LONDON GB</t>
  </si>
  <si>
    <t>Automated Credit LOCUM PAYROL LTD ASDA FP 20/09/24 0434 MF041539C1250F8500</t>
  </si>
  <si>
    <t>Card Transaction 4163 25SEP24 C SUBWAY 43373 BACK QUAY TRURO GB</t>
  </si>
  <si>
    <t>Automated Credit LOCUM PAYROL LTD ASDA FP 27/09/24 0505 MF043239C130652000</t>
  </si>
  <si>
    <t>Automated Credit VISION EXPRESS UK RG50570002185424</t>
  </si>
  <si>
    <t>Charges 30AUG A/C 41204042</t>
  </si>
  <si>
    <t>OnLine Transaction CHIDO HOVE Expenses holi inn VIA MOBILE - LVP FP 01/10/24 10 56161959210262000N</t>
  </si>
  <si>
    <t>Card Transaction 4163 01OCT24 PARTNERS ON BOOKING BV AMSTERDAM NL</t>
  </si>
  <si>
    <t>Card Transaction 4163 05OCT24 PROTECTIVE MASKS DIREC TUNBRIDGE WEL GB</t>
  </si>
  <si>
    <t>Automated Credit VISION EXPRESS UK RG50570002267524</t>
  </si>
  <si>
    <t>Automated Credit VISION EXPRESS UK RG50570002329924</t>
  </si>
  <si>
    <t>Card Transaction 4163 16OCT24 C THE GREAT WESTERN HOTE NEWQUAY GB</t>
  </si>
  <si>
    <t>Card Transaction 4163 16OCT24 C FLOUNDERS FISH AND CH NEWQUAY GB</t>
  </si>
  <si>
    <t>Automated Credit VISION EXPRESS UK RG50570002423124</t>
  </si>
  <si>
    <t>Card Transaction 4163 17OCT24 C THE GREAT WESTERN HOTE NEWQUAY GB</t>
  </si>
  <si>
    <t>Card Transaction 4163 22OCT24 C LIDL GB LAUNCESTON LAUNCESTON GB</t>
  </si>
  <si>
    <t>Automated Credit VISION EXPRESS UK RG50570002466924</t>
  </si>
  <si>
    <t>Card Transaction 4163 29OCT24 C DRAKE CIRCUS CAR PARK PLYMOUTH GB</t>
  </si>
  <si>
    <t>Automated Credit VISION EXPRESS UK RG50570002549424</t>
  </si>
  <si>
    <t>Charges 04OCT A/C 41204042</t>
  </si>
  <si>
    <t>Card Transaction 4163 30OCT24 C DRAKE CIRCUS CAR PARK PLYMOUTH GB</t>
  </si>
  <si>
    <t>Automated Credit VISION EXPRESS UK RG50570002619724</t>
  </si>
  <si>
    <t>Automated Credit VISION EXPRESS UK RG50570002689724</t>
  </si>
  <si>
    <t>Automated Credit BOOTS OPTICIANS PR 1003 2000024381 K</t>
  </si>
  <si>
    <t>Automated Credit VISION EXPRESS UK RG50570002757824</t>
  </si>
  <si>
    <t>Card Transaction 4163 24NOV24 1STFORMATIO NS.CO.UK LONDON GB</t>
  </si>
  <si>
    <t>Automated Credit VISION EXPRESS UK RG50570002837524</t>
  </si>
  <si>
    <t>Charges 01NOV A/C 41204042</t>
  </si>
  <si>
    <t>OnLine Transaction CHIDO HOVE TRANSFER VIA MOBILE - PYMT FP 01/12/24 10 10095647708161000N</t>
  </si>
  <si>
    <t>Training</t>
  </si>
  <si>
    <t>Professional Fee</t>
  </si>
  <si>
    <t>Bank charges</t>
  </si>
  <si>
    <t>Accountancy</t>
  </si>
  <si>
    <t>HMRC-CT</t>
  </si>
  <si>
    <t>Dinner</t>
  </si>
  <si>
    <t>HMRC-PAYE</t>
  </si>
  <si>
    <t>Called up share capital not paid</t>
  </si>
  <si>
    <t>Cash - Cash at bank and in hand</t>
  </si>
  <si>
    <t>Creditors less than 1 year - Corporation tax</t>
  </si>
  <si>
    <t>Creditors less than 1 year - Directors' loans</t>
  </si>
  <si>
    <t>Accruals and deferred income - Accruals</t>
  </si>
  <si>
    <t>Share capital - Brought forward</t>
  </si>
  <si>
    <t>Profit and loss account - Equity dividends</t>
  </si>
  <si>
    <t>Prior Year PL</t>
  </si>
  <si>
    <t>CY Profit Loss</t>
  </si>
  <si>
    <t>Dividends CY</t>
  </si>
  <si>
    <t>OnLine Transaction CHIDO HOVE TRANSFER VIA MOBILE -</t>
  </si>
  <si>
    <t>Card Transaction 4163 13JAN24 C TESCO-STORES-6106</t>
  </si>
  <si>
    <t>Automated Credit LOCUM MATCH LIMITE ASDA PAYMENT</t>
  </si>
  <si>
    <t>Automated Credit SPECSAVERS FINANCE SPECSAVERS SEP</t>
  </si>
  <si>
    <t>Card Transaction 4163 22JAN24 C TAMAR BRIDGE PLYMOUTH GB</t>
  </si>
  <si>
    <t>Card Transaction 4163 22JAN24 HTTPS://WWW .PLYMOUTH.G 01752668000 GB</t>
  </si>
  <si>
    <t>Card Transaction 4163 23JAN24 C TAMAR BRIDGE PLYMOUTH GB</t>
  </si>
  <si>
    <t>Automated Credit ICONIC EYEWE KUOONA LIMITED COM FP 27/01/24 1359 507114009531721001</t>
  </si>
  <si>
    <t>OnLine Transaction CHIDO HOVE TRANSFER VIA MOBILE - PYMT FP 29/01/24 10 41083427398667000N</t>
  </si>
  <si>
    <t>Direct Debit THE COLLEGE OF OPT DD00177</t>
  </si>
  <si>
    <t>Automated Credit LOCUM PAYROL LTD ASDA FP 02/02/24 0427 MF06680E05C8E5B000</t>
  </si>
  <si>
    <t>OnLine Transaction CHIDO HOVE TRANSFER VIA ONLINE - PYMT FP 01/02/24 10 60200431240120000N</t>
  </si>
  <si>
    <t>Card Transaction 4163 01FEB24 C TAMAR BRIDGE PLYMOUTH GB</t>
  </si>
  <si>
    <t>Automated Credit LOCUM PAYROL LTD ASDA FP 09/02/24 0426 MF06310E05D0FD1C00</t>
  </si>
  <si>
    <t>Dividends?</t>
  </si>
  <si>
    <t>Use of Home</t>
  </si>
  <si>
    <t>Directors wages</t>
  </si>
  <si>
    <t>Equipment</t>
  </si>
  <si>
    <t>Penalty</t>
  </si>
  <si>
    <t>Travel</t>
  </si>
  <si>
    <t>Mobile</t>
  </si>
  <si>
    <t>Trivial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</si>
</sst>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_ ;[Red]\-#,##0.00\ 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2" borderId="0" xfId="1" applyFont="1" applyFill="1"/>
    <xf numFmtId="0" fontId="2" fillId="0" borderId="0" xfId="0" applyFont="1"/>
    <xf numFmtId="0" fontId="0" fillId="0" borderId="0" xfId="0" applyAlignment="1">
      <alignment horizontal="left" vertical="top"/>
    </xf>
    <xf numFmtId="43" fontId="0" fillId="0" borderId="0" xfId="1" applyFont="1" applyBorder="1" applyAlignment="1">
      <alignment horizontal="left" vertical="top"/>
    </xf>
    <xf numFmtId="165" fontId="0" fillId="0" borderId="0" xfId="1" applyNumberFormat="1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 vertical="top"/>
    </xf>
    <xf numFmtId="49" fontId="0" fillId="0" borderId="0" xfId="0" applyNumberFormat="1"/>
    <xf numFmtId="164" fontId="0" fillId="2" borderId="0" xfId="0" applyNumberFormat="1" applyFill="1"/>
    <xf numFmtId="43" fontId="5" fillId="0" borderId="0" xfId="1" applyFont="1"/>
    <xf numFmtId="43" fontId="0" fillId="0" borderId="0" xfId="1" applyFont="1" applyFill="1"/>
    <xf numFmtId="43" fontId="2" fillId="0" borderId="0" xfId="1" applyFont="1"/>
    <xf numFmtId="43" fontId="0" fillId="0" borderId="0" xfId="1" applyFont="1" applyAlignment="1">
      <alignment horizontal="left" vertical="top"/>
    </xf>
    <xf numFmtId="43" fontId="0" fillId="0" borderId="0" xfId="1" applyFont="1" applyAlignment="1">
      <alignment horizontal="left"/>
    </xf>
    <xf numFmtId="43" fontId="0" fillId="0" borderId="1" xfId="1" applyFont="1" applyBorder="1" applyAlignment="1">
      <alignment horizontal="left" wrapText="1"/>
    </xf>
    <xf numFmtId="0" fontId="6" fillId="0" borderId="0" xfId="0" applyFont="1"/>
  </cellXfs>
  <cellStyles count="2">
    <cellStyle name="Comma" xfId="1" builtinId="3"/>
    <cellStyle name="Normal" xfId="0" builtinId="0"/>
  </cellStyles>
  <dxfs count="24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92D050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rgb="FF92D050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23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do Hove" id="{46D37B14-CCE6-440D-BF0F-1F39C60788CA}" userId="c6d5343b67e2c3a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hmed Alam" refreshedDate="46204.885641782406" createdVersion="6" refreshedVersion="6" minRefreshableVersion="3" recordCount="212">
  <cacheSource type="worksheet">
    <worksheetSource ref="A1:L213" sheet="Raw 24"/>
  </cacheSource>
  <cacheFields count="12">
    <cacheField name="No" numFmtId="0">
      <sharedItems containsSemiMixedTypes="0" containsString="0" containsNumber="1" containsInteger="1" minValue="151" maxValue="362"/>
    </cacheField>
    <cacheField name="SA" numFmtId="0">
      <sharedItems/>
    </cacheField>
    <cacheField name="ACC" numFmtId="0">
      <sharedItems count="3">
        <s v="FY24"/>
        <s v="FY25"/>
        <s v="FY23" u="1"/>
      </sharedItems>
    </cacheField>
    <cacheField name="Date" numFmtId="14">
      <sharedItems containsSemiMixedTypes="0" containsNonDate="0" containsDate="1" containsString="0" minDate="2023-12-01T00:00:00" maxDate="2024-12-29T00:00:00"/>
    </cacheField>
    <cacheField name="Description" numFmtId="0">
      <sharedItems/>
    </cacheField>
    <cacheField name="Paid in" numFmtId="43">
      <sharedItems containsString="0" containsBlank="1" containsNumber="1" minValue="333" maxValue="5500"/>
    </cacheField>
    <cacheField name="Paid out" numFmtId="43">
      <sharedItems containsString="0" containsBlank="1" containsNumber="1" minValue="0.6" maxValue="8110.15"/>
    </cacheField>
    <cacheField name="Balance" numFmtId="43">
      <sharedItems containsSemiMixedTypes="0" containsString="0" containsNumber="1" minValue="8673.7099999999991" maxValue="26549.34"/>
    </cacheField>
    <cacheField name="NET" numFmtId="43">
      <sharedItems containsSemiMixedTypes="0" containsString="0" containsNumber="1" minValue="-8110.15" maxValue="5500"/>
    </cacheField>
    <cacheField name="Balance UC" numFmtId="43">
      <sharedItems/>
    </cacheField>
    <cacheField name="Check UC" numFmtId="43">
      <sharedItems/>
    </cacheField>
    <cacheField name="UC category" numFmtId="0">
      <sharedItems count="33">
        <s v="Income"/>
        <s v="Professional - College"/>
        <s v="Dividend"/>
        <s v="Toll"/>
        <s v="Trivial"/>
        <s v="Professional - AOP"/>
        <s v="Parking"/>
        <s v="Training"/>
        <s v="Professional Fee"/>
        <s v="Dinner"/>
        <s v="Hotel"/>
        <s v="Penalty"/>
        <s v="Equipment"/>
        <s v="Lunch"/>
        <s v="Subscription"/>
        <s v="Travel"/>
        <s v="Accountancy"/>
        <s v="HMRC-CT"/>
        <s v="Bank charges"/>
        <s v="HMRC-PAYE"/>
        <s v="DLA"/>
        <s v="Petrol" u="1"/>
        <s v="Parking?" u="1"/>
        <e v="#REF!" u="1"/>
        <s v="Equipment?" u="1"/>
        <s v="Insurance" u="1"/>
        <s v="Lunch?" u="1"/>
        <s v="Petrol?" u="1"/>
        <s v="Dividends" u="1"/>
        <s v="Unknown" u="1"/>
        <s v="Postage" u="1"/>
        <s v="Entertainment" u="1"/>
        <s v="Dividend?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2">
  <r>
    <n v="151"/>
    <s v="SA24"/>
    <x v="0"/>
    <d v="2023-12-01T00:00:00"/>
    <s v="Automated Credit ICONIC EYEWE KUOONA LIMITED COM  FP 30/11/23 1854  088430524581031101"/>
    <n v="1200"/>
    <m/>
    <n v="13590.3"/>
    <n v="1200"/>
    <e v="#REF!"/>
    <e v="#REF!"/>
    <x v="0"/>
  </r>
  <r>
    <n v="152"/>
    <s v="SA24"/>
    <x v="0"/>
    <d v="2023-12-01T00:00:00"/>
    <s v="Automated Credit BOOTS OPTICIANS PR 1003 2000004442  K"/>
    <n v="2500"/>
    <m/>
    <n v="16090.3"/>
    <n v="2500"/>
    <e v="#REF!"/>
    <e v="#REF!"/>
    <x v="0"/>
  </r>
  <r>
    <n v="153"/>
    <s v="SA24"/>
    <x v="0"/>
    <d v="2023-12-01T00:00:00"/>
    <s v="Direct Debit THE COLLEGE OF OPT  DD001773"/>
    <m/>
    <n v="25.42"/>
    <n v="16064.88"/>
    <n v="-25.42"/>
    <e v="#REF!"/>
    <e v="#REF!"/>
    <x v="1"/>
  </r>
  <r>
    <n v="154"/>
    <s v="SA24"/>
    <x v="0"/>
    <d v="2023-12-06T00:00:00"/>
    <s v="OnLine Transaction CHIDO HOVE In VIA MOBILE - LVP  FP 05/12/23 10  01224352238059000N"/>
    <m/>
    <n v="1000"/>
    <n v="15064.88"/>
    <n v="-1000"/>
    <e v="#REF!"/>
    <e v="#REF!"/>
    <x v="2"/>
  </r>
  <r>
    <n v="155"/>
    <s v="SA24"/>
    <x v="0"/>
    <d v="2023-12-07T00:00:00"/>
    <s v="Automated Credit VISION EXPRESS UK  200003317620"/>
    <n v="850"/>
    <m/>
    <n v="15914.88"/>
    <n v="850"/>
    <e v="#REF!"/>
    <e v="#REF!"/>
    <x v="0"/>
  </r>
  <r>
    <n v="156"/>
    <s v="SA24"/>
    <x v="0"/>
    <d v="2023-12-08T00:00:00"/>
    <s v="Automated Credit SPECSAVERS FINANCE SPECSAVERS  SEP_x000a_ COM"/>
    <n v="2400"/>
    <m/>
    <n v="18314.88"/>
    <n v="2400"/>
    <e v="#REF!"/>
    <e v="#REF!"/>
    <x v="0"/>
  </r>
  <r>
    <n v="157"/>
    <s v="SA24"/>
    <x v="0"/>
    <d v="2023-12-12T00:00:00"/>
    <s v="Automated Credit C HOVE CASH RETURN FP 11/12/23  2324_x000a_ 500000001255931510"/>
    <n v="500"/>
    <m/>
    <n v="18814.88"/>
    <n v="500"/>
    <e v="#REF!"/>
    <e v="#REF!"/>
    <x v="0"/>
  </r>
  <r>
    <n v="158"/>
    <s v="SA24"/>
    <x v="0"/>
    <d v="2023-12-12T00:00:00"/>
    <s v="OnLine Transaction CHIDO HOVE INVEST VIA ONLINE - PYMT FP 11/12/23 10  36224100239120000N"/>
    <m/>
    <n v="5000"/>
    <n v="13814.88"/>
    <n v="-5000"/>
    <e v="#REF!"/>
    <e v="#REF!"/>
    <x v="2"/>
  </r>
  <r>
    <n v="159"/>
    <s v="SA24"/>
    <x v="0"/>
    <d v="2023-12-20T00:00:00"/>
    <s v="Card Transaction 4163 19DEC23 C TAMAR BRIDGE PLYMOUTH GB"/>
    <m/>
    <n v="2.6"/>
    <n v="13812.28"/>
    <n v="-2.6"/>
    <e v="#REF!"/>
    <e v="#REF!"/>
    <x v="3"/>
  </r>
  <r>
    <n v="160"/>
    <s v="SA24"/>
    <x v="0"/>
    <d v="2024-12-27T00:00:00"/>
    <s v="OnLine Transaction CHIDO HOVE INVEST VIA MOBILE - PYMT FP 26/12/23 10 52121347307951000N"/>
    <m/>
    <n v="1000"/>
    <n v="12812.28"/>
    <n v="-1000"/>
    <e v="#REF!"/>
    <e v="#REF!"/>
    <x v="2"/>
  </r>
  <r>
    <n v="161"/>
    <s v="SA24"/>
    <x v="0"/>
    <d v="2024-12-28T00:00:00"/>
    <s v="OnLine Transaction CHIDO HOVE TRANSFER VIA MOBILE - PYMT FP 28/12/23 10 30071348133982000N"/>
    <m/>
    <n v="1000"/>
    <n v="11812.28"/>
    <n v="-1000"/>
    <e v="#REF!"/>
    <e v="#REF!"/>
    <x v="2"/>
  </r>
  <r>
    <n v="162"/>
    <s v="SA24"/>
    <x v="0"/>
    <d v="2024-01-02T00:00:00"/>
    <s v="OnLine Transaction CHIDO HOVE TRANSFER VIA MOBILE - PYMT FP 01/01/24 10 47215400526440000N"/>
    <m/>
    <n v="1000"/>
    <n v="10812.28"/>
    <n v="-1000"/>
    <e v="#REF!"/>
    <e v="#REF!"/>
    <x v="2"/>
  </r>
  <r>
    <n v="163"/>
    <s v="SA24"/>
    <x v="0"/>
    <d v="2024-01-02T00:00:00"/>
    <s v="OnLine Transaction CHIDO HOVE TRANSFER VIA MOBILE - PYMT FP 30/12/23 10 59132623308479000N"/>
    <m/>
    <n v="1000"/>
    <n v="9812.2800000000007"/>
    <n v="-1000"/>
    <e v="#REF!"/>
    <e v="#REF!"/>
    <x v="2"/>
  </r>
  <r>
    <n v="164"/>
    <s v="SA24"/>
    <x v="0"/>
    <d v="2024-01-02T00:00:00"/>
    <s v="Card Transaction 4163 30DEC23 C TESCO-STORES-6106 CALLINGTON GB"/>
    <m/>
    <n v="30.7"/>
    <n v="9781.58"/>
    <n v="-30.7"/>
    <e v="#REF!"/>
    <e v="#REF!"/>
    <x v="4"/>
  </r>
  <r>
    <n v="165"/>
    <s v="SA24"/>
    <x v="0"/>
    <d v="2024-01-02T00:00:00"/>
    <s v="Direct Debit THE COLLEGE OF OPT DD001773"/>
    <m/>
    <n v="25.42"/>
    <n v="9756.16"/>
    <n v="-25.42"/>
    <e v="#REF!"/>
    <e v="#REF!"/>
    <x v="1"/>
  </r>
  <r>
    <n v="166"/>
    <s v="SA24"/>
    <x v="0"/>
    <d v="2024-01-02T00:00:00"/>
    <s v="Direct Debit ASSOC OPTOMETRISTS 0000070593"/>
    <m/>
    <n v="72"/>
    <n v="9684.16"/>
    <n v="-72"/>
    <e v="#REF!"/>
    <e v="#REF!"/>
    <x v="5"/>
  </r>
  <r>
    <n v="167"/>
    <s v="SA24"/>
    <x v="0"/>
    <d v="2024-01-05T00:00:00"/>
    <s v="Automated Credit SPECSAVERS FINANCE SPECSAVERS SEP COM"/>
    <n v="1600"/>
    <m/>
    <n v="11284.16"/>
    <n v="1600"/>
    <e v="#REF!"/>
    <e v="#REF!"/>
    <x v="0"/>
  </r>
  <r>
    <n v="168"/>
    <s v="SA24"/>
    <x v="0"/>
    <d v="2024-01-10T00:00:00"/>
    <s v="Automated Credit SPECSAVERS FINANCE SPECSAVERS SEP COM"/>
    <n v="2500"/>
    <m/>
    <n v="13784.16"/>
    <n v="2500"/>
    <e v="#REF!"/>
    <e v="#REF!"/>
    <x v="0"/>
  </r>
  <r>
    <n v="169"/>
    <s v="SA24"/>
    <x v="0"/>
    <d v="2024-01-10T00:00:00"/>
    <s v="Card Transaction 4163 09JAN24 C TAMAR BRIDGE PLYMOUTH GB"/>
    <m/>
    <n v="2.6"/>
    <n v="13781.56"/>
    <n v="-2.6"/>
    <e v="#REF!"/>
    <e v="#REF!"/>
    <x v="3"/>
  </r>
  <r>
    <n v="170"/>
    <s v="SA24"/>
    <x v="0"/>
    <d v="2024-01-12T00:00:00"/>
    <s v="Automated Credit LOCUM MATCH LIMITE ASDA PAYMENT FP 12/01/24 0232 05023128353259000J ASDA PAYMENT"/>
    <n v="1760"/>
    <m/>
    <n v="15541.56"/>
    <n v="1760"/>
    <e v="#REF!"/>
    <e v="#REF!"/>
    <x v="0"/>
  </r>
  <r>
    <n v="171"/>
    <s v="SA24"/>
    <x v="0"/>
    <d v="2024-01-12T00:00:00"/>
    <s v="Card Transaction 4163 11JAN24 C TAMAR BRIDGE PLYMOUTH GB"/>
    <m/>
    <n v="2.6"/>
    <n v="15538.96"/>
    <n v="-2.6"/>
    <e v="#REF!"/>
    <e v="#REF!"/>
    <x v="3"/>
  </r>
  <r>
    <n v="172"/>
    <s v="SA24"/>
    <x v="0"/>
    <d v="2024-01-15T00:00:00"/>
    <s v="OnLine Transaction CHIDO HOVE TRANSFER VIA MOBILE -"/>
    <m/>
    <n v="1000"/>
    <n v="14538.96"/>
    <n v="-1000"/>
    <e v="#REF!"/>
    <e v="#REF!"/>
    <x v="2"/>
  </r>
  <r>
    <n v="173"/>
    <s v="SA24"/>
    <x v="0"/>
    <d v="2024-01-15T00:00:00"/>
    <s v="Card Transaction 4163 13JAN24 C TESCO-STORES-6106"/>
    <m/>
    <n v="22.02"/>
    <n v="14516.94"/>
    <n v="-22.02"/>
    <e v="#REF!"/>
    <e v="#REF!"/>
    <x v="4"/>
  </r>
  <r>
    <n v="174"/>
    <s v="SA24"/>
    <x v="0"/>
    <d v="2024-01-19T00:00:00"/>
    <s v="Automated Credit LOCUM MATCH LIMITE ASDA PAYMENT"/>
    <n v="440"/>
    <m/>
    <n v="14956.94"/>
    <n v="440"/>
    <e v="#REF!"/>
    <e v="#REF!"/>
    <x v="0"/>
  </r>
  <r>
    <n v="175"/>
    <s v="SA24"/>
    <x v="0"/>
    <d v="2024-01-19T00:00:00"/>
    <s v="Automated Credit SPECSAVERS FINANCE SPECSAVERS SEP"/>
    <n v="1500"/>
    <m/>
    <n v="16456.939999999999"/>
    <n v="1500"/>
    <e v="#REF!"/>
    <e v="#REF!"/>
    <x v="0"/>
  </r>
  <r>
    <n v="176"/>
    <s v="SA24"/>
    <x v="0"/>
    <d v="2024-01-23T00:00:00"/>
    <s v="Card Transaction 4163 22JAN24 C TAMAR BRIDGE PLYMOUTH GB"/>
    <m/>
    <n v="2.6"/>
    <n v="16454.34"/>
    <n v="-2.6"/>
    <e v="#REF!"/>
    <e v="#REF!"/>
    <x v="3"/>
  </r>
  <r>
    <n v="177"/>
    <s v="SA24"/>
    <x v="0"/>
    <d v="2024-01-24T00:00:00"/>
    <s v="Card Transaction 4163 22JAN24 HTTPS://WWW .PLYMOUTH.G 01752668000 GB"/>
    <m/>
    <n v="2.8"/>
    <n v="16451.54"/>
    <n v="-2.8"/>
    <e v="#REF!"/>
    <e v="#REF!"/>
    <x v="6"/>
  </r>
  <r>
    <n v="178"/>
    <s v="SA24"/>
    <x v="0"/>
    <d v="2024-01-24T00:00:00"/>
    <s v="Automated Credit SPECSAVERS FINANCE SPECSAVERS SEP COM"/>
    <n v="399.97"/>
    <m/>
    <n v="16851.509999999998"/>
    <n v="399.97"/>
    <e v="#REF!"/>
    <e v="#REF!"/>
    <x v="0"/>
  </r>
  <r>
    <n v="179"/>
    <s v="SA24"/>
    <x v="0"/>
    <d v="2024-01-25T00:00:00"/>
    <s v="Card Transaction 4163 23JAN24 C TAMAR BRIDGE PLYMOUTH GB"/>
    <m/>
    <n v="2.6"/>
    <n v="16848.91"/>
    <n v="-2.6"/>
    <e v="#REF!"/>
    <e v="#REF!"/>
    <x v="3"/>
  </r>
  <r>
    <n v="180"/>
    <s v="SA24"/>
    <x v="0"/>
    <d v="2024-01-25T00:00:00"/>
    <s v="Card Transaction 4163 23JAN24 C TAMAR BRIDGE PLYMOUTH GB"/>
    <m/>
    <n v="2.6"/>
    <n v="16846.310000000001"/>
    <n v="-2.6"/>
    <e v="#REF!"/>
    <e v="#REF!"/>
    <x v="3"/>
  </r>
  <r>
    <n v="181"/>
    <s v="SA24"/>
    <x v="0"/>
    <d v="2024-01-29T00:00:00"/>
    <s v="Automated Credit ICONIC EYEWE KUOONA LIMITED COM FP 27/01/24 1359 507114009531721001"/>
    <n v="400"/>
    <m/>
    <n v="17246.310000000001"/>
    <n v="400"/>
    <e v="#REF!"/>
    <e v="#REF!"/>
    <x v="0"/>
  </r>
  <r>
    <n v="182"/>
    <s v="SA24"/>
    <x v="0"/>
    <d v="2024-01-29T00:00:00"/>
    <s v="OnLine Transaction CHIDO HOVE TRANSFER VIA MOBILE - PYMT FP 29/01/24 10 41083427398667000N"/>
    <m/>
    <n v="1000"/>
    <n v="16246.310000000001"/>
    <n v="-1000"/>
    <e v="#REF!"/>
    <e v="#REF!"/>
    <x v="2"/>
  </r>
  <r>
    <n v="183"/>
    <s v="SA24"/>
    <x v="0"/>
    <d v="2024-01-31T00:00:00"/>
    <s v="Automated Credit SPECSAVERS FINANCE SPECSAVERS SEP COM"/>
    <n v="2000"/>
    <m/>
    <n v="18246.310000000001"/>
    <n v="2000"/>
    <e v="#REF!"/>
    <e v="#REF!"/>
    <x v="0"/>
  </r>
  <r>
    <n v="184"/>
    <s v="SA24"/>
    <x v="0"/>
    <d v="2024-02-01T00:00:00"/>
    <s v="Direct Debit THE COLLEGE OF OPT DD00177"/>
    <m/>
    <n v="25.42"/>
    <n v="18220.890000000003"/>
    <n v="-25.42"/>
    <e v="#REF!"/>
    <e v="#REF!"/>
    <x v="1"/>
  </r>
  <r>
    <n v="185"/>
    <s v="SA24"/>
    <x v="0"/>
    <d v="2024-02-01T00:00:00"/>
    <s v="Direct Debit ASSOC OPTOMETRISTS 0000070593"/>
    <m/>
    <n v="72"/>
    <n v="18148.890000000003"/>
    <n v="-72"/>
    <e v="#REF!"/>
    <e v="#REF!"/>
    <x v="5"/>
  </r>
  <r>
    <n v="186"/>
    <s v="SA24"/>
    <x v="0"/>
    <d v="2024-02-02T00:00:00"/>
    <s v="Automated Credit LOCUM PAYROL LTD ASDA FP 02/02/24 0427 MF06680E05C8E5B000"/>
    <n v="880"/>
    <m/>
    <n v="19028.890000000003"/>
    <n v="880"/>
    <e v="#REF!"/>
    <e v="#REF!"/>
    <x v="0"/>
  </r>
  <r>
    <n v="187"/>
    <s v="SA24"/>
    <x v="0"/>
    <d v="2024-02-02T00:00:00"/>
    <s v="OnLine Transaction CHIDO HOVE TRANSFER VIA ONLINE - PYMT FP 01/02/24 10 60200431240120000N"/>
    <m/>
    <n v="3000"/>
    <n v="16028.890000000003"/>
    <n v="-3000"/>
    <e v="#REF!"/>
    <e v="#REF!"/>
    <x v="2"/>
  </r>
  <r>
    <n v="188"/>
    <s v="SA24"/>
    <x v="0"/>
    <d v="2024-02-02T00:00:00"/>
    <s v="Card Transaction 4163 01FEB24 C TAMAR BRIDGE PLYMOUTH GB"/>
    <m/>
    <n v="2.6"/>
    <n v="16026.290000000003"/>
    <n v="-2.6"/>
    <e v="#REF!"/>
    <e v="#REF!"/>
    <x v="3"/>
  </r>
  <r>
    <n v="189"/>
    <s v="SA24"/>
    <x v="0"/>
    <d v="2024-02-08T00:00:00"/>
    <s v="Card Transaction 4163 01FEB24 C TAMAR BRIDGE PLYMOUTH GB"/>
    <m/>
    <n v="2.6"/>
    <n v="16023.690000000002"/>
    <n v="-2.6"/>
    <e v="#REF!"/>
    <e v="#REF!"/>
    <x v="3"/>
  </r>
  <r>
    <n v="190"/>
    <s v="SA24"/>
    <x v="0"/>
    <d v="2024-02-09T00:00:00"/>
    <s v="Automated Credit LOCUM PAYROL LTD ASDA FP 09/02/24 0426 MF06310E05D0FD1C00"/>
    <n v="880"/>
    <m/>
    <n v="16903.690000000002"/>
    <n v="880"/>
    <e v="#REF!"/>
    <e v="#REF!"/>
    <x v="0"/>
  </r>
  <r>
    <n v="191"/>
    <s v="SA24"/>
    <x v="0"/>
    <d v="2024-02-15T00:00:00"/>
    <s v="Automated Credit BOOTS OPTICIANS PR 1003 2000007863 K"/>
    <n v="450"/>
    <m/>
    <n v="17353.689999999999"/>
    <n v="450"/>
    <e v="#REF!"/>
    <e v="#REF!"/>
    <x v="0"/>
  </r>
  <r>
    <n v="192"/>
    <s v="SA24"/>
    <x v="0"/>
    <d v="2024-02-19T00:00:00"/>
    <s v="OnLine Transaction CHIDO HOVE TRANSFER VIA MOBILE - PYMT FP 18/02/24 10 02024505456541000N"/>
    <m/>
    <n v="120"/>
    <n v="17233.689999999999"/>
    <n v="-120"/>
    <e v="#REF!"/>
    <e v="#REF!"/>
    <x v="2"/>
  </r>
  <r>
    <n v="193"/>
    <s v="SA24"/>
    <x v="0"/>
    <d v="2024-02-19T00:00:00"/>
    <s v="Card Transaction 4163 16FEB24 C TAMAR BRIDGE PLYMOUTH GB"/>
    <m/>
    <n v="2.6"/>
    <n v="17231.09"/>
    <n v="-2.6"/>
    <e v="#REF!"/>
    <e v="#REF!"/>
    <x v="3"/>
  </r>
  <r>
    <n v="194"/>
    <s v="SA24"/>
    <x v="0"/>
    <d v="2024-02-20T00:00:00"/>
    <s v="OnLine Transaction CHIDO HOVE TRANSFER VIA MOBILE - PYMT FP 20/02/24 10 60130231717931000N"/>
    <m/>
    <n v="5000"/>
    <n v="12231.09"/>
    <n v="-5000"/>
    <e v="#REF!"/>
    <e v="#REF!"/>
    <x v="2"/>
  </r>
  <r>
    <n v="195"/>
    <s v="SA24"/>
    <x v="0"/>
    <d v="2024-02-23T00:00:00"/>
    <s v="Automated Credit SPECSAVERS FINANCE SPECSAVERS SEP COM"/>
    <n v="5500"/>
    <m/>
    <n v="17731.09"/>
    <n v="5500"/>
    <e v="#REF!"/>
    <e v="#REF!"/>
    <x v="0"/>
  </r>
  <r>
    <n v="196"/>
    <s v="SA24"/>
    <x v="0"/>
    <d v="2024-02-23T00:00:00"/>
    <s v="Card Transaction 4163 22FEB24 C TAMAR BRIDGE PLYMOUTH GB"/>
    <m/>
    <n v="2.6"/>
    <n v="17728.490000000002"/>
    <n v="-2.6"/>
    <e v="#REF!"/>
    <e v="#REF!"/>
    <x v="3"/>
  </r>
  <r>
    <n v="197"/>
    <s v="SA24"/>
    <x v="0"/>
    <d v="2024-02-29T00:00:00"/>
    <s v="Card Transaction 4163 28FEB24 C TAMAR BRIDGE PLYMOUTH GB"/>
    <m/>
    <n v="2.6"/>
    <n v="17725.89"/>
    <n v="-2.6"/>
    <e v="#REF!"/>
    <e v="#REF!"/>
    <x v="3"/>
  </r>
  <r>
    <n v="198"/>
    <s v="SA24"/>
    <x v="0"/>
    <d v="2024-03-01T00:00:00"/>
    <s v="Automated Credit SCRIVENS LTD"/>
    <n v="495"/>
    <m/>
    <n v="18220.89"/>
    <n v="495"/>
    <e v="#REF!"/>
    <e v="#REF!"/>
    <x v="0"/>
  </r>
  <r>
    <n v="199"/>
    <s v="SA24"/>
    <x v="0"/>
    <d v="2024-03-01T00:00:00"/>
    <s v="Automated Credit SPECSAVERS FINANCE SPECSAVERS SEP COM"/>
    <n v="2500"/>
    <m/>
    <n v="20720.89"/>
    <n v="2500"/>
    <e v="#REF!"/>
    <e v="#REF!"/>
    <x v="0"/>
  </r>
  <r>
    <n v="200"/>
    <s v="SA24"/>
    <x v="0"/>
    <d v="2024-03-01T00:00:00"/>
    <s v="Automated Credit BOOTS OPTICIANS PR 1003 2000008641 K"/>
    <n v="425"/>
    <m/>
    <n v="21145.89"/>
    <n v="425"/>
    <e v="#REF!"/>
    <e v="#REF!"/>
    <x v="0"/>
  </r>
  <r>
    <n v="201"/>
    <s v="SA24"/>
    <x v="0"/>
    <d v="2024-03-01T00:00:00"/>
    <s v="Card Transaction 4163 29FEB24 C TAMAR BRIDGE PLYMOUTH GB"/>
    <m/>
    <n v="2.6"/>
    <n v="21143.29"/>
    <n v="-2.6"/>
    <e v="#REF!"/>
    <e v="#REF!"/>
    <x v="3"/>
  </r>
  <r>
    <n v="202"/>
    <s v="SA24"/>
    <x v="0"/>
    <d v="2024-03-01T00:00:00"/>
    <s v="Direct Debit THE COLLEGE OF OPT DD001773"/>
    <m/>
    <n v="25.42"/>
    <n v="21117.87"/>
    <n v="-25.42"/>
    <e v="#REF!"/>
    <e v="#REF!"/>
    <x v="1"/>
  </r>
  <r>
    <n v="203"/>
    <s v="SA24"/>
    <x v="0"/>
    <d v="2024-03-01T00:00:00"/>
    <s v="Direct Debit ASSOC OPTOMETRISTS 0000070593"/>
    <m/>
    <n v="72"/>
    <n v="21045.87"/>
    <n v="-72"/>
    <e v="#REF!"/>
    <e v="#REF!"/>
    <x v="5"/>
  </r>
  <r>
    <n v="204"/>
    <s v="SA24"/>
    <x v="0"/>
    <d v="2024-03-05T00:00:00"/>
    <s v="Card Transaction 4163 04MAR24 EB *DEVON LOC STUDY DA 801-413-7200 GB"/>
    <m/>
    <n v="35"/>
    <n v="21010.87"/>
    <n v="-35"/>
    <e v="#REF!"/>
    <e v="#REF!"/>
    <x v="7"/>
  </r>
  <r>
    <n v="205"/>
    <s v="SA24"/>
    <x v="0"/>
    <d v="2024-03-05T00:00:00"/>
    <s v="Card Transaction 4163 04MAR24 WWW.OPTICAL.ORG LONDON GB"/>
    <m/>
    <n v="405"/>
    <n v="20605.87"/>
    <n v="-405"/>
    <e v="#REF!"/>
    <e v="#REF!"/>
    <x v="8"/>
  </r>
  <r>
    <n v="206"/>
    <s v="SA24"/>
    <x v="0"/>
    <d v="2024-03-06T00:00:00"/>
    <s v="Automated Credit SPECSAVERS FINANCE SPECSAVERS SEP COM"/>
    <n v="1000"/>
    <m/>
    <n v="21605.87"/>
    <n v="1000"/>
    <e v="#REF!"/>
    <e v="#REF!"/>
    <x v="0"/>
  </r>
  <r>
    <n v="207"/>
    <s v="SA24"/>
    <x v="0"/>
    <d v="2024-03-13T00:00:00"/>
    <s v="Card Transaction 4163 12MAR24 C TAMAR BRIDGE PLYMOUTH GB"/>
    <m/>
    <n v="2.6"/>
    <n v="21603.27"/>
    <n v="-2.6"/>
    <e v="#REF!"/>
    <e v="#REF!"/>
    <x v="3"/>
  </r>
  <r>
    <n v="208"/>
    <s v="SA24"/>
    <x v="0"/>
    <d v="2024-03-14T00:00:00"/>
    <s v="Automated Credit SPECSAVERS FINANCE SPECSAVERS SEP COM"/>
    <n v="800"/>
    <m/>
    <n v="22403.27"/>
    <n v="800"/>
    <e v="#REF!"/>
    <e v="#REF!"/>
    <x v="0"/>
  </r>
  <r>
    <n v="209"/>
    <s v="SA24"/>
    <x v="0"/>
    <d v="2024-03-14T00:00:00"/>
    <s v="Card Transaction 4163 13MAR24 C TAMAR BRIDGE PLYMOUTH GB"/>
    <m/>
    <n v="2.6"/>
    <n v="22400.67"/>
    <n v="-2.6"/>
    <e v="#REF!"/>
    <e v="#REF!"/>
    <x v="3"/>
  </r>
  <r>
    <n v="210"/>
    <s v="SA24"/>
    <x v="0"/>
    <d v="2024-03-15T00:00:00"/>
    <s v="Automated Credit LOCUM PAYROL LTD ASDA FP 15/03/24 0443 MF074714400E1B3D00"/>
    <n v="2200"/>
    <m/>
    <n v="24600.67"/>
    <n v="2200"/>
    <e v="#REF!"/>
    <e v="#REF!"/>
    <x v="0"/>
  </r>
  <r>
    <n v="211"/>
    <s v="SA24"/>
    <x v="0"/>
    <d v="2024-03-15T00:00:00"/>
    <s v="OnLine Transaction CHIDO HOVE TRANSFER VIA MOBILE - PYMT FP 15/03/24 10 29161216081850000N"/>
    <m/>
    <n v="300"/>
    <n v="24300.67"/>
    <n v="-300"/>
    <e v="#REF!"/>
    <e v="#REF!"/>
    <x v="2"/>
  </r>
  <r>
    <n v="212"/>
    <s v="SA24"/>
    <x v="0"/>
    <d v="2024-03-15T00:00:00"/>
    <s v="Card Transaction 4163 14MAR24 C TAMAR BRIDGE PLYMOUTH GB"/>
    <m/>
    <n v="2.6"/>
    <n v="24298.07"/>
    <n v="-2.6"/>
    <e v="#REF!"/>
    <e v="#REF!"/>
    <x v="3"/>
  </r>
  <r>
    <n v="213"/>
    <s v="SA24"/>
    <x v="0"/>
    <d v="2024-03-18T00:00:00"/>
    <s v="Card Transaction 4163 15MAR24 EURO CAR PARKS LTD LONDON GB"/>
    <m/>
    <n v="50"/>
    <n v="24248.07"/>
    <n v="-50"/>
    <e v="#REF!"/>
    <e v="#REF!"/>
    <x v="6"/>
  </r>
  <r>
    <n v="214"/>
    <s v="SA24"/>
    <x v="0"/>
    <d v="2024-03-19T00:00:00"/>
    <s v="OnLine Transaction CHIDO HOVE TRANSFER VIA MOBILE - PYMT FP 19/03/24 10 55152550137006000N"/>
    <m/>
    <n v="4500"/>
    <n v="19748.07"/>
    <n v="-4500"/>
    <e v="#REF!"/>
    <e v="#REF!"/>
    <x v="2"/>
  </r>
  <r>
    <n v="215"/>
    <s v="SA24"/>
    <x v="0"/>
    <d v="2024-03-19T00:00:00"/>
    <s v="Card Transaction 4163 18MAR24 C COSTERO LOUNGE PAIGNTON GB"/>
    <m/>
    <n v="16.3"/>
    <n v="19731.77"/>
    <n v="-16.3"/>
    <e v="#REF!"/>
    <e v="#REF!"/>
    <x v="9"/>
  </r>
  <r>
    <n v="216"/>
    <s v="SA24"/>
    <x v="0"/>
    <d v="2024-03-19T00:00:00"/>
    <s v="Card Transaction 4163 18MAR24 C TAMAR BRIDGE PLYMOUTH GB"/>
    <m/>
    <n v="2.6"/>
    <n v="19729.169999999998"/>
    <n v="-2.6"/>
    <e v="#REF!"/>
    <e v="#REF!"/>
    <x v="3"/>
  </r>
  <r>
    <n v="217"/>
    <s v="SA24"/>
    <x v="0"/>
    <d v="2024-03-27T00:00:00"/>
    <s v="Automated Credit SPECSAVERS FINANCE SPECSAVERS SEP COM"/>
    <n v="2250"/>
    <m/>
    <n v="21979.17"/>
    <n v="2250"/>
    <e v="#REF!"/>
    <e v="#REF!"/>
    <x v="0"/>
  </r>
  <r>
    <n v="218"/>
    <s v="SA24"/>
    <x v="0"/>
    <d v="2024-03-27T00:00:00"/>
    <s v="Card Transaction 4163 26MAR24 PLYMOUTH CITY COUN PLYMOUTH GB"/>
    <m/>
    <n v="25"/>
    <n v="21954.17"/>
    <n v="-25"/>
    <e v="#REF!"/>
    <e v="#REF!"/>
    <x v="6"/>
  </r>
  <r>
    <n v="219"/>
    <s v="SA24"/>
    <x v="0"/>
    <d v="2024-04-02T00:00:00"/>
    <s v="Automated Credit LOCUM PAYROL LTD ASDA FP 29/03/24 0324 MF06941440227AC400"/>
    <n v="440"/>
    <m/>
    <n v="22394.17"/>
    <n v="440"/>
    <e v="#REF!"/>
    <e v="#REF!"/>
    <x v="0"/>
  </r>
  <r>
    <n v="220"/>
    <s v="SA24"/>
    <x v="0"/>
    <d v="2024-04-02T00:00:00"/>
    <s v="Automated Credit BOOTS OPTICIANS PR 1003 2000010225 K"/>
    <n v="1350"/>
    <m/>
    <n v="23744.17"/>
    <n v="1350"/>
    <e v="#REF!"/>
    <e v="#REF!"/>
    <x v="0"/>
  </r>
  <r>
    <n v="221"/>
    <s v="SA24"/>
    <x v="0"/>
    <d v="2024-04-02T00:00:00"/>
    <s v="Card Transaction 4163 01APR24 C IBIS STYLE HOTEL PAIGNTON GB"/>
    <m/>
    <n v="16"/>
    <n v="23728.17"/>
    <n v="-16"/>
    <e v="#REF!"/>
    <e v="#REF!"/>
    <x v="10"/>
  </r>
  <r>
    <n v="222"/>
    <s v="SA24"/>
    <x v="0"/>
    <d v="2024-04-02T00:00:00"/>
    <s v="Card Transaction 4163 01APR24 C TAMAR BRIDGE PLYMOUTH GB"/>
    <m/>
    <n v="2.6"/>
    <n v="23725.57"/>
    <n v="-2.6"/>
    <e v="#REF!"/>
    <e v="#REF!"/>
    <x v="3"/>
  </r>
  <r>
    <n v="223"/>
    <s v="SA24"/>
    <x v="0"/>
    <d v="2024-04-02T00:00:00"/>
    <s v="Card Transaction 4163 30MAR24 TORBAY COUNCIL - WEB TORQUAY GB"/>
    <m/>
    <n v="25"/>
    <n v="23700.57"/>
    <n v="-25"/>
    <e v="#REF!"/>
    <e v="#REF!"/>
    <x v="11"/>
  </r>
  <r>
    <n v="224"/>
    <s v="SA24"/>
    <x v="0"/>
    <d v="2024-04-02T00:00:00"/>
    <s v="Card Transaction 4163 29MAR24 ALIEXPRESS.COM LONDON GB"/>
    <m/>
    <n v="30.46"/>
    <n v="23670.11"/>
    <n v="-30.46"/>
    <e v="#REF!"/>
    <e v="#REF!"/>
    <x v="12"/>
  </r>
  <r>
    <n v="225"/>
    <s v="SA24"/>
    <x v="0"/>
    <d v="2024-04-02T00:00:00"/>
    <s v="Card Transaction 4163 29MAR24 BIRMINGHAM OPTICAL BIRMINGHAM GB"/>
    <m/>
    <n v="132"/>
    <n v="23538.11"/>
    <n v="-132"/>
    <e v="#REF!"/>
    <e v="#REF!"/>
    <x v="12"/>
  </r>
  <r>
    <n v="226"/>
    <s v="SA24"/>
    <x v="0"/>
    <d v="2024-04-02T00:00:00"/>
    <s v="Direct Debit THE COLLEGE OF OPT DD001773"/>
    <m/>
    <n v="25.42"/>
    <n v="23512.69"/>
    <n v="-25.42"/>
    <e v="#REF!"/>
    <e v="#REF!"/>
    <x v="1"/>
  </r>
  <r>
    <n v="227"/>
    <s v="SA24"/>
    <x v="0"/>
    <d v="2024-04-03T00:00:00"/>
    <s v="Card Transaction 4163 02APR24 C TESCO-STORES 4898 PAIGNTON GB"/>
    <m/>
    <n v="3"/>
    <n v="23509.69"/>
    <n v="-3"/>
    <e v="#REF!"/>
    <e v="#REF!"/>
    <x v="13"/>
  </r>
  <r>
    <n v="228"/>
    <s v="SA24"/>
    <x v="0"/>
    <d v="2024-04-03T00:00:00"/>
    <s v="Card Transaction 4163 01APR24 IBIS STYLES HOTEL PAIG PAIGNTON GB"/>
    <m/>
    <n v="70.89"/>
    <n v="23438.799999999999"/>
    <n v="-70.89"/>
    <e v="#REF!"/>
    <e v="#REF!"/>
    <x v="10"/>
  </r>
  <r>
    <n v="229"/>
    <s v="SA24"/>
    <x v="0"/>
    <d v="2024-04-03T00:00:00"/>
    <s v="Direct Debit ASSOC OPTOMETRISTS 0000070593"/>
    <m/>
    <n v="72"/>
    <n v="23366.799999999999"/>
    <n v="-72"/>
    <e v="#REF!"/>
    <e v="#REF!"/>
    <x v="5"/>
  </r>
  <r>
    <n v="230"/>
    <s v="SA24"/>
    <x v="0"/>
    <d v="2024-04-04T00:00:00"/>
    <s v="Card Transaction 4163 03APR24 C CORNWALL COUNCIL - MO TRURO GB"/>
    <m/>
    <n v="10.5"/>
    <n v="23356.3"/>
    <n v="-10.5"/>
    <e v="#REF!"/>
    <e v="#REF!"/>
    <x v="6"/>
  </r>
  <r>
    <n v="231"/>
    <s v="SA24"/>
    <x v="0"/>
    <d v="2024-04-05T00:00:00"/>
    <s v="Automated Credit SPECSAVERS FINANCE SPECSAVERS SEP COM"/>
    <n v="800"/>
    <m/>
    <n v="24156.3"/>
    <n v="800"/>
    <e v="#REF!"/>
    <e v="#REF!"/>
    <x v="0"/>
  </r>
  <r>
    <n v="232"/>
    <s v="SA24"/>
    <x v="0"/>
    <d v="2024-04-05T00:00:00"/>
    <s v="Card Transaction 4163 04APR24 C TAMAR BRIDGE PLYMOUTH GB"/>
    <m/>
    <n v="2.6"/>
    <n v="24153.7"/>
    <n v="-2.6"/>
    <e v="#REF!"/>
    <e v="#REF!"/>
    <x v="3"/>
  </r>
  <r>
    <n v="233"/>
    <s v="SA25"/>
    <x v="0"/>
    <d v="2024-04-08T00:00:00"/>
    <s v="OnLine Transaction CHIDO HOVE INVEST VIA MOBILE - PYMT FP 08/04/24 10 51130224856545000N"/>
    <m/>
    <n v="1500"/>
    <n v="22653.7"/>
    <n v="-1500"/>
    <e v="#REF!"/>
    <e v="#REF!"/>
    <x v="2"/>
  </r>
  <r>
    <n v="234"/>
    <s v="SA25"/>
    <x v="0"/>
    <d v="2024-04-08T00:00:00"/>
    <s v="OnLine Transaction CHIDO HOVE TRANSFER VIA MOBILE - PYMT FP 08/04/24 10 43130253344082000N"/>
    <m/>
    <n v="3500"/>
    <n v="19153.7"/>
    <n v="-3500"/>
    <e v="#REF!"/>
    <e v="#REF!"/>
    <x v="2"/>
  </r>
  <r>
    <n v="235"/>
    <s v="SA25"/>
    <x v="0"/>
    <d v="2024-04-08T00:00:00"/>
    <s v="Card Transaction 4163 05APR24 C CORNWALL COUNCIL - MO TRURO GB"/>
    <m/>
    <n v="10.5"/>
    <n v="19143.2"/>
    <n v="-10.5"/>
    <e v="#REF!"/>
    <e v="#REF!"/>
    <x v="6"/>
  </r>
  <r>
    <n v="236"/>
    <s v="SA25"/>
    <x v="0"/>
    <d v="2024-04-09T00:00:00"/>
    <s v="Card Transaction 4163 08APR24 C TAMAR BRIDGE PLYMOUTH GB"/>
    <m/>
    <n v="2.6"/>
    <n v="19140.599999999999"/>
    <n v="-2.6"/>
    <e v="#REF!"/>
    <e v="#REF!"/>
    <x v="3"/>
  </r>
  <r>
    <n v="237"/>
    <s v="SA25"/>
    <x v="0"/>
    <d v="2024-04-10T00:00:00"/>
    <s v="Card Transaction 4163 09APR24 C CORNWALL COUNCIL - MO TRURO GB"/>
    <m/>
    <n v="10.5"/>
    <n v="19130.099999999999"/>
    <n v="-10.5"/>
    <e v="#REF!"/>
    <e v="#REF!"/>
    <x v="6"/>
  </r>
  <r>
    <n v="238"/>
    <s v="SA25"/>
    <x v="0"/>
    <d v="2024-04-11T00:00:00"/>
    <s v="Card Transaction 4163 10APR24 C TAMAR BRIDGE PLYMOUTH GB"/>
    <m/>
    <n v="2.6"/>
    <n v="19127.5"/>
    <n v="-2.6"/>
    <e v="#REF!"/>
    <e v="#REF!"/>
    <x v="3"/>
  </r>
  <r>
    <n v="239"/>
    <s v="SA25"/>
    <x v="0"/>
    <d v="2024-04-12T00:00:00"/>
    <s v="Card Transaction 4163 11APR24 C TAMAR BRIDGE PLYMOUTH GB"/>
    <m/>
    <n v="2.6"/>
    <n v="19124.900000000001"/>
    <n v="-2.6"/>
    <e v="#REF!"/>
    <e v="#REF!"/>
    <x v="3"/>
  </r>
  <r>
    <n v="240"/>
    <s v="SA25"/>
    <x v="0"/>
    <d v="2024-04-15T00:00:00"/>
    <s v="Automated Credit BOOTS OPTICIANS PR 1003 2000011048 K"/>
    <n v="1350"/>
    <m/>
    <n v="20474.900000000001"/>
    <n v="1350"/>
    <e v="#REF!"/>
    <e v="#REF!"/>
    <x v="0"/>
  </r>
  <r>
    <n v="241"/>
    <s v="SA25"/>
    <x v="0"/>
    <d v="2024-04-15T00:00:00"/>
    <s v="Card Transaction 4163 12APR24 C TAMAR BRIDGE PLYMOUTH GB"/>
    <m/>
    <n v="2.6"/>
    <n v="20472.3"/>
    <n v="-2.6"/>
    <e v="#REF!"/>
    <e v="#REF!"/>
    <x v="3"/>
  </r>
  <r>
    <n v="242"/>
    <s v="SA25"/>
    <x v="0"/>
    <d v="2024-04-15T00:00:00"/>
    <s v="Card Transaction 4163 13APR24 C GDK PLYMOUTH PLYMOUTH PL1 GB"/>
    <m/>
    <n v="1.43"/>
    <n v="20470.87"/>
    <n v="-1.43"/>
    <e v="#REF!"/>
    <e v="#REF!"/>
    <x v="13"/>
  </r>
  <r>
    <n v="243"/>
    <s v="SA25"/>
    <x v="0"/>
    <d v="2024-04-19T00:00:00"/>
    <s v="Automated Credit VISION EXPRESS UK RG50570000589024"/>
    <n v="1245"/>
    <m/>
    <n v="21715.87"/>
    <n v="1245"/>
    <e v="#REF!"/>
    <e v="#REF!"/>
    <x v="0"/>
  </r>
  <r>
    <n v="244"/>
    <s v="SA25"/>
    <x v="0"/>
    <d v="2024-04-19T00:00:00"/>
    <s v="Automated Credit SPECSAVERS FINANCE SPECSAVERS SEP COM"/>
    <n v="2500"/>
    <m/>
    <n v="24215.87"/>
    <n v="2500"/>
    <e v="#REF!"/>
    <e v="#REF!"/>
    <x v="0"/>
  </r>
  <r>
    <n v="245"/>
    <s v="SA25"/>
    <x v="0"/>
    <d v="2024-04-19T00:00:00"/>
    <s v="OnLine Transaction CHIDO HOVE TRANSFER VIA MOBILE - PYMT FP 19/04/24 10 14065550118196000N"/>
    <m/>
    <n v="5000"/>
    <n v="19215.87"/>
    <n v="-5000"/>
    <e v="#REF!"/>
    <e v="#REF!"/>
    <x v="2"/>
  </r>
  <r>
    <n v="246"/>
    <s v="SA25"/>
    <x v="0"/>
    <d v="2024-05-01T00:00:00"/>
    <s v="Direct Debit THE COLLEGE OF OPT DD001773"/>
    <m/>
    <n v="25.42"/>
    <n v="19190.45"/>
    <n v="-25.42"/>
    <e v="#REF!"/>
    <e v="#REF!"/>
    <x v="1"/>
  </r>
  <r>
    <n v="247"/>
    <s v="SA25"/>
    <x v="0"/>
    <d v="2024-05-01T00:00:00"/>
    <s v="Direct Debit ASSOCIATION OF OPT 0000070593"/>
    <m/>
    <n v="72"/>
    <n v="19118.45"/>
    <n v="-72"/>
    <e v="#REF!"/>
    <e v="#REF!"/>
    <x v="5"/>
  </r>
  <r>
    <n v="248"/>
    <s v="SA25"/>
    <x v="0"/>
    <d v="2024-05-02T00:00:00"/>
    <s v="Card Transaction 4163 01MAY24 1STFORMATIO NS.CO.UK LONDON GB"/>
    <m/>
    <n v="0.6"/>
    <n v="19117.849999999999"/>
    <n v="-0.6"/>
    <e v="#REF!"/>
    <e v="#REF!"/>
    <x v="14"/>
  </r>
  <r>
    <n v="249"/>
    <s v="SA25"/>
    <x v="0"/>
    <d v="2024-05-08T00:00:00"/>
    <s v="Card Transaction 4163 07MAY24 C TAMAR BRIDGE PLYMOUTH GB"/>
    <m/>
    <n v="2.6"/>
    <n v="19115.25"/>
    <n v="-2.6"/>
    <e v="#REF!"/>
    <e v="#REF!"/>
    <x v="3"/>
  </r>
  <r>
    <n v="250"/>
    <s v="SA25"/>
    <x v="0"/>
    <d v="2024-05-09T00:00:00"/>
    <s v="Card Transaction 4163 08MAY24 C TAMAR BRIDGE PLYMOUTH GB"/>
    <m/>
    <n v="2.6"/>
    <n v="19112.650000000001"/>
    <n v="-2.6"/>
    <e v="#REF!"/>
    <e v="#REF!"/>
    <x v="3"/>
  </r>
  <r>
    <n v="251"/>
    <s v="SA25"/>
    <x v="0"/>
    <d v="2024-05-10T00:00:00"/>
    <s v="Card Transaction 4163 09MAY24 C TAMAR BRIDGE PLYMOUTH GB"/>
    <m/>
    <n v="2.6"/>
    <n v="19110.05"/>
    <n v="-2.6"/>
    <e v="#REF!"/>
    <e v="#REF!"/>
    <x v="3"/>
  </r>
  <r>
    <n v="252"/>
    <s v="SA25"/>
    <x v="0"/>
    <d v="2024-05-13T00:00:00"/>
    <s v="Card Transaction 4163 10MAY24 C TAMAR BRIDGE PLYMOUTH GB"/>
    <m/>
    <n v="2.6"/>
    <n v="19107.45"/>
    <n v="-2.6"/>
    <e v="#REF!"/>
    <e v="#REF!"/>
    <x v="3"/>
  </r>
  <r>
    <n v="253"/>
    <s v="SA25"/>
    <x v="0"/>
    <d v="2024-05-16T00:00:00"/>
    <s v="Card Transaction 4163 15MAY24 C TAMAR BRIDGE PLYMOUTH GB"/>
    <m/>
    <n v="2.6"/>
    <n v="19104.849999999999"/>
    <n v="-2.6"/>
    <e v="#REF!"/>
    <e v="#REF!"/>
    <x v="3"/>
  </r>
  <r>
    <n v="254"/>
    <s v="SA25"/>
    <x v="0"/>
    <d v="2024-05-17T00:00:00"/>
    <s v="Card Transaction 4163 16MAY24 C TAMAR BRIDGE PLYMOUTH GB"/>
    <m/>
    <n v="2.6"/>
    <n v="19102.25"/>
    <n v="-2.6"/>
    <e v="#REF!"/>
    <e v="#REF!"/>
    <x v="3"/>
  </r>
  <r>
    <n v="255"/>
    <s v="SA25"/>
    <x v="0"/>
    <d v="2024-05-20T00:00:00"/>
    <s v="OnLine Transaction CHIDO HOVE TRANSFER VIA MOBILE - PYMT FP 19/05/24 10 50082449533488000N"/>
    <m/>
    <n v="5000"/>
    <n v="14102.25"/>
    <n v="-5000"/>
    <e v="#REF!"/>
    <e v="#REF!"/>
    <x v="2"/>
  </r>
  <r>
    <n v="256"/>
    <s v="SA25"/>
    <x v="0"/>
    <d v="2024-05-20T00:00:00"/>
    <s v="Card Transaction 4163 17MAY24 C TAMAR BRIDGE PLYMOUTH GB"/>
    <m/>
    <n v="2.6"/>
    <n v="14099.65"/>
    <n v="-2.6"/>
    <e v="#REF!"/>
    <e v="#REF!"/>
    <x v="3"/>
  </r>
  <r>
    <n v="257"/>
    <s v="SA25"/>
    <x v="0"/>
    <d v="2024-05-21T00:00:00"/>
    <s v="Card Transaction 4163 20MAY24 TAMAR BRIDGE PLYMOUTH GB"/>
    <m/>
    <n v="50"/>
    <n v="14049.65"/>
    <n v="-50"/>
    <e v="#REF!"/>
    <e v="#REF!"/>
    <x v="15"/>
  </r>
  <r>
    <n v="258"/>
    <s v="SA25"/>
    <x v="0"/>
    <d v="2024-05-21T00:00:00"/>
    <s v="Card Transaction 4163 20MAY24 C TAMAR BRIDGE PLYMOUTH GB"/>
    <m/>
    <n v="2.6"/>
    <n v="14047.05"/>
    <n v="-2.6"/>
    <e v="#REF!"/>
    <e v="#REF!"/>
    <x v="3"/>
  </r>
  <r>
    <n v="259"/>
    <s v="SA25"/>
    <x v="0"/>
    <d v="2024-05-22T00:00:00"/>
    <s v="Card Transaction 4163 21MAY24 C TAMAR BRIDGE PLYMOUTH GB"/>
    <m/>
    <n v="2.6"/>
    <n v="14044.45"/>
    <n v="-2.6"/>
    <e v="#REF!"/>
    <e v="#REF!"/>
    <x v="3"/>
  </r>
  <r>
    <n v="260"/>
    <s v="SA25"/>
    <x v="0"/>
    <d v="2024-05-23T00:00:00"/>
    <s v="Card Transaction 4163 22MAY24 C TAMAR BRIDGE PLYMOUTH GB"/>
    <m/>
    <n v="2.6"/>
    <n v="14041.85"/>
    <n v="-2.6"/>
    <e v="#REF!"/>
    <e v="#REF!"/>
    <x v="3"/>
  </r>
  <r>
    <n v="261"/>
    <s v="SA25"/>
    <x v="0"/>
    <d v="2024-05-24T00:00:00"/>
    <s v="Automated Credit SPECSAVERS FINANCE SPECSAVERS SEP COM"/>
    <n v="4000"/>
    <m/>
    <n v="18041.849999999999"/>
    <n v="4000"/>
    <e v="#REF!"/>
    <e v="#REF!"/>
    <x v="0"/>
  </r>
  <r>
    <n v="262"/>
    <s v="SA25"/>
    <x v="0"/>
    <d v="2024-05-24T00:00:00"/>
    <s v="Card Transaction 4163 23MAY24 C TAMAR BRIDGE PLYMOUTH GB"/>
    <m/>
    <n v="2.6"/>
    <n v="18039.25"/>
    <n v="-2.6"/>
    <e v="#REF!"/>
    <e v="#REF!"/>
    <x v="3"/>
  </r>
  <r>
    <n v="263"/>
    <s v="SA25"/>
    <x v="0"/>
    <d v="2024-06-03T00:00:00"/>
    <s v="Direct Debit THE COLLEGE OF OPT DD001773"/>
    <m/>
    <n v="25.42"/>
    <n v="18013.830000000002"/>
    <n v="-25.42"/>
    <e v="#REF!"/>
    <e v="#REF!"/>
    <x v="1"/>
  </r>
  <r>
    <n v="264"/>
    <s v="SA25"/>
    <x v="0"/>
    <d v="2024-06-03T00:00:00"/>
    <s v="Direct Debit ASSOCIATION OF OPT 0000070593"/>
    <m/>
    <n v="72"/>
    <n v="17941.830000000002"/>
    <n v="-72"/>
    <e v="#REF!"/>
    <e v="#REF!"/>
    <x v="5"/>
  </r>
  <r>
    <n v="265"/>
    <s v="SA25"/>
    <x v="0"/>
    <d v="2024-06-04T00:00:00"/>
    <s v="Card Transaction 4163 03JUN24 PLYMOUTH CITY COUN PLYMOUTH GB"/>
    <m/>
    <n v="50"/>
    <n v="17891.830000000002"/>
    <n v="-50"/>
    <e v="#REF!"/>
    <e v="#REF!"/>
    <x v="6"/>
  </r>
  <r>
    <n v="266"/>
    <s v="SA25"/>
    <x v="0"/>
    <d v="2024-06-04T00:00:00"/>
    <s v="Card Transaction 4163 03JUN24 EURO CAR PARKS LTD LONDON GB"/>
    <m/>
    <n v="50"/>
    <n v="17841.830000000002"/>
    <n v="-50"/>
    <e v="#REF!"/>
    <e v="#REF!"/>
    <x v="6"/>
  </r>
  <r>
    <n v="267"/>
    <s v="SA25"/>
    <x v="0"/>
    <d v="2024-06-06T00:00:00"/>
    <s v="Card Transaction 4163 05JUN24 AIRBNB * HMFWTHQD8Z 203-318-1111 GB"/>
    <m/>
    <n v="50.28"/>
    <n v="17791.55"/>
    <n v="-50.28"/>
    <e v="#REF!"/>
    <e v="#REF!"/>
    <x v="10"/>
  </r>
  <r>
    <n v="268"/>
    <s v="SA25"/>
    <x v="0"/>
    <d v="2024-06-10T00:00:00"/>
    <s v="OnLine Transaction CHIDO HOVE TRANSFER VIA MOBILE - PYMT FP 09/06/24 10 50134345215198000N"/>
    <m/>
    <n v="5000"/>
    <n v="12791.55"/>
    <n v="-5000"/>
    <e v="#REF!"/>
    <e v="#REF!"/>
    <x v="2"/>
  </r>
  <r>
    <n v="269"/>
    <s v="SA25"/>
    <x v="0"/>
    <d v="2024-06-12T00:00:00"/>
    <s v="Automated Credit SPECSAVERS FINANCE SPECSAVERS SEP COM"/>
    <n v="4000"/>
    <m/>
    <n v="16791.55"/>
    <n v="4000"/>
    <e v="#REF!"/>
    <e v="#REF!"/>
    <x v="0"/>
  </r>
  <r>
    <n v="270"/>
    <s v="SA25"/>
    <x v="0"/>
    <d v="2024-06-14T00:00:00"/>
    <s v="Automated Credit SPECSAVERS FINANCE SPECSAVERS SEP COM"/>
    <n v="424"/>
    <m/>
    <n v="17215.55"/>
    <n v="424"/>
    <e v="#REF!"/>
    <e v="#REF!"/>
    <x v="0"/>
  </r>
  <r>
    <n v="271"/>
    <s v="SA25"/>
    <x v="0"/>
    <d v="2024-06-17T00:00:00"/>
    <s v="OnLine Transaction CHIDO HOVE TRANSFER VIA MOBILE - PYMT FP 15/06/24 10 28180949197463000N"/>
    <m/>
    <n v="500"/>
    <n v="16715.55"/>
    <n v="-500"/>
    <e v="#REF!"/>
    <e v="#REF!"/>
    <x v="2"/>
  </r>
  <r>
    <n v="272"/>
    <s v="SA25"/>
    <x v="0"/>
    <d v="2024-06-17T00:00:00"/>
    <s v="OnLine Transaction CHIDO HOVE Nn VIA MOBILE - LVP FP 15/06/24 10 35181028028696000N"/>
    <m/>
    <n v="500"/>
    <n v="16215.55"/>
    <n v="-500"/>
    <e v="#REF!"/>
    <e v="#REF!"/>
    <x v="2"/>
  </r>
  <r>
    <n v="273"/>
    <s v="SA25"/>
    <x v="0"/>
    <d v="2024-06-19T00:00:00"/>
    <s v="Card Transaction 4163 17JUN24 C CORNWALL COUNCIL - THE TRURO GB"/>
    <m/>
    <n v="10.5"/>
    <n v="16205.05"/>
    <n v="-10.5"/>
    <e v="#REF!"/>
    <e v="#REF!"/>
    <x v="6"/>
  </r>
  <r>
    <n v="274"/>
    <s v="SA25"/>
    <x v="0"/>
    <d v="2024-06-20T00:00:00"/>
    <s v="Automated Credit VISION EXPRESS UK RG50570001276824"/>
    <n v="1255"/>
    <m/>
    <n v="17460.05"/>
    <n v="1255"/>
    <e v="#REF!"/>
    <e v="#REF!"/>
    <x v="0"/>
  </r>
  <r>
    <n v="275"/>
    <s v="SA25"/>
    <x v="0"/>
    <d v="2024-06-21T00:00:00"/>
    <s v="OnLine Transaction CHIDO HOVE TRANSFER VIA MOBILE - PYMT FP 21/06/24 10 34113627650022000N"/>
    <m/>
    <n v="4000"/>
    <n v="13460.05"/>
    <n v="-4000"/>
    <e v="#REF!"/>
    <e v="#REF!"/>
    <x v="2"/>
  </r>
  <r>
    <n v="276"/>
    <s v="SA25"/>
    <x v="0"/>
    <d v="2024-06-27T00:00:00"/>
    <s v="OnLine Transaction Locums Limited Chido Accounts VIA MOBILE - LVP FP 26/06/24 10 46231124828256000N"/>
    <m/>
    <n v="613"/>
    <n v="12847.05"/>
    <n v="-613"/>
    <e v="#REF!"/>
    <e v="#REF!"/>
    <x v="16"/>
  </r>
  <r>
    <n v="277"/>
    <s v="SA25"/>
    <x v="0"/>
    <d v="2024-06-28T00:00:00"/>
    <s v="Card Transaction 4163 27JUN24 C CORNWALL COUNCIL TRURO GB"/>
    <m/>
    <n v="3.7"/>
    <n v="12843.35"/>
    <n v="-3.7"/>
    <e v="#REF!"/>
    <e v="#REF!"/>
    <x v="6"/>
  </r>
  <r>
    <n v="278"/>
    <s v="SA25"/>
    <x v="0"/>
    <d v="2024-07-01T00:00:00"/>
    <s v="Direct Debit ASSOCIATION OF OPT 0000070593"/>
    <m/>
    <n v="72"/>
    <n v="12771.35"/>
    <n v="-72"/>
    <e v="#REF!"/>
    <e v="#REF!"/>
    <x v="5"/>
  </r>
  <r>
    <n v="279"/>
    <s v="SA25"/>
    <x v="0"/>
    <d v="2024-07-02T00:00:00"/>
    <s v="Card Transaction 4163 01JUL24 C CORNWALL COUNCIL TRURO GB"/>
    <m/>
    <n v="6.3"/>
    <n v="12765.05"/>
    <n v="-6.3"/>
    <e v="#REF!"/>
    <e v="#REF!"/>
    <x v="6"/>
  </r>
  <r>
    <n v="280"/>
    <s v="SA25"/>
    <x v="0"/>
    <d v="2024-07-02T00:00:00"/>
    <s v="Card Transaction 4163 01JUL24 C CORNWALL COUNCIL TRURO GB"/>
    <m/>
    <n v="5"/>
    <n v="12760.05"/>
    <n v="-5"/>
    <e v="#REF!"/>
    <e v="#REF!"/>
    <x v="6"/>
  </r>
  <r>
    <n v="281"/>
    <s v="SA25"/>
    <x v="0"/>
    <d v="2024-07-05T00:00:00"/>
    <s v="Automated Credit SPECSAVERS FINANCE SPECSAVERS SEP COM"/>
    <n v="4500"/>
    <m/>
    <n v="17260.05"/>
    <n v="4500"/>
    <e v="#REF!"/>
    <e v="#REF!"/>
    <x v="0"/>
  </r>
  <r>
    <n v="282"/>
    <s v="SA25"/>
    <x v="0"/>
    <d v="2024-07-08T00:00:00"/>
    <s v="OnLine Transaction CHIDO HOVE Expenses owing VIA MOBILE - LVP FP 08/07/24 10 57142638488619000N"/>
    <m/>
    <n v="133.41"/>
    <n v="17126.64"/>
    <n v="-133.41"/>
    <e v="#REF!"/>
    <e v="#REF!"/>
    <x v="2"/>
  </r>
  <r>
    <n v="283"/>
    <s v="SA25"/>
    <x v="0"/>
    <d v="2024-07-10T00:00:00"/>
    <s v="Card Transaction 4163 09JUL24 C ZETTLE_*THE THOMAS DAN NEWQUAY GB"/>
    <m/>
    <n v="22"/>
    <n v="17104.64"/>
    <n v="-22"/>
    <e v="#REF!"/>
    <e v="#REF!"/>
    <x v="9"/>
  </r>
  <r>
    <n v="284"/>
    <s v="SA25"/>
    <x v="0"/>
    <d v="2024-07-10T00:00:00"/>
    <s v="Card Transaction 4163 09JUL24 C CORNWALL COUNCIL - MO TRURO GB"/>
    <m/>
    <n v="10.5"/>
    <n v="17094.14"/>
    <n v="-10.5"/>
    <e v="#REF!"/>
    <e v="#REF!"/>
    <x v="6"/>
  </r>
  <r>
    <n v="285"/>
    <s v="SA25"/>
    <x v="0"/>
    <d v="2024-07-11T00:00:00"/>
    <s v="Automated Credit SPECSAVERS FINANCE SPECSAVERS SEP COM"/>
    <n v="1400"/>
    <m/>
    <n v="18494.14"/>
    <n v="1400"/>
    <e v="#REF!"/>
    <e v="#REF!"/>
    <x v="0"/>
  </r>
  <r>
    <n v="286"/>
    <s v="SA25"/>
    <x v="0"/>
    <d v="2024-07-11T00:00:00"/>
    <s v="Card Transaction 4163 10JUL24 C CORNWALL COUNCIL - MO TRURO GB"/>
    <m/>
    <n v="10.5"/>
    <n v="18483.64"/>
    <n v="-10.5"/>
    <e v="#REF!"/>
    <e v="#REF!"/>
    <x v="6"/>
  </r>
  <r>
    <n v="287"/>
    <s v="SA25"/>
    <x v="0"/>
    <d v="2024-07-12T00:00:00"/>
    <s v="Automated Credit VISION EXPRESS UK RG50570001484124"/>
    <n v="850"/>
    <m/>
    <n v="19333.64"/>
    <n v="850"/>
    <e v="#REF!"/>
    <e v="#REF!"/>
    <x v="0"/>
  </r>
  <r>
    <n v="288"/>
    <s v="SA25"/>
    <x v="0"/>
    <d v="2024-07-17T00:00:00"/>
    <s v="OnLine Transaction CHIDO HOVE TRANSFER VIA MOBILE - PYMT FP 17/07/24 10 34175323404077000N"/>
    <m/>
    <n v="5000"/>
    <n v="14333.64"/>
    <n v="-5000"/>
    <e v="#REF!"/>
    <e v="#REF!"/>
    <x v="2"/>
  </r>
  <r>
    <n v="289"/>
    <s v="SA25"/>
    <x v="0"/>
    <d v="2024-07-19T00:00:00"/>
    <s v="Automated Credit SCRIVENS LTD"/>
    <n v="500"/>
    <m/>
    <n v="14833.64"/>
    <n v="500"/>
    <e v="#REF!"/>
    <e v="#REF!"/>
    <x v="0"/>
  </r>
  <r>
    <n v="290"/>
    <s v="SA25"/>
    <x v="0"/>
    <d v="2024-07-19T00:00:00"/>
    <s v="Automated Credit VISION EXPRESS UK RG50570001550124"/>
    <n v="1975"/>
    <m/>
    <n v="16808.64"/>
    <n v="1975"/>
    <e v="#REF!"/>
    <e v="#REF!"/>
    <x v="0"/>
  </r>
  <r>
    <n v="291"/>
    <s v="SA25"/>
    <x v="0"/>
    <d v="2024-07-23T00:00:00"/>
    <s v="Direct Debit THE COLLEGE OF OPT DD001773"/>
    <m/>
    <n v="25.42"/>
    <n v="16783.22"/>
    <n v="-25.42"/>
    <e v="#REF!"/>
    <e v="#REF!"/>
    <x v="1"/>
  </r>
  <r>
    <n v="292"/>
    <s v="SA25"/>
    <x v="0"/>
    <d v="2024-07-24T00:00:00"/>
    <s v="Automated Credit SPECSAVERS FINANCE SPECSAVERS SEP COM"/>
    <n v="1500"/>
    <m/>
    <n v="18283.22"/>
    <n v="1500"/>
    <e v="#REF!"/>
    <e v="#REF!"/>
    <x v="0"/>
  </r>
  <r>
    <n v="293"/>
    <s v="SA25"/>
    <x v="0"/>
    <d v="2024-07-25T00:00:00"/>
    <s v="Card Transaction 4163 24JUL24 C TAMAR BRIDGE PLYMOUTH GB"/>
    <m/>
    <n v="2.6"/>
    <n v="18280.62"/>
    <n v="-2.6"/>
    <e v="#REF!"/>
    <e v="#REF!"/>
    <x v="3"/>
  </r>
  <r>
    <n v="294"/>
    <s v="SA25"/>
    <x v="0"/>
    <d v="2024-07-30T00:00:00"/>
    <s v="Card Transaction 4163 29JUL24 C TAMAR BRIDGE PLYMOUTH GB"/>
    <m/>
    <n v="2.6"/>
    <n v="18278.02"/>
    <n v="-2.6"/>
    <e v="#REF!"/>
    <e v="#REF!"/>
    <x v="3"/>
  </r>
  <r>
    <n v="295"/>
    <s v="SA25"/>
    <x v="0"/>
    <d v="2024-07-31T00:00:00"/>
    <s v="Card Transaction 4163 30JUL24 C DRAKE CIRCUS CTR LTD PLYMOUTH GB"/>
    <m/>
    <n v="15"/>
    <n v="18263.02"/>
    <n v="-15"/>
    <e v="#REF!"/>
    <e v="#REF!"/>
    <x v="6"/>
  </r>
  <r>
    <n v="296"/>
    <s v="SA25"/>
    <x v="0"/>
    <d v="2024-07-31T00:00:00"/>
    <s v="Card Transaction 4163 30JUL24 C TAMAR BRIDGE PLYMOUTH GB"/>
    <m/>
    <n v="2.6"/>
    <n v="18260.419999999998"/>
    <n v="-2.6"/>
    <e v="#REF!"/>
    <e v="#REF!"/>
    <x v="3"/>
  </r>
  <r>
    <n v="297"/>
    <s v="SA25"/>
    <x v="0"/>
    <d v="2024-08-01T00:00:00"/>
    <s v="Direct Debit ASSOCIATION OF OPT 0000070593"/>
    <m/>
    <n v="72"/>
    <n v="18188.419999999998"/>
    <n v="-72"/>
    <e v="#REF!"/>
    <e v="#REF!"/>
    <x v="5"/>
  </r>
  <r>
    <n v="298"/>
    <s v="SA25"/>
    <x v="0"/>
    <d v="2024-08-02T00:00:00"/>
    <s v="Automated Credit SPECSAVERS FINANCE SPECSAVERS SEP COM"/>
    <n v="900"/>
    <m/>
    <n v="19088.419999999998"/>
    <n v="900"/>
    <e v="#REF!"/>
    <e v="#REF!"/>
    <x v="0"/>
  </r>
  <r>
    <n v="299"/>
    <s v="SA25"/>
    <x v="0"/>
    <d v="2024-08-02T00:00:00"/>
    <s v="Direct Debit THE COLLEGE OF OPT DD001773"/>
    <m/>
    <n v="25.42"/>
    <n v="19063"/>
    <n v="-25.42"/>
    <e v="#REF!"/>
    <e v="#REF!"/>
    <x v="1"/>
  </r>
  <r>
    <n v="300"/>
    <s v="SA25"/>
    <x v="0"/>
    <d v="2024-08-06T00:00:00"/>
    <s v="Automated Credit VISION EXPRESS UK RG50570001680324"/>
    <n v="425"/>
    <m/>
    <n v="19488"/>
    <n v="425"/>
    <e v="#REF!"/>
    <e v="#REF!"/>
    <x v="0"/>
  </r>
  <r>
    <n v="301"/>
    <s v="SA25"/>
    <x v="0"/>
    <d v="2024-08-09T00:00:00"/>
    <s v="Automated Credit VISION EXPRESS UK RG50570001745824"/>
    <n v="1245"/>
    <m/>
    <n v="20733"/>
    <n v="1245"/>
    <e v="#REF!"/>
    <e v="#REF!"/>
    <x v="0"/>
  </r>
  <r>
    <n v="302"/>
    <s v="SA25"/>
    <x v="0"/>
    <d v="2024-08-09T00:00:00"/>
    <s v="Automated Credit SPECSAVERS FINANCE SPECSAVERS SEP COM"/>
    <n v="1000"/>
    <m/>
    <n v="21733"/>
    <n v="1000"/>
    <e v="#REF!"/>
    <e v="#REF!"/>
    <x v="0"/>
  </r>
  <r>
    <n v="303"/>
    <s v="SA25"/>
    <x v="0"/>
    <d v="2024-08-15T00:00:00"/>
    <s v="Card Transaction 4163 14AUG24 HOTEL AT BOOKING.COM CAMBRIDGE GB"/>
    <m/>
    <n v="218.7"/>
    <n v="21514.3"/>
    <n v="-218.7"/>
    <e v="#REF!"/>
    <e v="#REF!"/>
    <x v="10"/>
  </r>
  <r>
    <n v="304"/>
    <s v="SA25"/>
    <x v="0"/>
    <d v="2024-08-16T00:00:00"/>
    <s v="OnLine Transaction CORP TAX C/NAULD I 4233420646A00103A VIA ONLINE - PYMT FP 16/08/24 10_x000a_26133634172711000N"/>
    <m/>
    <n v="177.84"/>
    <n v="21336.46"/>
    <n v="-177.84"/>
    <e v="#REF!"/>
    <e v="#REF!"/>
    <x v="17"/>
  </r>
  <r>
    <n v="305"/>
    <s v="SA25"/>
    <x v="0"/>
    <d v="2024-08-16T00:00:00"/>
    <s v="OnLine Transaction CORP TAX C/NAULD I 4233420646A00102A VIA ONLINE - PYMT FP 16/08/24 10_x000a_34133300541794000N"/>
    <m/>
    <n v="8110.15"/>
    <n v="13226.31"/>
    <n v="-8110.15"/>
    <e v="#REF!"/>
    <e v="#REF!"/>
    <x v="17"/>
  </r>
  <r>
    <n v="306"/>
    <s v="SA25"/>
    <x v="0"/>
    <d v="2024-08-21T00:00:00"/>
    <s v="Automated Credit SPECSAVERS FINANCE SPECSAVERS SEP COM"/>
    <n v="450"/>
    <m/>
    <n v="13676.31"/>
    <n v="450"/>
    <e v="#REF!"/>
    <e v="#REF!"/>
    <x v="0"/>
  </r>
  <r>
    <n v="307"/>
    <s v="SA25"/>
    <x v="0"/>
    <d v="2024-08-21T00:00:00"/>
    <s v="OnLine Transaction CHIDO HOVE TRANSFER VIA MOBILE - PYMT FP 21/08/24 10 20160503296635000N"/>
    <m/>
    <n v="5000"/>
    <n v="8676.31"/>
    <n v="-5000"/>
    <e v="#REF!"/>
    <e v="#REF!"/>
    <x v="2"/>
  </r>
  <r>
    <n v="308"/>
    <s v="SA25"/>
    <x v="0"/>
    <d v="2024-08-21T00:00:00"/>
    <s v="Card Transaction 4163 20AUG24 C TAMAR BRIDGE PLYMOUTH GB"/>
    <m/>
    <n v="2.6"/>
    <n v="8673.7099999999991"/>
    <n v="-2.6"/>
    <e v="#REF!"/>
    <e v="#REF!"/>
    <x v="3"/>
  </r>
  <r>
    <n v="309"/>
    <s v="SA25"/>
    <x v="0"/>
    <d v="2024-08-23T00:00:00"/>
    <s v="Automated Credit VISION EXPRESS UK RG50570001810824"/>
    <n v="885"/>
    <m/>
    <n v="9558.7099999999991"/>
    <n v="885"/>
    <e v="#REF!"/>
    <e v="#REF!"/>
    <x v="0"/>
  </r>
  <r>
    <n v="310"/>
    <s v="SA25"/>
    <x v="0"/>
    <d v="2024-08-27T00:00:00"/>
    <s v="Card Transaction 4163 23AUG24 C SUMUP *SERVET BAYAR PLYMOUTH GB"/>
    <m/>
    <n v="45"/>
    <n v="9513.7099999999991"/>
    <n v="-45"/>
    <e v="#REF!"/>
    <e v="#REF!"/>
    <x v="11"/>
  </r>
  <r>
    <n v="311"/>
    <s v="SA25"/>
    <x v="0"/>
    <d v="2024-08-27T00:00:00"/>
    <s v="Card Transaction 4163 23AUG24 C TAMAR BRIDGE PLYMOUTH GB"/>
    <m/>
    <n v="2.6"/>
    <n v="9511.11"/>
    <n v="-2.6"/>
    <e v="#REF!"/>
    <e v="#REF!"/>
    <x v="3"/>
  </r>
  <r>
    <n v="312"/>
    <s v="SA25"/>
    <x v="0"/>
    <d v="2024-08-27T00:00:00"/>
    <s v="Card Transaction 4163 26AUG24 C TAMAR BRIDGE PLYMOUTH GB"/>
    <m/>
    <n v="2.6"/>
    <n v="9508.51"/>
    <n v="-2.6"/>
    <e v="#REF!"/>
    <e v="#REF!"/>
    <x v="3"/>
  </r>
  <r>
    <n v="313"/>
    <s v="SA25"/>
    <x v="0"/>
    <d v="2024-08-27T00:00:00"/>
    <s v="Card Transaction 4163 26AUG24 TAMAR BRIDGE PLYMOUTH GB"/>
    <m/>
    <n v="100"/>
    <n v="9408.51"/>
    <n v="-100"/>
    <e v="#REF!"/>
    <e v="#REF!"/>
    <x v="15"/>
  </r>
  <r>
    <n v="314"/>
    <s v="SA25"/>
    <x v="0"/>
    <d v="2024-08-30T00:00:00"/>
    <s v="Automated Credit VISION EXPRESS UK RG50570001911924"/>
    <n v="1225"/>
    <m/>
    <n v="10633.51"/>
    <n v="1225"/>
    <e v="#REF!"/>
    <e v="#REF!"/>
    <x v="0"/>
  </r>
  <r>
    <n v="315"/>
    <s v="SA25"/>
    <x v="0"/>
    <d v="2024-08-30T00:00:00"/>
    <s v="Charges 02AUG A/C 41204042"/>
    <m/>
    <n v="7.7"/>
    <n v="10625.81"/>
    <n v="-7.7"/>
    <e v="#REF!"/>
    <e v="#REF!"/>
    <x v="18"/>
  </r>
  <r>
    <n v="316"/>
    <s v="SA25"/>
    <x v="0"/>
    <d v="2024-09-02T00:00:00"/>
    <s v="Card Transaction 4163 01SEP24 1STFORMATIO NS.CO.UK LONDON GB"/>
    <m/>
    <n v="0.6"/>
    <n v="10625.21"/>
    <n v="-0.6"/>
    <e v="#REF!"/>
    <e v="#REF!"/>
    <x v="14"/>
  </r>
  <r>
    <n v="317"/>
    <s v="SA25"/>
    <x v="0"/>
    <d v="2024-09-02T00:00:00"/>
    <s v="Direct Debit THE COLLEGE OF OPT DD001773"/>
    <m/>
    <n v="25.42"/>
    <n v="10599.79"/>
    <n v="-25.42"/>
    <e v="#REF!"/>
    <e v="#REF!"/>
    <x v="1"/>
  </r>
  <r>
    <n v="318"/>
    <s v="SA25"/>
    <x v="0"/>
    <d v="2024-09-02T00:00:00"/>
    <s v="Direct Debit ASSOCIATION OF OPT 0000070593"/>
    <m/>
    <n v="72"/>
    <n v="10527.79"/>
    <n v="-72"/>
    <e v="#REF!"/>
    <e v="#REF!"/>
    <x v="5"/>
  </r>
  <r>
    <n v="319"/>
    <s v="SA25"/>
    <x v="0"/>
    <d v="2024-09-06T00:00:00"/>
    <s v="Card Transaction 4163 05SEP24 C TRY DOWER TRURO, TRURO GB"/>
    <m/>
    <n v="16.149999999999999"/>
    <n v="10511.64"/>
    <n v="-16.149999999999999"/>
    <e v="#REF!"/>
    <e v="#REF!"/>
    <x v="9"/>
  </r>
  <r>
    <n v="320"/>
    <s v="SA25"/>
    <x v="0"/>
    <d v="2024-09-09T00:00:00"/>
    <s v="Automated Credit VISION EXPRESS UK RG50570001970824"/>
    <n v="1240"/>
    <m/>
    <n v="11751.64"/>
    <n v="1240"/>
    <e v="#REF!"/>
    <e v="#REF!"/>
    <x v="0"/>
  </r>
  <r>
    <n v="321"/>
    <s v="SA25"/>
    <x v="0"/>
    <d v="2024-09-09T00:00:00"/>
    <s v="Card Transaction 4163 06SEP24 MANNINGS HOTEL CORNWALL GB"/>
    <m/>
    <n v="109.35"/>
    <n v="11642.29"/>
    <n v="-109.35"/>
    <e v="#REF!"/>
    <e v="#REF!"/>
    <x v="10"/>
  </r>
  <r>
    <n v="322"/>
    <s v="SA25"/>
    <x v="0"/>
    <d v="2024-09-13T00:00:00"/>
    <s v="Automated Credit VISION EXPRESS UK RG50570002036724"/>
    <n v="425"/>
    <m/>
    <n v="12067.29"/>
    <n v="425"/>
    <e v="#REF!"/>
    <e v="#REF!"/>
    <x v="0"/>
  </r>
  <r>
    <n v="323"/>
    <s v="SA25"/>
    <x v="0"/>
    <d v="2024-09-17T00:00:00"/>
    <s v="OnLine Transaction HMRC CUMBERNAULD 475PA017019352409 VIA MOBILE - LVP FP 17/09/24 10_x000a_20164832426090000N"/>
    <m/>
    <n v="47.48"/>
    <n v="12019.81"/>
    <n v="-47.48"/>
    <e v="#REF!"/>
    <e v="#REF!"/>
    <x v="19"/>
  </r>
  <r>
    <n v="324"/>
    <s v="SA25"/>
    <x v="0"/>
    <d v="2024-09-17T00:00:00"/>
    <s v="OnLine Transaction CORP TAX C/NAULD I 475PA017019352412 VIA MOBILE - LVP FP 17/09/24 10_x000a_55165358717991000N"/>
    <m/>
    <n v="149.13999999999999"/>
    <n v="11870.67"/>
    <n v="-149.13999999999999"/>
    <e v="#REF!"/>
    <e v="#REF!"/>
    <x v="19"/>
  </r>
  <r>
    <n v="325"/>
    <s v="SA25"/>
    <x v="0"/>
    <d v="2024-09-17T00:00:00"/>
    <s v="OnLine Transaction CORP TAX C/NAULD I 475PA017019352411 VIA MOBILE - LVP FP 17/09/24 10_x000a_32165224675996000N"/>
    <m/>
    <n v="149.13"/>
    <n v="11721.54"/>
    <n v="-149.13"/>
    <e v="#REF!"/>
    <e v="#REF!"/>
    <x v="19"/>
  </r>
  <r>
    <n v="326"/>
    <s v="SA25"/>
    <x v="0"/>
    <d v="2024-09-17T00:00:00"/>
    <s v="OnLine Transaction CORP TAX C/NAULD I 475PA017019352410 VIA MOBILE - LVP FP 17/09/24 10_x000a_46165050478564000N"/>
    <m/>
    <n v="149.13999999999999"/>
    <n v="11572.4"/>
    <n v="-149.13999999999999"/>
    <e v="#REF!"/>
    <e v="#REF!"/>
    <x v="19"/>
  </r>
  <r>
    <n v="327"/>
    <s v="SA25"/>
    <x v="0"/>
    <d v="2024-09-18T00:00:00"/>
    <s v="CHAPS Transfer RG50570002103824 PCM55CI20934252 VISION EXPRESS ( UK) LTD CHAPS TFR"/>
    <n v="1670"/>
    <m/>
    <n v="13242.4"/>
    <n v="1670"/>
    <e v="#REF!"/>
    <e v="#REF!"/>
    <x v="0"/>
  </r>
  <r>
    <n v="328"/>
    <s v="SA25"/>
    <x v="0"/>
    <d v="2024-09-19T00:00:00"/>
    <s v="Card Transaction 4163 18SEP24 BOOKING.COM LONDON GB"/>
    <m/>
    <n v="357.7"/>
    <n v="12884.7"/>
    <n v="-357.7"/>
    <e v="#REF!"/>
    <e v="#REF!"/>
    <x v="10"/>
  </r>
  <r>
    <n v="329"/>
    <s v="SA25"/>
    <x v="0"/>
    <d v="2024-09-20T00:00:00"/>
    <s v="Automated Credit LOCUM PAYROL LTD ASDA FP 20/09/24 0434 MF041539C1250F8500"/>
    <n v="880"/>
    <m/>
    <n v="13764.7"/>
    <n v="880"/>
    <e v="#REF!"/>
    <e v="#REF!"/>
    <x v="0"/>
  </r>
  <r>
    <n v="330"/>
    <s v="SA25"/>
    <x v="0"/>
    <d v="2024-09-26T00:00:00"/>
    <s v="Card Transaction 4163 25SEP24 C SUBWAY 43373 BACK QUAY TRURO GB"/>
    <m/>
    <n v="9.41"/>
    <n v="13755.29"/>
    <n v="-9.41"/>
    <e v="#REF!"/>
    <e v="#REF!"/>
    <x v="13"/>
  </r>
  <r>
    <n v="331"/>
    <s v="SA25"/>
    <x v="0"/>
    <d v="2024-09-27T00:00:00"/>
    <s v="Automated Credit LOCUM PAYROL LTD ASDA FP 27/09/24 0505 MF043239C130652000"/>
    <n v="1320"/>
    <m/>
    <n v="15075.29"/>
    <n v="1320"/>
    <e v="#REF!"/>
    <e v="#REF!"/>
    <x v="0"/>
  </r>
  <r>
    <n v="332"/>
    <s v="SA25"/>
    <x v="0"/>
    <d v="2024-09-30T00:00:00"/>
    <s v="Automated Credit VISION EXPRESS UK RG50570002185424"/>
    <n v="1200"/>
    <m/>
    <n v="16275.29"/>
    <n v="1200"/>
    <e v="#REF!"/>
    <e v="#REF!"/>
    <x v="0"/>
  </r>
  <r>
    <n v="333"/>
    <s v="SA25"/>
    <x v="0"/>
    <d v="2024-09-30T00:00:00"/>
    <s v="Charges 30AUG A/C 41204042"/>
    <m/>
    <n v="5.25"/>
    <n v="16270.04"/>
    <n v="-5.25"/>
    <e v="#REF!"/>
    <e v="#REF!"/>
    <x v="18"/>
  </r>
  <r>
    <n v="334"/>
    <s v="SA25"/>
    <x v="0"/>
    <d v="2024-10-01T00:00:00"/>
    <s v="OnLine Transaction CHIDO HOVE Expenses holi inn VIA MOBILE - LVP FP 01/10/24 10 56161959210262000N"/>
    <m/>
    <n v="92.99"/>
    <n v="16177.05"/>
    <n v="-92.99"/>
    <e v="#REF!"/>
    <e v="#REF!"/>
    <x v="10"/>
  </r>
  <r>
    <n v="335"/>
    <s v="SA25"/>
    <x v="0"/>
    <d v="2024-10-01T00:00:00"/>
    <s v="Direct Debit THE COLLEGE OF OPT DD001773"/>
    <m/>
    <n v="26.37"/>
    <n v="16150.68"/>
    <n v="-26.37"/>
    <e v="#REF!"/>
    <e v="#REF!"/>
    <x v="1"/>
  </r>
  <r>
    <n v="336"/>
    <s v="SA25"/>
    <x v="0"/>
    <d v="2024-10-01T00:00:00"/>
    <s v="Direct Debit ASSOCIATION OF OPT 0000070593"/>
    <m/>
    <n v="72"/>
    <n v="16078.68"/>
    <n v="-72"/>
    <e v="#REF!"/>
    <e v="#REF!"/>
    <x v="5"/>
  </r>
  <r>
    <n v="337"/>
    <s v="SA25"/>
    <x v="0"/>
    <d v="2024-10-02T00:00:00"/>
    <s v="Card Transaction 4163 01OCT24 PARTNERS ON BOOKING BV AMSTERDAM NL"/>
    <m/>
    <n v="136.91999999999999"/>
    <n v="15941.76"/>
    <n v="-136.91999999999999"/>
    <e v="#REF!"/>
    <e v="#REF!"/>
    <x v="10"/>
  </r>
  <r>
    <n v="338"/>
    <s v="SA25"/>
    <x v="0"/>
    <d v="2024-10-04T00:00:00"/>
    <s v="Automated Credit SPECSAVERS FINANCE SPECSAVERS SEP COM"/>
    <n v="333"/>
    <m/>
    <n v="16274.76"/>
    <n v="333"/>
    <e v="#REF!"/>
    <e v="#REF!"/>
    <x v="0"/>
  </r>
  <r>
    <n v="339"/>
    <s v="SA25"/>
    <x v="0"/>
    <d v="2024-10-07T00:00:00"/>
    <s v="Card Transaction 4163 05OCT24 PROTECTIVE MASKS DIREC TUNBRIDGE WEL GB"/>
    <m/>
    <n v="32.82"/>
    <n v="16241.94"/>
    <n v="-32.82"/>
    <e v="#REF!"/>
    <e v="#REF!"/>
    <x v="12"/>
  </r>
  <r>
    <n v="340"/>
    <s v="SA25"/>
    <x v="0"/>
    <d v="2024-10-08T00:00:00"/>
    <s v="Automated Credit VISION EXPRESS UK RG50570002267524"/>
    <n v="425"/>
    <m/>
    <n v="16666.939999999999"/>
    <n v="425"/>
    <e v="#REF!"/>
    <e v="#REF!"/>
    <x v="0"/>
  </r>
  <r>
    <n v="341"/>
    <s v="SA25"/>
    <x v="0"/>
    <d v="2024-10-11T00:00:00"/>
    <s v="Automated Credit VISION EXPRESS UK RG50570002329924"/>
    <n v="1245"/>
    <m/>
    <n v="17911.939999999999"/>
    <n v="1245"/>
    <e v="#REF!"/>
    <e v="#REF!"/>
    <x v="0"/>
  </r>
  <r>
    <n v="342"/>
    <s v="SA25"/>
    <x v="0"/>
    <d v="2024-10-17T00:00:00"/>
    <s v="Card Transaction 4163 16OCT24 C THE GREAT WESTERN HOTE NEWQUAY GB"/>
    <m/>
    <n v="25"/>
    <n v="17886.939999999999"/>
    <n v="-25"/>
    <e v="#REF!"/>
    <e v="#REF!"/>
    <x v="10"/>
  </r>
  <r>
    <n v="343"/>
    <s v="SA25"/>
    <x v="0"/>
    <d v="2024-10-17T00:00:00"/>
    <s v="Card Transaction 4163 16OCT24 C THE GREAT WESTERN HOTE NEWQUAY GB"/>
    <m/>
    <n v="16"/>
    <n v="17870.939999999999"/>
    <n v="-16"/>
    <e v="#REF!"/>
    <e v="#REF!"/>
    <x v="10"/>
  </r>
  <r>
    <n v="344"/>
    <s v="SA25"/>
    <x v="0"/>
    <d v="2024-10-17T00:00:00"/>
    <s v="Card Transaction 4163 16OCT24 C FLOUNDERS FISH AND CH NEWQUAY GB"/>
    <m/>
    <n v="7.2"/>
    <n v="17863.740000000002"/>
    <n v="-7.2"/>
    <e v="#REF!"/>
    <e v="#REF!"/>
    <x v="13"/>
  </r>
  <r>
    <n v="345"/>
    <s v="SA25"/>
    <x v="0"/>
    <d v="2024-10-18T00:00:00"/>
    <s v="Automated Credit VISION EXPRESS UK RG50570002423124"/>
    <n v="425"/>
    <m/>
    <n v="18288.740000000002"/>
    <n v="425"/>
    <e v="#REF!"/>
    <e v="#REF!"/>
    <x v="0"/>
  </r>
  <r>
    <n v="346"/>
    <s v="SA25"/>
    <x v="0"/>
    <d v="2024-10-18T00:00:00"/>
    <s v="Card Transaction 4163 17OCT24 C THE GREAT WESTERN HOTE NEWQUAY GB"/>
    <m/>
    <n v="14.25"/>
    <n v="18274.490000000002"/>
    <n v="-14.25"/>
    <e v="#REF!"/>
    <e v="#REF!"/>
    <x v="10"/>
  </r>
  <r>
    <n v="347"/>
    <s v="SA25"/>
    <x v="0"/>
    <d v="2024-10-23T00:00:00"/>
    <s v="Card Transaction 4163 22OCT24 C LIDL GB LAUNCESTON LAUNCESTON GB"/>
    <m/>
    <n v="76.28"/>
    <n v="18198.21"/>
    <n v="-76.28"/>
    <e v="#REF!"/>
    <e v="#REF!"/>
    <x v="20"/>
  </r>
  <r>
    <n v="348"/>
    <s v="SA25"/>
    <x v="0"/>
    <d v="2024-10-25T00:00:00"/>
    <s v="Automated Credit VISION EXPRESS UK RG50570002466924"/>
    <n v="1800"/>
    <m/>
    <n v="19998.21"/>
    <n v="1800"/>
    <e v="#REF!"/>
    <e v="#REF!"/>
    <x v="0"/>
  </r>
  <r>
    <n v="349"/>
    <s v="SA25"/>
    <x v="0"/>
    <d v="2024-10-30T00:00:00"/>
    <s v="Card Transaction 4163 29OCT24 C DRAKE CIRCUS CAR PARK PLYMOUTH GB"/>
    <m/>
    <n v="15"/>
    <n v="19983.21"/>
    <n v="-15"/>
    <e v="#REF!"/>
    <e v="#REF!"/>
    <x v="6"/>
  </r>
  <r>
    <n v="350"/>
    <s v="SA25"/>
    <x v="0"/>
    <d v="2024-10-31T00:00:00"/>
    <s v="Automated Credit VISION EXPRESS UK RG50570002549424"/>
    <n v="905"/>
    <m/>
    <n v="20888.21"/>
    <n v="905"/>
    <e v="#REF!"/>
    <e v="#REF!"/>
    <x v="0"/>
  </r>
  <r>
    <n v="351"/>
    <s v="SA25"/>
    <x v="0"/>
    <d v="2024-10-31T00:00:00"/>
    <s v="Charges 04OCT A/C 41204042"/>
    <m/>
    <n v="7.35"/>
    <n v="20880.86"/>
    <n v="-7.35"/>
    <e v="#REF!"/>
    <e v="#REF!"/>
    <x v="18"/>
  </r>
  <r>
    <n v="352"/>
    <s v="SA25"/>
    <x v="0"/>
    <d v="2024-10-31T00:00:00"/>
    <s v="Card Transaction 4163 30OCT24 C DRAKE CIRCUS CAR PARK PLYMOUTH GB"/>
    <m/>
    <n v="15"/>
    <n v="20865.86"/>
    <n v="-15"/>
    <e v="#REF!"/>
    <e v="#REF!"/>
    <x v="6"/>
  </r>
  <r>
    <n v="353"/>
    <s v="SA25"/>
    <x v="0"/>
    <d v="2024-11-01T00:00:00"/>
    <s v="Direct Debit THE COLLEGE OF OPT DD001773"/>
    <m/>
    <n v="26.33"/>
    <n v="20839.53"/>
    <n v="-26.33"/>
    <e v="#REF!"/>
    <e v="#REF!"/>
    <x v="1"/>
  </r>
  <r>
    <n v="354"/>
    <s v="SA25"/>
    <x v="0"/>
    <d v="2024-11-08T00:00:00"/>
    <s v="Automated Credit SCRIVENS LTD"/>
    <n v="990"/>
    <m/>
    <n v="21829.53"/>
    <n v="990"/>
    <e v="#REF!"/>
    <e v="#REF!"/>
    <x v="0"/>
  </r>
  <r>
    <n v="355"/>
    <s v="SA25"/>
    <x v="0"/>
    <d v="2024-11-11T00:00:00"/>
    <s v="Automated Credit VISION EXPRESS UK RG50570002619724"/>
    <n v="400"/>
    <m/>
    <n v="22229.53"/>
    <n v="400"/>
    <e v="#REF!"/>
    <e v="#REF!"/>
    <x v="0"/>
  </r>
  <r>
    <n v="356"/>
    <s v="SA25"/>
    <x v="0"/>
    <d v="2024-11-15T00:00:00"/>
    <s v="Automated Credit VISION EXPRESS UK RG50570002689724"/>
    <n v="1665"/>
    <m/>
    <n v="23894.53"/>
    <n v="1665"/>
    <e v="#REF!"/>
    <e v="#REF!"/>
    <x v="0"/>
  </r>
  <r>
    <n v="357"/>
    <s v="SA25"/>
    <x v="0"/>
    <d v="2024-11-15T00:00:00"/>
    <s v="Automated Credit BOOTS OPTICIANS PR 1003 2000024381 K"/>
    <n v="800"/>
    <m/>
    <n v="24694.53"/>
    <n v="800"/>
    <e v="#REF!"/>
    <e v="#REF!"/>
    <x v="0"/>
  </r>
  <r>
    <n v="358"/>
    <s v="SA25"/>
    <x v="0"/>
    <d v="2024-11-22T00:00:00"/>
    <s v="Automated Credit VISION EXPRESS UK RG50570002757824"/>
    <n v="1275"/>
    <m/>
    <n v="25969.53"/>
    <n v="1275"/>
    <e v="#REF!"/>
    <e v="#REF!"/>
    <x v="0"/>
  </r>
  <r>
    <n v="359"/>
    <s v="SA25"/>
    <x v="0"/>
    <d v="2024-11-25T00:00:00"/>
    <s v="Card Transaction 4163 24NOV24 1STFORMATIO NS.CO.UK LONDON GB"/>
    <m/>
    <n v="265.19"/>
    <n v="25704.34"/>
    <n v="-265.19"/>
    <e v="#REF!"/>
    <e v="#REF!"/>
    <x v="14"/>
  </r>
  <r>
    <n v="360"/>
    <s v="SA25"/>
    <x v="0"/>
    <d v="2024-11-29T00:00:00"/>
    <s v="Automated Credit VISION EXPRESS UK RG50570002837524"/>
    <n v="845"/>
    <m/>
    <n v="26549.34"/>
    <n v="845"/>
    <e v="#REF!"/>
    <e v="#REF!"/>
    <x v="0"/>
  </r>
  <r>
    <n v="361"/>
    <s v="SA25"/>
    <x v="0"/>
    <d v="2024-11-29T00:00:00"/>
    <s v="Charges 01NOV A/C 41204042"/>
    <m/>
    <n v="4.9000000000000004"/>
    <n v="26544.44"/>
    <n v="-4.9000000000000004"/>
    <e v="#REF!"/>
    <e v="#REF!"/>
    <x v="18"/>
  </r>
  <r>
    <n v="362"/>
    <s v="SA25"/>
    <x v="1"/>
    <d v="2024-12-02T00:00:00"/>
    <s v="OnLine Transaction CHIDO HOVE TRANSFER VIA MOBILE - PYMT FP 01/12/24 10 10095647708161000N"/>
    <m/>
    <n v="5000"/>
    <n v="21544.44"/>
    <n v="-5000"/>
    <e v="#REF!"/>
    <e v="#REF!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2:C25" firstHeaderRow="1" firstDataRow="2" firstDataCol="1"/>
  <pivotFields count="12">
    <pivotField showAll="0"/>
    <pivotField showAll="0"/>
    <pivotField axis="axisCol" showAll="0">
      <items count="4">
        <item m="1"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4">
        <item x="16"/>
        <item x="18"/>
        <item x="9"/>
        <item x="2"/>
        <item m="1" x="24"/>
        <item x="17"/>
        <item x="19"/>
        <item x="10"/>
        <item x="0"/>
        <item m="1" x="25"/>
        <item x="13"/>
        <item m="1" x="26"/>
        <item x="6"/>
        <item m="1" x="21"/>
        <item m="1" x="30"/>
        <item x="5"/>
        <item x="1"/>
        <item x="8"/>
        <item x="14"/>
        <item x="3"/>
        <item x="7"/>
        <item m="1" x="29"/>
        <item m="1" x="22"/>
        <item m="1" x="32"/>
        <item m="1" x="31"/>
        <item m="1" x="27"/>
        <item x="12"/>
        <item x="20"/>
        <item x="11"/>
        <item x="15"/>
        <item m="1" x="28"/>
        <item x="4"/>
        <item m="1" x="23"/>
        <item t="default"/>
      </items>
    </pivotField>
  </pivotFields>
  <rowFields count="1">
    <field x="11"/>
  </rowFields>
  <rowItems count="22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10"/>
    </i>
    <i>
      <x v="12"/>
    </i>
    <i>
      <x v="15"/>
    </i>
    <i>
      <x v="16"/>
    </i>
    <i>
      <x v="17"/>
    </i>
    <i>
      <x v="18"/>
    </i>
    <i>
      <x v="19"/>
    </i>
    <i>
      <x v="20"/>
    </i>
    <i>
      <x v="26"/>
    </i>
    <i>
      <x v="27"/>
    </i>
    <i>
      <x v="28"/>
    </i>
    <i>
      <x v="29"/>
    </i>
    <i>
      <x v="31"/>
    </i>
    <i t="grand">
      <x/>
    </i>
  </rowItems>
  <colFields count="1">
    <field x="2"/>
  </colFields>
  <colItems count="2">
    <i>
      <x v="1"/>
    </i>
    <i>
      <x v="2"/>
    </i>
  </colItems>
  <dataFields count="1">
    <dataField name="Sum of NET" fld="8" baseField="11" baseItem="0" numFmtId="164"/>
  </dataFields>
  <formats count="12">
    <format dxfId="12">
      <pivotArea collapsedLevelsAreSubtotals="1" fieldPosition="0">
        <references count="2">
          <reference field="2" count="1" selected="0">
            <x v="1"/>
          </reference>
          <reference field="11" count="1">
            <x v="0"/>
          </reference>
        </references>
      </pivotArea>
    </format>
    <format dxfId="13">
      <pivotArea collapsedLevelsAreSubtotals="1" fieldPosition="0">
        <references count="2">
          <reference field="2" count="1" selected="0">
            <x v="1"/>
          </reference>
          <reference field="11" count="1">
            <x v="1"/>
          </reference>
        </references>
      </pivotArea>
    </format>
    <format dxfId="14">
      <pivotArea collapsedLevelsAreSubtotals="1" fieldPosition="0">
        <references count="2">
          <reference field="2" count="1" selected="0">
            <x v="1"/>
          </reference>
          <reference field="11" count="1">
            <x v="2"/>
          </reference>
        </references>
      </pivotArea>
    </format>
    <format dxfId="15">
      <pivotArea collapsedLevelsAreSubtotals="1" fieldPosition="0">
        <references count="2">
          <reference field="2" count="1" selected="0">
            <x v="1"/>
          </reference>
          <reference field="11" count="1">
            <x v="3"/>
          </reference>
        </references>
      </pivotArea>
    </format>
    <format dxfId="16">
      <pivotArea collapsedLevelsAreSubtotals="1" fieldPosition="0">
        <references count="2">
          <reference field="2" count="1" selected="0">
            <x v="1"/>
          </reference>
          <reference field="11" count="1">
            <x v="4"/>
          </reference>
        </references>
      </pivotArea>
    </format>
    <format dxfId="17">
      <pivotArea collapsedLevelsAreSubtotals="1" fieldPosition="0">
        <references count="2">
          <reference field="2" count="1" selected="0">
            <x v="1"/>
          </reference>
          <reference field="11" count="2">
            <x v="5"/>
            <x v="6"/>
          </reference>
        </references>
      </pivotArea>
    </format>
    <format dxfId="18">
      <pivotArea collapsedLevelsAreSubtotals="1" fieldPosition="0">
        <references count="2">
          <reference field="2" count="1" selected="0">
            <x v="1"/>
          </reference>
          <reference field="11" count="2">
            <x v="5"/>
            <x v="6"/>
          </reference>
        </references>
      </pivotArea>
    </format>
    <format dxfId="19">
      <pivotArea collapsedLevelsAreSubtotals="1" fieldPosition="0">
        <references count="2">
          <reference field="2" count="1" selected="0">
            <x v="1"/>
          </reference>
          <reference field="11" count="1">
            <x v="7"/>
          </reference>
        </references>
      </pivotArea>
    </format>
    <format dxfId="20">
      <pivotArea collapsedLevelsAreSubtotals="1" fieldPosition="0">
        <references count="2">
          <reference field="2" count="1" selected="0">
            <x v="1"/>
          </reference>
          <reference field="11" count="1">
            <x v="7"/>
          </reference>
        </references>
      </pivotArea>
    </format>
    <format dxfId="21">
      <pivotArea collapsedLevelsAreSubtotals="1" fieldPosition="0">
        <references count="2">
          <reference field="2" count="1" selected="0">
            <x v="1"/>
          </reference>
          <reference field="11" count="1">
            <x v="8"/>
          </reference>
        </references>
      </pivotArea>
    </format>
    <format dxfId="22">
      <pivotArea collapsedLevelsAreSubtotals="1" fieldPosition="0">
        <references count="2">
          <reference field="2" count="1" selected="0">
            <x v="1"/>
          </reference>
          <reference field="11" count="11">
            <x v="9"/>
            <x v="10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23">
      <pivotArea collapsedLevelsAreSubtotals="1" fieldPosition="0">
        <references count="2">
          <reference field="2" count="1" selected="0">
            <x v="1"/>
          </reference>
          <reference field="11" count="4">
            <x v="21"/>
            <x v="22"/>
            <x v="23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workbookViewId="0">
      <pane ySplit="1" topLeftCell="A185" activePane="bottomLeft" state="frozen"/>
      <selection pane="bottomLeft" activeCell="C213" sqref="C213"/>
    </sheetView>
  </sheetViews>
  <sheetFormatPr defaultRowHeight="15" x14ac:dyDescent="0.25"/>
  <cols>
    <col min="4" max="4" width="12.42578125" customWidth="1"/>
    <col min="5" max="5" width="101" customWidth="1"/>
    <col min="6" max="7" width="9.5703125" style="1" bestFit="1" customWidth="1"/>
    <col min="8" max="8" width="10.5703125" style="1" bestFit="1" customWidth="1"/>
    <col min="9" max="9" width="9.5703125" style="1" bestFit="1" customWidth="1"/>
    <col min="10" max="10" width="10.5703125" style="1" bestFit="1" customWidth="1"/>
    <col min="11" max="11" width="13" style="1" bestFit="1" customWidth="1"/>
    <col min="12" max="12" width="20.85546875" customWidth="1"/>
  </cols>
  <sheetData>
    <row r="1" spans="1:13" x14ac:dyDescent="0.25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18" t="s">
        <v>11</v>
      </c>
      <c r="G1" s="18" t="s">
        <v>12</v>
      </c>
      <c r="H1" s="18" t="s">
        <v>13</v>
      </c>
      <c r="I1" s="18" t="s">
        <v>14</v>
      </c>
      <c r="J1" s="18" t="s">
        <v>15</v>
      </c>
      <c r="K1" s="18" t="s">
        <v>16</v>
      </c>
      <c r="L1" s="6" t="s">
        <v>0</v>
      </c>
    </row>
    <row r="2" spans="1:13" x14ac:dyDescent="0.25">
      <c r="A2">
        <v>151</v>
      </c>
      <c r="B2" t="s">
        <v>18</v>
      </c>
      <c r="C2" t="s">
        <v>28</v>
      </c>
      <c r="D2" s="10">
        <v>45261</v>
      </c>
      <c r="E2" t="s">
        <v>29</v>
      </c>
      <c r="F2" s="1">
        <v>1200</v>
      </c>
      <c r="H2" s="1">
        <v>13590.3</v>
      </c>
      <c r="I2" s="1">
        <f t="shared" ref="I2:I43" si="0">F2-G2</f>
        <v>1200</v>
      </c>
      <c r="J2" s="1" t="e">
        <f>#REF!+I2</f>
        <v>#REF!</v>
      </c>
      <c r="K2" s="1" t="e">
        <f t="shared" ref="K2:K43" si="1">H2-J2</f>
        <v>#REF!</v>
      </c>
      <c r="L2" t="s">
        <v>17</v>
      </c>
      <c r="M2" t="e">
        <f>VLOOKUP(A2,#REF!,6,FALSE)</f>
        <v>#REF!</v>
      </c>
    </row>
    <row r="3" spans="1:13" x14ac:dyDescent="0.25">
      <c r="A3">
        <v>152</v>
      </c>
      <c r="B3" t="s">
        <v>18</v>
      </c>
      <c r="C3" t="s">
        <v>28</v>
      </c>
      <c r="D3" s="10">
        <v>45261</v>
      </c>
      <c r="E3" t="s">
        <v>30</v>
      </c>
      <c r="F3" s="1">
        <v>2500</v>
      </c>
      <c r="H3" s="1">
        <v>16090.3</v>
      </c>
      <c r="I3" s="1">
        <f t="shared" si="0"/>
        <v>2500</v>
      </c>
      <c r="J3" s="1" t="e">
        <f t="shared" ref="J3:J44" si="2">J2+I3</f>
        <v>#REF!</v>
      </c>
      <c r="K3" s="1" t="e">
        <f t="shared" si="1"/>
        <v>#REF!</v>
      </c>
      <c r="L3" t="s">
        <v>17</v>
      </c>
      <c r="M3" t="e">
        <f>VLOOKUP(A3,#REF!,6,FALSE)</f>
        <v>#REF!</v>
      </c>
    </row>
    <row r="4" spans="1:13" x14ac:dyDescent="0.25">
      <c r="A4">
        <v>153</v>
      </c>
      <c r="B4" t="s">
        <v>18</v>
      </c>
      <c r="C4" t="s">
        <v>28</v>
      </c>
      <c r="D4" s="10">
        <v>45261</v>
      </c>
      <c r="E4" t="s">
        <v>31</v>
      </c>
      <c r="G4" s="1">
        <v>25.42</v>
      </c>
      <c r="H4" s="1">
        <v>16064.88</v>
      </c>
      <c r="I4" s="1">
        <f t="shared" si="0"/>
        <v>-25.42</v>
      </c>
      <c r="J4" s="1" t="e">
        <f t="shared" si="2"/>
        <v>#REF!</v>
      </c>
      <c r="K4" s="1" t="e">
        <f t="shared" si="1"/>
        <v>#REF!</v>
      </c>
      <c r="L4" t="s">
        <v>24</v>
      </c>
      <c r="M4" t="e">
        <f>VLOOKUP(A4,#REF!,6,FALSE)</f>
        <v>#REF!</v>
      </c>
    </row>
    <row r="5" spans="1:13" x14ac:dyDescent="0.25">
      <c r="A5">
        <v>154</v>
      </c>
      <c r="B5" t="s">
        <v>18</v>
      </c>
      <c r="C5" t="s">
        <v>28</v>
      </c>
      <c r="D5" s="10">
        <v>45266</v>
      </c>
      <c r="E5" t="s">
        <v>32</v>
      </c>
      <c r="G5" s="1">
        <v>1000</v>
      </c>
      <c r="H5" s="1">
        <v>15064.88</v>
      </c>
      <c r="I5" s="1">
        <f t="shared" si="0"/>
        <v>-1000</v>
      </c>
      <c r="J5" s="1" t="e">
        <f t="shared" si="2"/>
        <v>#REF!</v>
      </c>
      <c r="K5" s="1" t="e">
        <f t="shared" si="1"/>
        <v>#REF!</v>
      </c>
      <c r="L5" t="s">
        <v>1</v>
      </c>
      <c r="M5" t="e">
        <f>VLOOKUP(A5,#REF!,6,FALSE)</f>
        <v>#REF!</v>
      </c>
    </row>
    <row r="6" spans="1:13" x14ac:dyDescent="0.25">
      <c r="A6">
        <v>155</v>
      </c>
      <c r="B6" t="s">
        <v>18</v>
      </c>
      <c r="C6" t="s">
        <v>28</v>
      </c>
      <c r="D6" s="10">
        <v>45267</v>
      </c>
      <c r="E6" t="s">
        <v>33</v>
      </c>
      <c r="F6" s="1">
        <v>850</v>
      </c>
      <c r="H6" s="1">
        <v>15914.88</v>
      </c>
      <c r="I6" s="1">
        <f t="shared" si="0"/>
        <v>850</v>
      </c>
      <c r="J6" s="1" t="e">
        <f t="shared" si="2"/>
        <v>#REF!</v>
      </c>
      <c r="K6" s="1" t="e">
        <f t="shared" si="1"/>
        <v>#REF!</v>
      </c>
      <c r="L6" t="s">
        <v>17</v>
      </c>
      <c r="M6" t="e">
        <f>VLOOKUP(A6,#REF!,6,FALSE)</f>
        <v>#REF!</v>
      </c>
    </row>
    <row r="7" spans="1:13" x14ac:dyDescent="0.25">
      <c r="A7">
        <v>156</v>
      </c>
      <c r="B7" t="s">
        <v>18</v>
      </c>
      <c r="C7" t="s">
        <v>28</v>
      </c>
      <c r="D7" s="10">
        <v>45268</v>
      </c>
      <c r="E7" t="s">
        <v>26</v>
      </c>
      <c r="F7" s="1">
        <v>2400</v>
      </c>
      <c r="H7" s="1">
        <v>18314.88</v>
      </c>
      <c r="I7" s="1">
        <f t="shared" si="0"/>
        <v>2400</v>
      </c>
      <c r="J7" s="1" t="e">
        <f t="shared" si="2"/>
        <v>#REF!</v>
      </c>
      <c r="K7" s="1" t="e">
        <f t="shared" si="1"/>
        <v>#REF!</v>
      </c>
      <c r="L7" t="s">
        <v>17</v>
      </c>
      <c r="M7" t="e">
        <f>VLOOKUP(A7,#REF!,6,FALSE)</f>
        <v>#REF!</v>
      </c>
    </row>
    <row r="8" spans="1:13" x14ac:dyDescent="0.25">
      <c r="A8">
        <v>157</v>
      </c>
      <c r="B8" t="s">
        <v>18</v>
      </c>
      <c r="C8" t="s">
        <v>28</v>
      </c>
      <c r="D8" s="10">
        <v>45272</v>
      </c>
      <c r="E8" t="s">
        <v>34</v>
      </c>
      <c r="F8" s="1">
        <v>500</v>
      </c>
      <c r="H8" s="1">
        <v>18814.88</v>
      </c>
      <c r="I8" s="1">
        <f t="shared" si="0"/>
        <v>500</v>
      </c>
      <c r="J8" s="1" t="e">
        <f t="shared" si="2"/>
        <v>#REF!</v>
      </c>
      <c r="K8" s="1" t="e">
        <f t="shared" si="1"/>
        <v>#REF!</v>
      </c>
      <c r="L8" t="s">
        <v>17</v>
      </c>
      <c r="M8" t="e">
        <f>VLOOKUP(A8,#REF!,6,FALSE)</f>
        <v>#REF!</v>
      </c>
    </row>
    <row r="9" spans="1:13" x14ac:dyDescent="0.25">
      <c r="A9">
        <v>158</v>
      </c>
      <c r="B9" t="s">
        <v>18</v>
      </c>
      <c r="C9" t="s">
        <v>28</v>
      </c>
      <c r="D9" s="10">
        <v>45272</v>
      </c>
      <c r="E9" t="s">
        <v>35</v>
      </c>
      <c r="F9" s="21"/>
      <c r="G9" s="1">
        <v>5000</v>
      </c>
      <c r="H9" s="1">
        <v>13814.88</v>
      </c>
      <c r="I9" s="1">
        <f t="shared" si="0"/>
        <v>-5000</v>
      </c>
      <c r="J9" s="1" t="e">
        <f t="shared" si="2"/>
        <v>#REF!</v>
      </c>
      <c r="K9" s="1" t="e">
        <f t="shared" si="1"/>
        <v>#REF!</v>
      </c>
      <c r="L9" t="s">
        <v>1</v>
      </c>
      <c r="M9" t="e">
        <f>VLOOKUP(A9,#REF!,6,FALSE)</f>
        <v>#REF!</v>
      </c>
    </row>
    <row r="10" spans="1:13" x14ac:dyDescent="0.25">
      <c r="A10">
        <v>159</v>
      </c>
      <c r="B10" t="s">
        <v>18</v>
      </c>
      <c r="C10" t="s">
        <v>28</v>
      </c>
      <c r="D10" s="10">
        <v>45280</v>
      </c>
      <c r="E10" s="11" t="s">
        <v>43</v>
      </c>
      <c r="G10" s="19">
        <v>2.6</v>
      </c>
      <c r="H10" s="19">
        <v>13812.28</v>
      </c>
      <c r="I10" s="1">
        <f t="shared" si="0"/>
        <v>-2.6</v>
      </c>
      <c r="J10" s="1" t="e">
        <f t="shared" si="2"/>
        <v>#REF!</v>
      </c>
      <c r="K10" s="1" t="e">
        <f t="shared" si="1"/>
        <v>#REF!</v>
      </c>
      <c r="L10" t="s">
        <v>22</v>
      </c>
      <c r="M10" t="e">
        <f>VLOOKUP(A10,#REF!,6,FALSE)</f>
        <v>#REF!</v>
      </c>
    </row>
    <row r="11" spans="1:13" x14ac:dyDescent="0.25">
      <c r="A11">
        <v>160</v>
      </c>
      <c r="B11" t="s">
        <v>18</v>
      </c>
      <c r="C11" t="s">
        <v>28</v>
      </c>
      <c r="D11" s="10">
        <v>45653</v>
      </c>
      <c r="E11" s="12" t="s">
        <v>44</v>
      </c>
      <c r="G11" s="19">
        <v>1000</v>
      </c>
      <c r="H11" s="19">
        <v>12812.28</v>
      </c>
      <c r="I11" s="1">
        <f t="shared" si="0"/>
        <v>-1000</v>
      </c>
      <c r="J11" s="1" t="e">
        <f t="shared" si="2"/>
        <v>#REF!</v>
      </c>
      <c r="K11" s="1" t="e">
        <f t="shared" si="1"/>
        <v>#REF!</v>
      </c>
      <c r="L11" t="s">
        <v>1</v>
      </c>
      <c r="M11" t="e">
        <f>VLOOKUP(A11,#REF!,6,FALSE)</f>
        <v>#REF!</v>
      </c>
    </row>
    <row r="12" spans="1:13" x14ac:dyDescent="0.25">
      <c r="A12">
        <v>161</v>
      </c>
      <c r="B12" t="s">
        <v>18</v>
      </c>
      <c r="C12" t="s">
        <v>28</v>
      </c>
      <c r="D12" s="10">
        <v>45654</v>
      </c>
      <c r="E12" t="s">
        <v>45</v>
      </c>
      <c r="G12" s="19">
        <v>1000</v>
      </c>
      <c r="H12" s="19">
        <v>11812.28</v>
      </c>
      <c r="I12" s="1">
        <f t="shared" si="0"/>
        <v>-1000</v>
      </c>
      <c r="J12" s="1" t="e">
        <f t="shared" si="2"/>
        <v>#REF!</v>
      </c>
      <c r="K12" s="1" t="e">
        <f t="shared" si="1"/>
        <v>#REF!</v>
      </c>
      <c r="L12" t="s">
        <v>1</v>
      </c>
      <c r="M12" t="e">
        <f>VLOOKUP(A12,#REF!,6,FALSE)</f>
        <v>#REF!</v>
      </c>
    </row>
    <row r="13" spans="1:13" x14ac:dyDescent="0.25">
      <c r="A13">
        <v>162</v>
      </c>
      <c r="B13" t="s">
        <v>18</v>
      </c>
      <c r="C13" t="s">
        <v>28</v>
      </c>
      <c r="D13" s="10">
        <v>45293</v>
      </c>
      <c r="E13" t="s">
        <v>46</v>
      </c>
      <c r="G13" s="19">
        <v>1000</v>
      </c>
      <c r="H13" s="19">
        <v>10812.28</v>
      </c>
      <c r="I13" s="1">
        <f t="shared" si="0"/>
        <v>-1000</v>
      </c>
      <c r="J13" s="1" t="e">
        <f t="shared" si="2"/>
        <v>#REF!</v>
      </c>
      <c r="K13" s="1" t="e">
        <f t="shared" si="1"/>
        <v>#REF!</v>
      </c>
      <c r="L13" t="s">
        <v>1</v>
      </c>
      <c r="M13" t="e">
        <f>VLOOKUP(A13,#REF!,6,FALSE)</f>
        <v>#REF!</v>
      </c>
    </row>
    <row r="14" spans="1:13" x14ac:dyDescent="0.25">
      <c r="A14">
        <v>163</v>
      </c>
      <c r="B14" t="s">
        <v>18</v>
      </c>
      <c r="C14" t="s">
        <v>28</v>
      </c>
      <c r="D14" s="10">
        <v>45293</v>
      </c>
      <c r="E14" t="s">
        <v>47</v>
      </c>
      <c r="G14" s="19">
        <v>1000</v>
      </c>
      <c r="H14" s="19">
        <v>9812.2800000000007</v>
      </c>
      <c r="I14" s="1">
        <f t="shared" si="0"/>
        <v>-1000</v>
      </c>
      <c r="J14" s="1" t="e">
        <f t="shared" si="2"/>
        <v>#REF!</v>
      </c>
      <c r="K14" s="1" t="e">
        <f t="shared" si="1"/>
        <v>#REF!</v>
      </c>
      <c r="L14" t="s">
        <v>1</v>
      </c>
      <c r="M14" t="e">
        <f>VLOOKUP(A14,#REF!,6,FALSE)</f>
        <v>#REF!</v>
      </c>
    </row>
    <row r="15" spans="1:13" x14ac:dyDescent="0.25">
      <c r="A15">
        <v>164</v>
      </c>
      <c r="B15" t="s">
        <v>18</v>
      </c>
      <c r="C15" t="s">
        <v>28</v>
      </c>
      <c r="D15" s="10">
        <v>45293</v>
      </c>
      <c r="E15" t="s">
        <v>48</v>
      </c>
      <c r="G15" s="19">
        <v>30.7</v>
      </c>
      <c r="H15" s="19">
        <v>9781.58</v>
      </c>
      <c r="I15" s="1">
        <f t="shared" si="0"/>
        <v>-30.7</v>
      </c>
      <c r="J15" s="1" t="e">
        <f t="shared" si="2"/>
        <v>#REF!</v>
      </c>
      <c r="K15" s="1" t="e">
        <f t="shared" si="1"/>
        <v>#REF!</v>
      </c>
      <c r="L15" t="s">
        <v>227</v>
      </c>
      <c r="M15" t="e">
        <f>VLOOKUP(A15,#REF!,6,FALSE)</f>
        <v>#REF!</v>
      </c>
    </row>
    <row r="16" spans="1:13" x14ac:dyDescent="0.25">
      <c r="A16">
        <v>165</v>
      </c>
      <c r="B16" t="s">
        <v>18</v>
      </c>
      <c r="C16" t="s">
        <v>28</v>
      </c>
      <c r="D16" s="10">
        <v>45293</v>
      </c>
      <c r="E16" t="s">
        <v>41</v>
      </c>
      <c r="G16" s="19">
        <v>25.42</v>
      </c>
      <c r="H16" s="19">
        <v>9756.16</v>
      </c>
      <c r="I16" s="1">
        <f t="shared" si="0"/>
        <v>-25.42</v>
      </c>
      <c r="J16" s="1" t="e">
        <f t="shared" si="2"/>
        <v>#REF!</v>
      </c>
      <c r="K16" s="1" t="e">
        <f t="shared" si="1"/>
        <v>#REF!</v>
      </c>
      <c r="L16" t="s">
        <v>24</v>
      </c>
      <c r="M16" t="e">
        <f>VLOOKUP(A16,#REF!,6,FALSE)</f>
        <v>#REF!</v>
      </c>
    </row>
    <row r="17" spans="1:13" x14ac:dyDescent="0.25">
      <c r="A17">
        <v>166</v>
      </c>
      <c r="B17" t="s">
        <v>18</v>
      </c>
      <c r="C17" t="s">
        <v>28</v>
      </c>
      <c r="D17" s="10">
        <v>45293</v>
      </c>
      <c r="E17" t="s">
        <v>42</v>
      </c>
      <c r="G17" s="19">
        <v>72</v>
      </c>
      <c r="H17" s="19">
        <v>9684.16</v>
      </c>
      <c r="I17" s="1">
        <f t="shared" si="0"/>
        <v>-72</v>
      </c>
      <c r="J17" s="1" t="e">
        <f t="shared" si="2"/>
        <v>#REF!</v>
      </c>
      <c r="K17" s="1" t="e">
        <f t="shared" si="1"/>
        <v>#REF!</v>
      </c>
      <c r="L17" t="s">
        <v>25</v>
      </c>
      <c r="M17" t="e">
        <f>VLOOKUP(A17,#REF!,6,FALSE)</f>
        <v>#REF!</v>
      </c>
    </row>
    <row r="18" spans="1:13" x14ac:dyDescent="0.25">
      <c r="A18">
        <v>167</v>
      </c>
      <c r="B18" t="s">
        <v>18</v>
      </c>
      <c r="C18" t="s">
        <v>28</v>
      </c>
      <c r="D18" s="10">
        <v>45296</v>
      </c>
      <c r="E18" t="s">
        <v>40</v>
      </c>
      <c r="F18" s="1">
        <v>1600</v>
      </c>
      <c r="G18" s="19"/>
      <c r="H18" s="19">
        <v>11284.16</v>
      </c>
      <c r="I18" s="1">
        <f t="shared" si="0"/>
        <v>1600</v>
      </c>
      <c r="J18" s="1" t="e">
        <f t="shared" si="2"/>
        <v>#REF!</v>
      </c>
      <c r="K18" s="1" t="e">
        <f t="shared" si="1"/>
        <v>#REF!</v>
      </c>
      <c r="L18" t="s">
        <v>17</v>
      </c>
      <c r="M18" t="e">
        <f>VLOOKUP(A18,#REF!,6,FALSE)</f>
        <v>#REF!</v>
      </c>
    </row>
    <row r="19" spans="1:13" x14ac:dyDescent="0.25">
      <c r="A19">
        <v>168</v>
      </c>
      <c r="B19" t="s">
        <v>18</v>
      </c>
      <c r="C19" t="s">
        <v>28</v>
      </c>
      <c r="D19" s="10">
        <v>45301</v>
      </c>
      <c r="E19" t="s">
        <v>40</v>
      </c>
      <c r="F19" s="1">
        <v>2500</v>
      </c>
      <c r="G19" s="19"/>
      <c r="H19" s="19">
        <v>13784.16</v>
      </c>
      <c r="I19" s="1">
        <f t="shared" si="0"/>
        <v>2500</v>
      </c>
      <c r="J19" s="1" t="e">
        <f t="shared" si="2"/>
        <v>#REF!</v>
      </c>
      <c r="K19" s="1" t="e">
        <f t="shared" si="1"/>
        <v>#REF!</v>
      </c>
      <c r="L19" t="s">
        <v>17</v>
      </c>
      <c r="M19" t="e">
        <f>VLOOKUP(A19,#REF!,6,FALSE)</f>
        <v>#REF!</v>
      </c>
    </row>
    <row r="20" spans="1:13" x14ac:dyDescent="0.25">
      <c r="A20">
        <v>169</v>
      </c>
      <c r="B20" t="s">
        <v>18</v>
      </c>
      <c r="C20" t="s">
        <v>28</v>
      </c>
      <c r="D20" s="10">
        <v>45301</v>
      </c>
      <c r="E20" t="s">
        <v>49</v>
      </c>
      <c r="G20" s="19">
        <v>2.6</v>
      </c>
      <c r="H20" s="19">
        <v>13781.56</v>
      </c>
      <c r="I20" s="1">
        <f t="shared" si="0"/>
        <v>-2.6</v>
      </c>
      <c r="J20" s="1" t="e">
        <f t="shared" si="2"/>
        <v>#REF!</v>
      </c>
      <c r="K20" s="1" t="e">
        <f t="shared" si="1"/>
        <v>#REF!</v>
      </c>
      <c r="L20" t="s">
        <v>22</v>
      </c>
      <c r="M20" t="e">
        <f>VLOOKUP(A20,#REF!,6,FALSE)</f>
        <v>#REF!</v>
      </c>
    </row>
    <row r="21" spans="1:13" x14ac:dyDescent="0.25">
      <c r="A21">
        <v>170</v>
      </c>
      <c r="B21" t="s">
        <v>18</v>
      </c>
      <c r="C21" t="s">
        <v>28</v>
      </c>
      <c r="D21" s="10">
        <v>45303</v>
      </c>
      <c r="E21" t="s">
        <v>50</v>
      </c>
      <c r="F21" s="1">
        <v>1760</v>
      </c>
      <c r="G21" s="19"/>
      <c r="H21" s="19">
        <v>15541.56</v>
      </c>
      <c r="I21" s="1">
        <f t="shared" si="0"/>
        <v>1760</v>
      </c>
      <c r="J21" s="1" t="e">
        <f t="shared" si="2"/>
        <v>#REF!</v>
      </c>
      <c r="K21" s="1" t="e">
        <f t="shared" si="1"/>
        <v>#REF!</v>
      </c>
      <c r="L21" t="s">
        <v>17</v>
      </c>
      <c r="M21" t="e">
        <f>VLOOKUP(A21,#REF!,6,FALSE)</f>
        <v>#REF!</v>
      </c>
    </row>
    <row r="22" spans="1:13" x14ac:dyDescent="0.25">
      <c r="A22">
        <v>171</v>
      </c>
      <c r="B22" t="s">
        <v>18</v>
      </c>
      <c r="C22" t="s">
        <v>28</v>
      </c>
      <c r="D22" s="10">
        <v>45303</v>
      </c>
      <c r="E22" t="s">
        <v>51</v>
      </c>
      <c r="G22" s="19">
        <v>2.6</v>
      </c>
      <c r="H22" s="19">
        <v>15538.96</v>
      </c>
      <c r="I22" s="1">
        <f t="shared" si="0"/>
        <v>-2.6</v>
      </c>
      <c r="J22" s="1" t="e">
        <f t="shared" si="2"/>
        <v>#REF!</v>
      </c>
      <c r="K22" s="17" t="e">
        <f t="shared" si="1"/>
        <v>#REF!</v>
      </c>
      <c r="L22" t="s">
        <v>22</v>
      </c>
      <c r="M22" t="e">
        <f>VLOOKUP(A22,#REF!,6,FALSE)</f>
        <v>#REF!</v>
      </c>
    </row>
    <row r="23" spans="1:13" x14ac:dyDescent="0.25">
      <c r="A23">
        <v>172</v>
      </c>
      <c r="B23" t="s">
        <v>18</v>
      </c>
      <c r="C23" t="s">
        <v>28</v>
      </c>
      <c r="D23" s="10">
        <v>45306</v>
      </c>
      <c r="E23" t="s">
        <v>206</v>
      </c>
      <c r="G23" s="19">
        <v>1000</v>
      </c>
      <c r="H23" s="1">
        <v>14538.96</v>
      </c>
      <c r="I23" s="1">
        <f t="shared" si="0"/>
        <v>-1000</v>
      </c>
      <c r="J23" s="1" t="e">
        <f t="shared" si="2"/>
        <v>#REF!</v>
      </c>
      <c r="K23" s="1" t="e">
        <f t="shared" si="1"/>
        <v>#REF!</v>
      </c>
      <c r="L23" t="s">
        <v>1</v>
      </c>
      <c r="M23" t="e">
        <f>VLOOKUP(A23,#REF!,6,FALSE)</f>
        <v>#REF!</v>
      </c>
    </row>
    <row r="24" spans="1:13" x14ac:dyDescent="0.25">
      <c r="A24">
        <v>173</v>
      </c>
      <c r="B24" t="s">
        <v>18</v>
      </c>
      <c r="C24" t="s">
        <v>28</v>
      </c>
      <c r="D24" s="10">
        <v>45306</v>
      </c>
      <c r="E24" t="s">
        <v>207</v>
      </c>
      <c r="G24" s="19">
        <v>22.02</v>
      </c>
      <c r="H24" s="1">
        <v>14516.94</v>
      </c>
      <c r="I24" s="1">
        <f t="shared" si="0"/>
        <v>-22.02</v>
      </c>
      <c r="J24" s="1" t="e">
        <f t="shared" si="2"/>
        <v>#REF!</v>
      </c>
      <c r="K24" s="1" t="e">
        <f t="shared" si="1"/>
        <v>#REF!</v>
      </c>
      <c r="L24" t="s">
        <v>227</v>
      </c>
      <c r="M24" t="e">
        <f>VLOOKUP(A24,#REF!,6,FALSE)</f>
        <v>#REF!</v>
      </c>
    </row>
    <row r="25" spans="1:13" x14ac:dyDescent="0.25">
      <c r="A25">
        <v>174</v>
      </c>
      <c r="B25" t="s">
        <v>18</v>
      </c>
      <c r="C25" t="s">
        <v>28</v>
      </c>
      <c r="D25" s="10">
        <v>45310</v>
      </c>
      <c r="E25" t="s">
        <v>208</v>
      </c>
      <c r="F25" s="1">
        <v>440</v>
      </c>
      <c r="G25" s="19"/>
      <c r="H25" s="1">
        <v>14956.94</v>
      </c>
      <c r="I25" s="1">
        <f t="shared" si="0"/>
        <v>440</v>
      </c>
      <c r="J25" s="1" t="e">
        <f t="shared" si="2"/>
        <v>#REF!</v>
      </c>
      <c r="K25" s="1" t="e">
        <f t="shared" si="1"/>
        <v>#REF!</v>
      </c>
      <c r="L25" t="s">
        <v>17</v>
      </c>
      <c r="M25" t="e">
        <f>VLOOKUP(A25,#REF!,6,FALSE)</f>
        <v>#REF!</v>
      </c>
    </row>
    <row r="26" spans="1:13" x14ac:dyDescent="0.25">
      <c r="A26">
        <v>175</v>
      </c>
      <c r="B26" t="s">
        <v>18</v>
      </c>
      <c r="C26" t="s">
        <v>28</v>
      </c>
      <c r="D26" s="10">
        <v>45310</v>
      </c>
      <c r="E26" t="s">
        <v>209</v>
      </c>
      <c r="F26" s="1">
        <v>1500</v>
      </c>
      <c r="G26" s="19"/>
      <c r="H26" s="1">
        <v>16456.939999999999</v>
      </c>
      <c r="I26" s="1">
        <f t="shared" si="0"/>
        <v>1500</v>
      </c>
      <c r="J26" s="1" t="e">
        <f t="shared" si="2"/>
        <v>#REF!</v>
      </c>
      <c r="K26" s="1" t="e">
        <f t="shared" si="1"/>
        <v>#REF!</v>
      </c>
      <c r="L26" t="s">
        <v>17</v>
      </c>
      <c r="M26" t="e">
        <f>VLOOKUP(A26,#REF!,6,FALSE)</f>
        <v>#REF!</v>
      </c>
    </row>
    <row r="27" spans="1:13" x14ac:dyDescent="0.25">
      <c r="A27">
        <v>176</v>
      </c>
      <c r="B27" t="s">
        <v>18</v>
      </c>
      <c r="C27" t="s">
        <v>28</v>
      </c>
      <c r="D27" s="10">
        <v>45314</v>
      </c>
      <c r="E27" t="s">
        <v>210</v>
      </c>
      <c r="G27" s="19">
        <v>2.6</v>
      </c>
      <c r="H27" s="1">
        <v>16454.34</v>
      </c>
      <c r="I27" s="1">
        <f t="shared" si="0"/>
        <v>-2.6</v>
      </c>
      <c r="J27" s="1" t="e">
        <f t="shared" si="2"/>
        <v>#REF!</v>
      </c>
      <c r="K27" s="1" t="e">
        <f t="shared" si="1"/>
        <v>#REF!</v>
      </c>
      <c r="L27" t="s">
        <v>22</v>
      </c>
      <c r="M27" t="e">
        <f>VLOOKUP(A27,#REF!,6,FALSE)</f>
        <v>#REF!</v>
      </c>
    </row>
    <row r="28" spans="1:13" x14ac:dyDescent="0.25">
      <c r="A28">
        <v>177</v>
      </c>
      <c r="B28" t="s">
        <v>18</v>
      </c>
      <c r="C28" t="s">
        <v>28</v>
      </c>
      <c r="D28" s="10">
        <v>45315</v>
      </c>
      <c r="E28" t="s">
        <v>211</v>
      </c>
      <c r="G28" s="19">
        <v>2.8</v>
      </c>
      <c r="H28" s="1">
        <v>16451.54</v>
      </c>
      <c r="I28" s="1">
        <f t="shared" si="0"/>
        <v>-2.8</v>
      </c>
      <c r="J28" s="1" t="e">
        <f t="shared" si="2"/>
        <v>#REF!</v>
      </c>
      <c r="K28" s="1" t="e">
        <f t="shared" si="1"/>
        <v>#REF!</v>
      </c>
      <c r="L28" t="s">
        <v>21</v>
      </c>
      <c r="M28" t="e">
        <f>VLOOKUP(A28,#REF!,6,FALSE)</f>
        <v>#REF!</v>
      </c>
    </row>
    <row r="29" spans="1:13" x14ac:dyDescent="0.25">
      <c r="A29">
        <v>178</v>
      </c>
      <c r="B29" t="s">
        <v>18</v>
      </c>
      <c r="C29" t="s">
        <v>28</v>
      </c>
      <c r="D29" s="10">
        <v>45315</v>
      </c>
      <c r="E29" t="s">
        <v>40</v>
      </c>
      <c r="F29" s="1">
        <v>399.97</v>
      </c>
      <c r="G29" s="19"/>
      <c r="H29" s="1">
        <v>16851.509999999998</v>
      </c>
      <c r="I29" s="1">
        <f t="shared" si="0"/>
        <v>399.97</v>
      </c>
      <c r="J29" s="1" t="e">
        <f t="shared" si="2"/>
        <v>#REF!</v>
      </c>
      <c r="K29" s="1" t="e">
        <f t="shared" si="1"/>
        <v>#REF!</v>
      </c>
      <c r="L29" t="s">
        <v>17</v>
      </c>
      <c r="M29" t="e">
        <f>VLOOKUP(A29,#REF!,6,FALSE)</f>
        <v>#REF!</v>
      </c>
    </row>
    <row r="30" spans="1:13" x14ac:dyDescent="0.25">
      <c r="A30">
        <v>179</v>
      </c>
      <c r="B30" t="s">
        <v>18</v>
      </c>
      <c r="C30" t="s">
        <v>28</v>
      </c>
      <c r="D30" s="10">
        <v>45316</v>
      </c>
      <c r="E30" t="s">
        <v>212</v>
      </c>
      <c r="G30" s="19">
        <v>2.6</v>
      </c>
      <c r="H30" s="19">
        <v>16848.91</v>
      </c>
      <c r="I30" s="1">
        <f t="shared" si="0"/>
        <v>-2.6</v>
      </c>
      <c r="J30" s="1" t="e">
        <f t="shared" si="2"/>
        <v>#REF!</v>
      </c>
      <c r="K30" s="1" t="e">
        <f t="shared" si="1"/>
        <v>#REF!</v>
      </c>
      <c r="L30" t="s">
        <v>22</v>
      </c>
      <c r="M30" t="e">
        <f>VLOOKUP(A30,#REF!,6,FALSE)</f>
        <v>#REF!</v>
      </c>
    </row>
    <row r="31" spans="1:13" x14ac:dyDescent="0.25">
      <c r="A31">
        <v>180</v>
      </c>
      <c r="B31" t="s">
        <v>18</v>
      </c>
      <c r="C31" t="s">
        <v>28</v>
      </c>
      <c r="D31" s="10">
        <v>45316</v>
      </c>
      <c r="E31" t="s">
        <v>212</v>
      </c>
      <c r="G31" s="19">
        <v>2.6</v>
      </c>
      <c r="H31" s="1">
        <v>16846.310000000001</v>
      </c>
      <c r="I31" s="1">
        <f t="shared" si="0"/>
        <v>-2.6</v>
      </c>
      <c r="J31" s="1" t="e">
        <f t="shared" si="2"/>
        <v>#REF!</v>
      </c>
      <c r="K31" s="1" t="e">
        <f t="shared" si="1"/>
        <v>#REF!</v>
      </c>
      <c r="L31" t="s">
        <v>22</v>
      </c>
      <c r="M31" t="e">
        <f>VLOOKUP(A31,#REF!,6,FALSE)</f>
        <v>#REF!</v>
      </c>
    </row>
    <row r="32" spans="1:13" x14ac:dyDescent="0.25">
      <c r="A32">
        <v>181</v>
      </c>
      <c r="B32" t="s">
        <v>18</v>
      </c>
      <c r="C32" t="s">
        <v>28</v>
      </c>
      <c r="D32" s="10">
        <v>45320</v>
      </c>
      <c r="E32" t="s">
        <v>213</v>
      </c>
      <c r="F32" s="1">
        <v>400</v>
      </c>
      <c r="G32" s="19"/>
      <c r="H32" s="19">
        <v>17246.310000000001</v>
      </c>
      <c r="I32" s="1">
        <f t="shared" si="0"/>
        <v>400</v>
      </c>
      <c r="J32" s="1" t="e">
        <f t="shared" si="2"/>
        <v>#REF!</v>
      </c>
      <c r="K32" s="1" t="e">
        <f t="shared" si="1"/>
        <v>#REF!</v>
      </c>
      <c r="L32" t="s">
        <v>17</v>
      </c>
      <c r="M32" t="e">
        <f>VLOOKUP(A32,#REF!,6,FALSE)</f>
        <v>#REF!</v>
      </c>
    </row>
    <row r="33" spans="1:13" x14ac:dyDescent="0.25">
      <c r="A33">
        <v>182</v>
      </c>
      <c r="B33" t="s">
        <v>18</v>
      </c>
      <c r="C33" t="s">
        <v>28</v>
      </c>
      <c r="D33" s="10">
        <v>45320</v>
      </c>
      <c r="E33" t="s">
        <v>214</v>
      </c>
      <c r="G33" s="19">
        <v>1000</v>
      </c>
      <c r="H33" s="19">
        <v>16246.310000000001</v>
      </c>
      <c r="I33" s="1">
        <f t="shared" si="0"/>
        <v>-1000</v>
      </c>
      <c r="J33" s="1" t="e">
        <f t="shared" si="2"/>
        <v>#REF!</v>
      </c>
      <c r="K33" s="1" t="e">
        <f t="shared" si="1"/>
        <v>#REF!</v>
      </c>
      <c r="L33" t="s">
        <v>1</v>
      </c>
      <c r="M33" t="e">
        <f>VLOOKUP(A33,#REF!,6,FALSE)</f>
        <v>#REF!</v>
      </c>
    </row>
    <row r="34" spans="1:13" x14ac:dyDescent="0.25">
      <c r="A34">
        <v>183</v>
      </c>
      <c r="B34" t="s">
        <v>18</v>
      </c>
      <c r="C34" t="s">
        <v>28</v>
      </c>
      <c r="D34" s="10">
        <v>45322</v>
      </c>
      <c r="E34" t="s">
        <v>40</v>
      </c>
      <c r="F34" s="1">
        <v>2000</v>
      </c>
      <c r="G34" s="19"/>
      <c r="H34" s="19">
        <v>18246.310000000001</v>
      </c>
      <c r="I34" s="1">
        <f t="shared" si="0"/>
        <v>2000</v>
      </c>
      <c r="J34" s="1" t="e">
        <f t="shared" si="2"/>
        <v>#REF!</v>
      </c>
      <c r="K34" s="1" t="e">
        <f t="shared" si="1"/>
        <v>#REF!</v>
      </c>
      <c r="L34" t="s">
        <v>17</v>
      </c>
      <c r="M34" t="e">
        <f>VLOOKUP(A34,#REF!,6,FALSE)</f>
        <v>#REF!</v>
      </c>
    </row>
    <row r="35" spans="1:13" x14ac:dyDescent="0.25">
      <c r="A35">
        <v>184</v>
      </c>
      <c r="B35" t="s">
        <v>18</v>
      </c>
      <c r="C35" t="s">
        <v>28</v>
      </c>
      <c r="D35" s="10">
        <v>45323</v>
      </c>
      <c r="E35" t="s">
        <v>215</v>
      </c>
      <c r="G35" s="19">
        <v>25.42</v>
      </c>
      <c r="H35" s="19">
        <v>18220.890000000003</v>
      </c>
      <c r="I35" s="1">
        <f t="shared" si="0"/>
        <v>-25.42</v>
      </c>
      <c r="J35" s="1" t="e">
        <f t="shared" si="2"/>
        <v>#REF!</v>
      </c>
      <c r="K35" s="1" t="e">
        <f t="shared" si="1"/>
        <v>#REF!</v>
      </c>
      <c r="L35" t="s">
        <v>24</v>
      </c>
      <c r="M35" t="e">
        <f>VLOOKUP(A35,#REF!,6,FALSE)</f>
        <v>#REF!</v>
      </c>
    </row>
    <row r="36" spans="1:13" x14ac:dyDescent="0.25">
      <c r="A36">
        <v>185</v>
      </c>
      <c r="B36" t="s">
        <v>18</v>
      </c>
      <c r="C36" t="s">
        <v>28</v>
      </c>
      <c r="D36" s="10">
        <v>45323</v>
      </c>
      <c r="E36" t="s">
        <v>42</v>
      </c>
      <c r="G36" s="19">
        <v>72</v>
      </c>
      <c r="H36" s="19">
        <v>18148.890000000003</v>
      </c>
      <c r="I36" s="1">
        <f t="shared" si="0"/>
        <v>-72</v>
      </c>
      <c r="J36" s="1" t="e">
        <f t="shared" si="2"/>
        <v>#REF!</v>
      </c>
      <c r="K36" s="1" t="e">
        <f t="shared" si="1"/>
        <v>#REF!</v>
      </c>
      <c r="L36" t="s">
        <v>25</v>
      </c>
      <c r="M36" t="e">
        <f>VLOOKUP(A36,#REF!,6,FALSE)</f>
        <v>#REF!</v>
      </c>
    </row>
    <row r="37" spans="1:13" x14ac:dyDescent="0.25">
      <c r="A37">
        <v>186</v>
      </c>
      <c r="B37" t="s">
        <v>18</v>
      </c>
      <c r="C37" t="s">
        <v>28</v>
      </c>
      <c r="D37" s="10">
        <v>45324</v>
      </c>
      <c r="E37" t="s">
        <v>216</v>
      </c>
      <c r="F37" s="1">
        <v>880</v>
      </c>
      <c r="G37" s="19"/>
      <c r="H37" s="19">
        <v>19028.890000000003</v>
      </c>
      <c r="I37" s="1">
        <f t="shared" si="0"/>
        <v>880</v>
      </c>
      <c r="J37" s="1" t="e">
        <f t="shared" si="2"/>
        <v>#REF!</v>
      </c>
      <c r="K37" s="1" t="e">
        <f t="shared" si="1"/>
        <v>#REF!</v>
      </c>
      <c r="L37" t="s">
        <v>17</v>
      </c>
      <c r="M37" t="e">
        <f>VLOOKUP(A37,#REF!,6,FALSE)</f>
        <v>#REF!</v>
      </c>
    </row>
    <row r="38" spans="1:13" x14ac:dyDescent="0.25">
      <c r="A38">
        <v>187</v>
      </c>
      <c r="B38" t="s">
        <v>18</v>
      </c>
      <c r="C38" t="s">
        <v>28</v>
      </c>
      <c r="D38" s="10">
        <v>45324</v>
      </c>
      <c r="E38" t="s">
        <v>217</v>
      </c>
      <c r="G38" s="19">
        <v>3000</v>
      </c>
      <c r="H38" s="19">
        <v>16028.890000000003</v>
      </c>
      <c r="I38" s="1">
        <f t="shared" si="0"/>
        <v>-3000</v>
      </c>
      <c r="J38" s="1" t="e">
        <f t="shared" si="2"/>
        <v>#REF!</v>
      </c>
      <c r="K38" s="1" t="e">
        <f t="shared" si="1"/>
        <v>#REF!</v>
      </c>
      <c r="L38" t="s">
        <v>1</v>
      </c>
      <c r="M38" t="e">
        <f>VLOOKUP(A38,#REF!,6,FALSE)</f>
        <v>#REF!</v>
      </c>
    </row>
    <row r="39" spans="1:13" x14ac:dyDescent="0.25">
      <c r="A39">
        <v>188</v>
      </c>
      <c r="B39" t="s">
        <v>18</v>
      </c>
      <c r="C39" t="s">
        <v>28</v>
      </c>
      <c r="D39" s="10">
        <v>45324</v>
      </c>
      <c r="E39" t="s">
        <v>218</v>
      </c>
      <c r="G39" s="19">
        <v>2.6</v>
      </c>
      <c r="H39" s="19">
        <v>16026.290000000003</v>
      </c>
      <c r="I39" s="1">
        <f t="shared" si="0"/>
        <v>-2.6</v>
      </c>
      <c r="J39" s="1" t="e">
        <f t="shared" si="2"/>
        <v>#REF!</v>
      </c>
      <c r="K39" s="1" t="e">
        <f t="shared" si="1"/>
        <v>#REF!</v>
      </c>
      <c r="L39" t="s">
        <v>22</v>
      </c>
      <c r="M39" t="e">
        <f>VLOOKUP(A39,#REF!,6,FALSE)</f>
        <v>#REF!</v>
      </c>
    </row>
    <row r="40" spans="1:13" x14ac:dyDescent="0.25">
      <c r="A40">
        <v>189</v>
      </c>
      <c r="B40" t="s">
        <v>18</v>
      </c>
      <c r="C40" t="s">
        <v>28</v>
      </c>
      <c r="D40" s="10">
        <v>45330</v>
      </c>
      <c r="E40" t="s">
        <v>218</v>
      </c>
      <c r="G40" s="19">
        <v>2.6</v>
      </c>
      <c r="H40" s="19">
        <v>16023.690000000002</v>
      </c>
      <c r="I40" s="1">
        <f t="shared" si="0"/>
        <v>-2.6</v>
      </c>
      <c r="J40" s="1" t="e">
        <f t="shared" si="2"/>
        <v>#REF!</v>
      </c>
      <c r="K40" s="1" t="e">
        <f t="shared" si="1"/>
        <v>#REF!</v>
      </c>
      <c r="L40" t="s">
        <v>22</v>
      </c>
      <c r="M40" t="e">
        <f>VLOOKUP(A40,#REF!,6,FALSE)</f>
        <v>#REF!</v>
      </c>
    </row>
    <row r="41" spans="1:13" x14ac:dyDescent="0.25">
      <c r="A41">
        <v>190</v>
      </c>
      <c r="B41" t="s">
        <v>18</v>
      </c>
      <c r="C41" t="s">
        <v>28</v>
      </c>
      <c r="D41" s="10">
        <v>45331</v>
      </c>
      <c r="E41" t="s">
        <v>219</v>
      </c>
      <c r="F41" s="1">
        <v>880</v>
      </c>
      <c r="G41" s="19"/>
      <c r="H41" s="19">
        <v>16903.690000000002</v>
      </c>
      <c r="I41" s="1">
        <f t="shared" si="0"/>
        <v>880</v>
      </c>
      <c r="J41" s="1" t="e">
        <f t="shared" si="2"/>
        <v>#REF!</v>
      </c>
      <c r="K41" s="1" t="e">
        <f t="shared" si="1"/>
        <v>#REF!</v>
      </c>
      <c r="L41" t="s">
        <v>17</v>
      </c>
      <c r="M41" t="e">
        <f>VLOOKUP(A41,#REF!,6,FALSE)</f>
        <v>#REF!</v>
      </c>
    </row>
    <row r="42" spans="1:13" x14ac:dyDescent="0.25">
      <c r="A42">
        <v>191</v>
      </c>
      <c r="B42" t="s">
        <v>18</v>
      </c>
      <c r="C42" t="s">
        <v>28</v>
      </c>
      <c r="D42" s="10">
        <v>45337</v>
      </c>
      <c r="E42" s="7" t="s">
        <v>54</v>
      </c>
      <c r="F42" s="19">
        <v>450</v>
      </c>
      <c r="G42" s="19"/>
      <c r="H42" s="19">
        <v>17353.689999999999</v>
      </c>
      <c r="I42" s="1">
        <f t="shared" si="0"/>
        <v>450</v>
      </c>
      <c r="J42" s="1" t="e">
        <f t="shared" si="2"/>
        <v>#REF!</v>
      </c>
      <c r="K42" s="1" t="e">
        <f t="shared" si="1"/>
        <v>#REF!</v>
      </c>
      <c r="L42" t="s">
        <v>17</v>
      </c>
      <c r="M42" t="e">
        <f>VLOOKUP(A42,#REF!,6,FALSE)</f>
        <v>#REF!</v>
      </c>
    </row>
    <row r="43" spans="1:13" x14ac:dyDescent="0.25">
      <c r="A43">
        <v>192</v>
      </c>
      <c r="B43" t="s">
        <v>18</v>
      </c>
      <c r="C43" t="s">
        <v>28</v>
      </c>
      <c r="D43" s="10">
        <v>45341</v>
      </c>
      <c r="E43" s="7" t="s">
        <v>55</v>
      </c>
      <c r="F43" s="19"/>
      <c r="G43" s="19">
        <v>120</v>
      </c>
      <c r="H43" s="19">
        <v>17233.689999999999</v>
      </c>
      <c r="I43" s="1">
        <f t="shared" si="0"/>
        <v>-120</v>
      </c>
      <c r="J43" s="1" t="e">
        <f t="shared" si="2"/>
        <v>#REF!</v>
      </c>
      <c r="K43" s="1" t="e">
        <f t="shared" si="1"/>
        <v>#REF!</v>
      </c>
      <c r="L43" t="s">
        <v>1</v>
      </c>
      <c r="M43" t="e">
        <f>VLOOKUP(A43,#REF!,6,FALSE)</f>
        <v>#REF!</v>
      </c>
    </row>
    <row r="44" spans="1:13" x14ac:dyDescent="0.25">
      <c r="A44">
        <v>193</v>
      </c>
      <c r="B44" t="s">
        <v>18</v>
      </c>
      <c r="C44" t="s">
        <v>28</v>
      </c>
      <c r="D44" s="10">
        <v>45341</v>
      </c>
      <c r="E44" s="7" t="s">
        <v>56</v>
      </c>
      <c r="F44" s="19"/>
      <c r="G44" s="19">
        <v>2.6</v>
      </c>
      <c r="H44" s="19">
        <v>17231.09</v>
      </c>
      <c r="I44" s="1">
        <f t="shared" ref="I44:I107" si="3">F44-G44</f>
        <v>-2.6</v>
      </c>
      <c r="J44" s="1" t="e">
        <f t="shared" si="2"/>
        <v>#REF!</v>
      </c>
      <c r="K44" s="1" t="e">
        <f t="shared" ref="K44:K107" si="4">H44-J44</f>
        <v>#REF!</v>
      </c>
      <c r="L44" t="s">
        <v>22</v>
      </c>
      <c r="M44" t="e">
        <f>VLOOKUP(A44,#REF!,6,FALSE)</f>
        <v>#REF!</v>
      </c>
    </row>
    <row r="45" spans="1:13" x14ac:dyDescent="0.25">
      <c r="A45">
        <v>194</v>
      </c>
      <c r="B45" t="s">
        <v>18</v>
      </c>
      <c r="C45" t="s">
        <v>28</v>
      </c>
      <c r="D45" s="10">
        <v>45342</v>
      </c>
      <c r="E45" s="7" t="s">
        <v>57</v>
      </c>
      <c r="F45" s="19"/>
      <c r="G45" s="19">
        <v>5000</v>
      </c>
      <c r="H45" s="19">
        <v>12231.09</v>
      </c>
      <c r="I45" s="1">
        <f t="shared" si="3"/>
        <v>-5000</v>
      </c>
      <c r="J45" s="1" t="e">
        <f t="shared" ref="J45:J108" si="5">J44+I45</f>
        <v>#REF!</v>
      </c>
      <c r="K45" s="1" t="e">
        <f t="shared" si="4"/>
        <v>#REF!</v>
      </c>
      <c r="L45" t="s">
        <v>1</v>
      </c>
      <c r="M45" t="e">
        <f>VLOOKUP(A45,#REF!,6,FALSE)</f>
        <v>#REF!</v>
      </c>
    </row>
    <row r="46" spans="1:13" x14ac:dyDescent="0.25">
      <c r="A46">
        <v>195</v>
      </c>
      <c r="B46" t="s">
        <v>18</v>
      </c>
      <c r="C46" t="s">
        <v>28</v>
      </c>
      <c r="D46" s="10">
        <v>45345</v>
      </c>
      <c r="E46" s="7" t="s">
        <v>40</v>
      </c>
      <c r="F46" s="19">
        <v>5500</v>
      </c>
      <c r="G46" s="19"/>
      <c r="H46" s="19">
        <v>17731.09</v>
      </c>
      <c r="I46" s="1">
        <f t="shared" si="3"/>
        <v>5500</v>
      </c>
      <c r="J46" s="1" t="e">
        <f t="shared" si="5"/>
        <v>#REF!</v>
      </c>
      <c r="K46" s="1" t="e">
        <f t="shared" si="4"/>
        <v>#REF!</v>
      </c>
      <c r="L46" t="s">
        <v>17</v>
      </c>
      <c r="M46" t="e">
        <f>VLOOKUP(A46,#REF!,6,FALSE)</f>
        <v>#REF!</v>
      </c>
    </row>
    <row r="47" spans="1:13" x14ac:dyDescent="0.25">
      <c r="A47">
        <v>196</v>
      </c>
      <c r="B47" t="s">
        <v>18</v>
      </c>
      <c r="C47" t="s">
        <v>28</v>
      </c>
      <c r="D47" s="10">
        <v>45345</v>
      </c>
      <c r="E47" s="7" t="s">
        <v>58</v>
      </c>
      <c r="F47" s="19"/>
      <c r="G47" s="19">
        <v>2.6</v>
      </c>
      <c r="H47" s="19">
        <v>17728.490000000002</v>
      </c>
      <c r="I47" s="1">
        <f t="shared" si="3"/>
        <v>-2.6</v>
      </c>
      <c r="J47" s="1" t="e">
        <f t="shared" si="5"/>
        <v>#REF!</v>
      </c>
      <c r="K47" s="1" t="e">
        <f t="shared" si="4"/>
        <v>#REF!</v>
      </c>
      <c r="L47" t="s">
        <v>22</v>
      </c>
      <c r="M47" t="e">
        <f>VLOOKUP(A47,#REF!,6,FALSE)</f>
        <v>#REF!</v>
      </c>
    </row>
    <row r="48" spans="1:13" x14ac:dyDescent="0.25">
      <c r="A48">
        <v>197</v>
      </c>
      <c r="B48" t="s">
        <v>18</v>
      </c>
      <c r="C48" t="s">
        <v>28</v>
      </c>
      <c r="D48" s="10">
        <v>45351</v>
      </c>
      <c r="E48" s="7" t="s">
        <v>59</v>
      </c>
      <c r="F48" s="19"/>
      <c r="G48" s="19">
        <v>2.6</v>
      </c>
      <c r="H48" s="19">
        <v>17725.89</v>
      </c>
      <c r="I48" s="1">
        <f t="shared" si="3"/>
        <v>-2.6</v>
      </c>
      <c r="J48" s="1" t="e">
        <f t="shared" si="5"/>
        <v>#REF!</v>
      </c>
      <c r="K48" s="1" t="e">
        <f t="shared" si="4"/>
        <v>#REF!</v>
      </c>
      <c r="L48" t="s">
        <v>22</v>
      </c>
      <c r="M48" t="e">
        <f>VLOOKUP(A48,#REF!,6,FALSE)</f>
        <v>#REF!</v>
      </c>
    </row>
    <row r="49" spans="1:13" x14ac:dyDescent="0.25">
      <c r="A49">
        <v>198</v>
      </c>
      <c r="B49" t="s">
        <v>18</v>
      </c>
      <c r="C49" t="s">
        <v>28</v>
      </c>
      <c r="D49" s="10">
        <v>45352</v>
      </c>
      <c r="E49" s="7" t="s">
        <v>60</v>
      </c>
      <c r="F49" s="19">
        <v>495</v>
      </c>
      <c r="G49" s="19"/>
      <c r="H49" s="19">
        <v>18220.89</v>
      </c>
      <c r="I49" s="1">
        <f t="shared" si="3"/>
        <v>495</v>
      </c>
      <c r="J49" s="1" t="e">
        <f t="shared" si="5"/>
        <v>#REF!</v>
      </c>
      <c r="K49" s="1" t="e">
        <f t="shared" si="4"/>
        <v>#REF!</v>
      </c>
      <c r="L49" t="s">
        <v>17</v>
      </c>
      <c r="M49" t="e">
        <f>VLOOKUP(A49,#REF!,6,FALSE)</f>
        <v>#REF!</v>
      </c>
    </row>
    <row r="50" spans="1:13" x14ac:dyDescent="0.25">
      <c r="A50">
        <v>199</v>
      </c>
      <c r="B50" t="s">
        <v>18</v>
      </c>
      <c r="C50" t="s">
        <v>28</v>
      </c>
      <c r="D50" s="10">
        <v>45352</v>
      </c>
      <c r="E50" s="7" t="s">
        <v>40</v>
      </c>
      <c r="F50" s="19">
        <v>2500</v>
      </c>
      <c r="G50" s="19"/>
      <c r="H50" s="19">
        <v>20720.89</v>
      </c>
      <c r="I50" s="1">
        <f t="shared" si="3"/>
        <v>2500</v>
      </c>
      <c r="J50" s="1" t="e">
        <f t="shared" si="5"/>
        <v>#REF!</v>
      </c>
      <c r="K50" s="1" t="e">
        <f t="shared" si="4"/>
        <v>#REF!</v>
      </c>
      <c r="L50" t="s">
        <v>17</v>
      </c>
      <c r="M50" t="e">
        <f>VLOOKUP(A50,#REF!,6,FALSE)</f>
        <v>#REF!</v>
      </c>
    </row>
    <row r="51" spans="1:13" x14ac:dyDescent="0.25">
      <c r="A51">
        <v>200</v>
      </c>
      <c r="B51" t="s">
        <v>18</v>
      </c>
      <c r="C51" t="s">
        <v>28</v>
      </c>
      <c r="D51" s="10">
        <v>45352</v>
      </c>
      <c r="E51" s="7" t="s">
        <v>61</v>
      </c>
      <c r="F51" s="19">
        <v>425</v>
      </c>
      <c r="G51" s="19"/>
      <c r="H51" s="19">
        <v>21145.89</v>
      </c>
      <c r="I51" s="1">
        <f t="shared" si="3"/>
        <v>425</v>
      </c>
      <c r="J51" s="1" t="e">
        <f t="shared" si="5"/>
        <v>#REF!</v>
      </c>
      <c r="K51" s="1" t="e">
        <f t="shared" si="4"/>
        <v>#REF!</v>
      </c>
      <c r="L51" t="s">
        <v>17</v>
      </c>
      <c r="M51" t="e">
        <f>VLOOKUP(A51,#REF!,6,FALSE)</f>
        <v>#REF!</v>
      </c>
    </row>
    <row r="52" spans="1:13" x14ac:dyDescent="0.25">
      <c r="A52">
        <v>201</v>
      </c>
      <c r="B52" t="s">
        <v>18</v>
      </c>
      <c r="C52" t="s">
        <v>28</v>
      </c>
      <c r="D52" s="10">
        <v>45352</v>
      </c>
      <c r="E52" s="7" t="s">
        <v>62</v>
      </c>
      <c r="F52" s="19"/>
      <c r="G52" s="19">
        <v>2.6</v>
      </c>
      <c r="H52" s="19">
        <v>21143.29</v>
      </c>
      <c r="I52" s="1">
        <f t="shared" si="3"/>
        <v>-2.6</v>
      </c>
      <c r="J52" s="1" t="e">
        <f t="shared" si="5"/>
        <v>#REF!</v>
      </c>
      <c r="K52" s="1" t="e">
        <f t="shared" si="4"/>
        <v>#REF!</v>
      </c>
      <c r="L52" t="s">
        <v>22</v>
      </c>
      <c r="M52" t="e">
        <f>VLOOKUP(A52,#REF!,6,FALSE)</f>
        <v>#REF!</v>
      </c>
    </row>
    <row r="53" spans="1:13" x14ac:dyDescent="0.25">
      <c r="A53">
        <v>202</v>
      </c>
      <c r="B53" t="s">
        <v>18</v>
      </c>
      <c r="C53" t="s">
        <v>28</v>
      </c>
      <c r="D53" s="10">
        <v>45352</v>
      </c>
      <c r="E53" s="7" t="s">
        <v>41</v>
      </c>
      <c r="F53" s="19"/>
      <c r="G53" s="19">
        <v>25.42</v>
      </c>
      <c r="H53" s="19">
        <v>21117.87</v>
      </c>
      <c r="I53" s="1">
        <f t="shared" si="3"/>
        <v>-25.42</v>
      </c>
      <c r="J53" s="1" t="e">
        <f t="shared" si="5"/>
        <v>#REF!</v>
      </c>
      <c r="K53" s="1" t="e">
        <f t="shared" si="4"/>
        <v>#REF!</v>
      </c>
      <c r="L53" t="s">
        <v>24</v>
      </c>
      <c r="M53" t="e">
        <f>VLOOKUP(A53,#REF!,6,FALSE)</f>
        <v>#REF!</v>
      </c>
    </row>
    <row r="54" spans="1:13" x14ac:dyDescent="0.25">
      <c r="A54">
        <v>203</v>
      </c>
      <c r="B54" t="s">
        <v>18</v>
      </c>
      <c r="C54" t="s">
        <v>28</v>
      </c>
      <c r="D54" s="10">
        <v>45352</v>
      </c>
      <c r="E54" s="7" t="s">
        <v>42</v>
      </c>
      <c r="F54" s="19"/>
      <c r="G54" s="19">
        <v>72</v>
      </c>
      <c r="H54" s="19">
        <v>21045.87</v>
      </c>
      <c r="I54" s="1">
        <f t="shared" si="3"/>
        <v>-72</v>
      </c>
      <c r="J54" s="1" t="e">
        <f t="shared" si="5"/>
        <v>#REF!</v>
      </c>
      <c r="K54" s="1" t="e">
        <f t="shared" si="4"/>
        <v>#REF!</v>
      </c>
      <c r="L54" t="s">
        <v>25</v>
      </c>
      <c r="M54" t="e">
        <f>VLOOKUP(A54,#REF!,6,FALSE)</f>
        <v>#REF!</v>
      </c>
    </row>
    <row r="55" spans="1:13" x14ac:dyDescent="0.25">
      <c r="A55">
        <v>204</v>
      </c>
      <c r="B55" t="s">
        <v>18</v>
      </c>
      <c r="C55" t="s">
        <v>28</v>
      </c>
      <c r="D55" s="10">
        <v>45356</v>
      </c>
      <c r="E55" s="7" t="s">
        <v>63</v>
      </c>
      <c r="F55" s="19"/>
      <c r="G55" s="19">
        <v>35</v>
      </c>
      <c r="H55" s="19">
        <v>21010.87</v>
      </c>
      <c r="I55" s="1">
        <f t="shared" si="3"/>
        <v>-35</v>
      </c>
      <c r="J55" s="1" t="e">
        <f t="shared" si="5"/>
        <v>#REF!</v>
      </c>
      <c r="K55" s="1" t="e">
        <f t="shared" si="4"/>
        <v>#REF!</v>
      </c>
      <c r="L55" t="s">
        <v>189</v>
      </c>
      <c r="M55" t="e">
        <f>VLOOKUP(A55,#REF!,6,FALSE)</f>
        <v>#REF!</v>
      </c>
    </row>
    <row r="56" spans="1:13" x14ac:dyDescent="0.25">
      <c r="A56">
        <v>205</v>
      </c>
      <c r="B56" t="s">
        <v>18</v>
      </c>
      <c r="C56" t="s">
        <v>28</v>
      </c>
      <c r="D56" s="10">
        <v>45356</v>
      </c>
      <c r="E56" s="7" t="s">
        <v>64</v>
      </c>
      <c r="F56" s="19"/>
      <c r="G56" s="19">
        <v>405</v>
      </c>
      <c r="H56" s="19">
        <v>20605.87</v>
      </c>
      <c r="I56" s="1">
        <f t="shared" si="3"/>
        <v>-405</v>
      </c>
      <c r="J56" s="1" t="e">
        <f t="shared" si="5"/>
        <v>#REF!</v>
      </c>
      <c r="K56" s="1" t="e">
        <f t="shared" si="4"/>
        <v>#REF!</v>
      </c>
      <c r="L56" t="s">
        <v>190</v>
      </c>
      <c r="M56" t="e">
        <f>VLOOKUP(A56,#REF!,6,FALSE)</f>
        <v>#REF!</v>
      </c>
    </row>
    <row r="57" spans="1:13" x14ac:dyDescent="0.25">
      <c r="A57">
        <v>206</v>
      </c>
      <c r="B57" t="s">
        <v>18</v>
      </c>
      <c r="C57" t="s">
        <v>28</v>
      </c>
      <c r="D57" s="10">
        <v>45357</v>
      </c>
      <c r="E57" s="7" t="s">
        <v>40</v>
      </c>
      <c r="F57" s="19">
        <v>1000</v>
      </c>
      <c r="G57" s="19"/>
      <c r="H57" s="19">
        <v>21605.87</v>
      </c>
      <c r="I57" s="1">
        <f t="shared" si="3"/>
        <v>1000</v>
      </c>
      <c r="J57" s="1" t="e">
        <f t="shared" si="5"/>
        <v>#REF!</v>
      </c>
      <c r="K57" s="1" t="e">
        <f t="shared" si="4"/>
        <v>#REF!</v>
      </c>
      <c r="L57" t="s">
        <v>17</v>
      </c>
      <c r="M57" t="e">
        <f>VLOOKUP(A57,#REF!,6,FALSE)</f>
        <v>#REF!</v>
      </c>
    </row>
    <row r="58" spans="1:13" x14ac:dyDescent="0.25">
      <c r="A58">
        <v>207</v>
      </c>
      <c r="B58" t="s">
        <v>18</v>
      </c>
      <c r="C58" t="s">
        <v>28</v>
      </c>
      <c r="D58" s="10">
        <v>45364</v>
      </c>
      <c r="E58" s="7" t="s">
        <v>65</v>
      </c>
      <c r="F58" s="19"/>
      <c r="G58" s="19">
        <v>2.6</v>
      </c>
      <c r="H58" s="19">
        <v>21603.27</v>
      </c>
      <c r="I58" s="1">
        <f t="shared" si="3"/>
        <v>-2.6</v>
      </c>
      <c r="J58" s="1" t="e">
        <f t="shared" si="5"/>
        <v>#REF!</v>
      </c>
      <c r="K58" s="1" t="e">
        <f t="shared" si="4"/>
        <v>#REF!</v>
      </c>
      <c r="L58" t="s">
        <v>22</v>
      </c>
      <c r="M58" t="e">
        <f>VLOOKUP(A58,#REF!,6,FALSE)</f>
        <v>#REF!</v>
      </c>
    </row>
    <row r="59" spans="1:13" x14ac:dyDescent="0.25">
      <c r="A59">
        <v>208</v>
      </c>
      <c r="B59" t="s">
        <v>18</v>
      </c>
      <c r="C59" t="s">
        <v>28</v>
      </c>
      <c r="D59" s="10">
        <v>45365</v>
      </c>
      <c r="E59" s="7" t="s">
        <v>40</v>
      </c>
      <c r="F59" s="19">
        <v>800</v>
      </c>
      <c r="G59" s="19"/>
      <c r="H59" s="19">
        <v>22403.27</v>
      </c>
      <c r="I59" s="1">
        <f t="shared" si="3"/>
        <v>800</v>
      </c>
      <c r="J59" s="1" t="e">
        <f t="shared" si="5"/>
        <v>#REF!</v>
      </c>
      <c r="K59" s="1" t="e">
        <f t="shared" si="4"/>
        <v>#REF!</v>
      </c>
      <c r="L59" t="s">
        <v>17</v>
      </c>
      <c r="M59" t="e">
        <f>VLOOKUP(A59,#REF!,6,FALSE)</f>
        <v>#REF!</v>
      </c>
    </row>
    <row r="60" spans="1:13" x14ac:dyDescent="0.25">
      <c r="A60">
        <v>209</v>
      </c>
      <c r="B60" t="s">
        <v>18</v>
      </c>
      <c r="C60" t="s">
        <v>28</v>
      </c>
      <c r="D60" s="10">
        <v>45365</v>
      </c>
      <c r="E60" s="7" t="s">
        <v>66</v>
      </c>
      <c r="F60" s="19"/>
      <c r="G60" s="19">
        <v>2.6</v>
      </c>
      <c r="H60" s="19">
        <v>22400.67</v>
      </c>
      <c r="I60" s="1">
        <f t="shared" si="3"/>
        <v>-2.6</v>
      </c>
      <c r="J60" s="1" t="e">
        <f t="shared" si="5"/>
        <v>#REF!</v>
      </c>
      <c r="K60" s="1" t="e">
        <f t="shared" si="4"/>
        <v>#REF!</v>
      </c>
      <c r="L60" t="s">
        <v>22</v>
      </c>
      <c r="M60" t="e">
        <f>VLOOKUP(A60,#REF!,6,FALSE)</f>
        <v>#REF!</v>
      </c>
    </row>
    <row r="61" spans="1:13" x14ac:dyDescent="0.25">
      <c r="A61">
        <v>210</v>
      </c>
      <c r="B61" t="s">
        <v>18</v>
      </c>
      <c r="C61" t="s">
        <v>28</v>
      </c>
      <c r="D61" s="10">
        <v>45366</v>
      </c>
      <c r="E61" s="7" t="s">
        <v>67</v>
      </c>
      <c r="F61" s="19">
        <v>2200</v>
      </c>
      <c r="G61" s="19"/>
      <c r="H61" s="19">
        <v>24600.67</v>
      </c>
      <c r="I61" s="1">
        <f t="shared" si="3"/>
        <v>2200</v>
      </c>
      <c r="J61" s="1" t="e">
        <f t="shared" si="5"/>
        <v>#REF!</v>
      </c>
      <c r="K61" s="1" t="e">
        <f t="shared" si="4"/>
        <v>#REF!</v>
      </c>
      <c r="L61" t="s">
        <v>17</v>
      </c>
      <c r="M61" t="e">
        <f>VLOOKUP(A61,#REF!,6,FALSE)</f>
        <v>#REF!</v>
      </c>
    </row>
    <row r="62" spans="1:13" x14ac:dyDescent="0.25">
      <c r="A62">
        <v>211</v>
      </c>
      <c r="B62" t="s">
        <v>18</v>
      </c>
      <c r="C62" t="s">
        <v>28</v>
      </c>
      <c r="D62" s="10">
        <v>45366</v>
      </c>
      <c r="E62" s="7" t="s">
        <v>68</v>
      </c>
      <c r="F62" s="19"/>
      <c r="G62" s="19">
        <v>300</v>
      </c>
      <c r="H62" s="19">
        <v>24300.67</v>
      </c>
      <c r="I62" s="1">
        <f t="shared" si="3"/>
        <v>-300</v>
      </c>
      <c r="J62" s="1" t="e">
        <f t="shared" si="5"/>
        <v>#REF!</v>
      </c>
      <c r="K62" s="1" t="e">
        <f t="shared" si="4"/>
        <v>#REF!</v>
      </c>
      <c r="L62" t="s">
        <v>1</v>
      </c>
      <c r="M62" t="e">
        <f>VLOOKUP(A62,#REF!,6,FALSE)</f>
        <v>#REF!</v>
      </c>
    </row>
    <row r="63" spans="1:13" x14ac:dyDescent="0.25">
      <c r="A63">
        <v>212</v>
      </c>
      <c r="B63" t="s">
        <v>18</v>
      </c>
      <c r="C63" t="s">
        <v>28</v>
      </c>
      <c r="D63" s="10">
        <v>45366</v>
      </c>
      <c r="E63" s="7" t="s">
        <v>69</v>
      </c>
      <c r="F63" s="19"/>
      <c r="G63" s="19">
        <v>2.6</v>
      </c>
      <c r="H63" s="19">
        <v>24298.07</v>
      </c>
      <c r="I63" s="1">
        <f t="shared" si="3"/>
        <v>-2.6</v>
      </c>
      <c r="J63" s="1" t="e">
        <f t="shared" si="5"/>
        <v>#REF!</v>
      </c>
      <c r="K63" s="1" t="e">
        <f t="shared" si="4"/>
        <v>#REF!</v>
      </c>
      <c r="L63" t="s">
        <v>22</v>
      </c>
      <c r="M63" t="e">
        <f>VLOOKUP(A63,#REF!,6,FALSE)</f>
        <v>#REF!</v>
      </c>
    </row>
    <row r="64" spans="1:13" x14ac:dyDescent="0.25">
      <c r="A64">
        <v>213</v>
      </c>
      <c r="B64" t="s">
        <v>18</v>
      </c>
      <c r="C64" t="s">
        <v>28</v>
      </c>
      <c r="D64" s="10">
        <v>45369</v>
      </c>
      <c r="E64" s="7" t="s">
        <v>70</v>
      </c>
      <c r="F64" s="19"/>
      <c r="G64" s="19">
        <v>50</v>
      </c>
      <c r="H64" s="19">
        <v>24248.07</v>
      </c>
      <c r="I64" s="1">
        <f t="shared" si="3"/>
        <v>-50</v>
      </c>
      <c r="J64" s="1" t="e">
        <f t="shared" si="5"/>
        <v>#REF!</v>
      </c>
      <c r="K64" s="1" t="e">
        <f t="shared" si="4"/>
        <v>#REF!</v>
      </c>
      <c r="L64" t="s">
        <v>21</v>
      </c>
      <c r="M64" t="e">
        <f>VLOOKUP(A64,#REF!,6,FALSE)</f>
        <v>#REF!</v>
      </c>
    </row>
    <row r="65" spans="1:13" x14ac:dyDescent="0.25">
      <c r="A65">
        <v>214</v>
      </c>
      <c r="B65" t="s">
        <v>18</v>
      </c>
      <c r="C65" t="s">
        <v>28</v>
      </c>
      <c r="D65" s="10">
        <v>45370</v>
      </c>
      <c r="E65" s="7" t="s">
        <v>71</v>
      </c>
      <c r="F65" s="19"/>
      <c r="G65" s="19">
        <v>4500</v>
      </c>
      <c r="H65" s="19">
        <v>19748.07</v>
      </c>
      <c r="I65" s="1">
        <f t="shared" si="3"/>
        <v>-4500</v>
      </c>
      <c r="J65" s="1" t="e">
        <f t="shared" si="5"/>
        <v>#REF!</v>
      </c>
      <c r="K65" s="1" t="e">
        <f t="shared" si="4"/>
        <v>#REF!</v>
      </c>
      <c r="L65" t="s">
        <v>1</v>
      </c>
      <c r="M65" t="e">
        <f>VLOOKUP(A65,#REF!,6,FALSE)</f>
        <v>#REF!</v>
      </c>
    </row>
    <row r="66" spans="1:13" x14ac:dyDescent="0.25">
      <c r="A66">
        <v>215</v>
      </c>
      <c r="B66" t="s">
        <v>18</v>
      </c>
      <c r="C66" t="s">
        <v>28</v>
      </c>
      <c r="D66" s="10">
        <v>45370</v>
      </c>
      <c r="E66" s="7" t="s">
        <v>72</v>
      </c>
      <c r="F66" s="19"/>
      <c r="G66" s="19">
        <v>16.3</v>
      </c>
      <c r="H66" s="19">
        <v>19731.77</v>
      </c>
      <c r="I66" s="1">
        <f t="shared" si="3"/>
        <v>-16.3</v>
      </c>
      <c r="J66" s="1" t="e">
        <f t="shared" si="5"/>
        <v>#REF!</v>
      </c>
      <c r="K66" s="1" t="e">
        <f t="shared" si="4"/>
        <v>#REF!</v>
      </c>
      <c r="L66" t="s">
        <v>194</v>
      </c>
      <c r="M66" t="e">
        <f>VLOOKUP(A66,#REF!,6,FALSE)</f>
        <v>#REF!</v>
      </c>
    </row>
    <row r="67" spans="1:13" x14ac:dyDescent="0.25">
      <c r="A67">
        <v>216</v>
      </c>
      <c r="B67" t="s">
        <v>18</v>
      </c>
      <c r="C67" t="s">
        <v>28</v>
      </c>
      <c r="D67" s="10">
        <v>45370</v>
      </c>
      <c r="E67" s="7" t="s">
        <v>73</v>
      </c>
      <c r="F67" s="19"/>
      <c r="G67" s="19">
        <v>2.6</v>
      </c>
      <c r="H67" s="19">
        <v>19729.169999999998</v>
      </c>
      <c r="I67" s="1">
        <f t="shared" si="3"/>
        <v>-2.6</v>
      </c>
      <c r="J67" s="1" t="e">
        <f t="shared" si="5"/>
        <v>#REF!</v>
      </c>
      <c r="K67" s="1" t="e">
        <f t="shared" si="4"/>
        <v>#REF!</v>
      </c>
      <c r="L67" t="s">
        <v>22</v>
      </c>
      <c r="M67" t="e">
        <f>VLOOKUP(A67,#REF!,6,FALSE)</f>
        <v>#REF!</v>
      </c>
    </row>
    <row r="68" spans="1:13" x14ac:dyDescent="0.25">
      <c r="A68">
        <v>217</v>
      </c>
      <c r="B68" t="s">
        <v>18</v>
      </c>
      <c r="C68" t="s">
        <v>28</v>
      </c>
      <c r="D68" s="10">
        <v>45378</v>
      </c>
      <c r="E68" s="7" t="s">
        <v>40</v>
      </c>
      <c r="F68" s="19">
        <v>2250</v>
      </c>
      <c r="G68" s="19"/>
      <c r="H68" s="19">
        <v>21979.17</v>
      </c>
      <c r="I68" s="1">
        <f t="shared" si="3"/>
        <v>2250</v>
      </c>
      <c r="J68" s="1" t="e">
        <f t="shared" si="5"/>
        <v>#REF!</v>
      </c>
      <c r="K68" s="1" t="e">
        <f t="shared" si="4"/>
        <v>#REF!</v>
      </c>
      <c r="L68" t="s">
        <v>17</v>
      </c>
      <c r="M68" t="e">
        <f>VLOOKUP(A68,#REF!,6,FALSE)</f>
        <v>#REF!</v>
      </c>
    </row>
    <row r="69" spans="1:13" x14ac:dyDescent="0.25">
      <c r="A69">
        <v>218</v>
      </c>
      <c r="B69" t="s">
        <v>18</v>
      </c>
      <c r="C69" t="s">
        <v>28</v>
      </c>
      <c r="D69" s="10">
        <v>45378</v>
      </c>
      <c r="E69" s="7" t="s">
        <v>74</v>
      </c>
      <c r="F69" s="19"/>
      <c r="G69" s="19">
        <v>25</v>
      </c>
      <c r="H69" s="19">
        <v>21954.17</v>
      </c>
      <c r="I69" s="1">
        <f t="shared" si="3"/>
        <v>-25</v>
      </c>
      <c r="J69" s="1" t="e">
        <f t="shared" si="5"/>
        <v>#REF!</v>
      </c>
      <c r="K69" s="1" t="e">
        <f t="shared" si="4"/>
        <v>#REF!</v>
      </c>
      <c r="L69" t="s">
        <v>21</v>
      </c>
      <c r="M69" t="e">
        <f>VLOOKUP(A69,#REF!,6,FALSE)</f>
        <v>#REF!</v>
      </c>
    </row>
    <row r="70" spans="1:13" x14ac:dyDescent="0.25">
      <c r="A70">
        <v>219</v>
      </c>
      <c r="B70" t="s">
        <v>18</v>
      </c>
      <c r="C70" t="s">
        <v>28</v>
      </c>
      <c r="D70" s="10">
        <v>45384</v>
      </c>
      <c r="E70" s="7" t="s">
        <v>75</v>
      </c>
      <c r="F70" s="19">
        <v>440</v>
      </c>
      <c r="G70" s="19"/>
      <c r="H70" s="19">
        <v>22394.17</v>
      </c>
      <c r="I70" s="1">
        <f t="shared" si="3"/>
        <v>440</v>
      </c>
      <c r="J70" s="1" t="e">
        <f t="shared" si="5"/>
        <v>#REF!</v>
      </c>
      <c r="K70" s="1" t="e">
        <f t="shared" si="4"/>
        <v>#REF!</v>
      </c>
      <c r="L70" t="s">
        <v>17</v>
      </c>
      <c r="M70" t="e">
        <f>VLOOKUP(A70,#REF!,6,FALSE)</f>
        <v>#REF!</v>
      </c>
    </row>
    <row r="71" spans="1:13" x14ac:dyDescent="0.25">
      <c r="A71">
        <v>220</v>
      </c>
      <c r="B71" t="s">
        <v>18</v>
      </c>
      <c r="C71" t="s">
        <v>28</v>
      </c>
      <c r="D71" s="10">
        <v>45384</v>
      </c>
      <c r="E71" s="7" t="s">
        <v>76</v>
      </c>
      <c r="F71" s="19">
        <v>1350</v>
      </c>
      <c r="G71" s="19"/>
      <c r="H71" s="19">
        <v>23744.17</v>
      </c>
      <c r="I71" s="1">
        <f t="shared" si="3"/>
        <v>1350</v>
      </c>
      <c r="J71" s="1" t="e">
        <f t="shared" si="5"/>
        <v>#REF!</v>
      </c>
      <c r="K71" s="1" t="e">
        <f t="shared" si="4"/>
        <v>#REF!</v>
      </c>
      <c r="L71" t="s">
        <v>17</v>
      </c>
      <c r="M71" t="e">
        <f>VLOOKUP(A71,#REF!,6,FALSE)</f>
        <v>#REF!</v>
      </c>
    </row>
    <row r="72" spans="1:13" x14ac:dyDescent="0.25">
      <c r="A72">
        <v>221</v>
      </c>
      <c r="B72" t="s">
        <v>18</v>
      </c>
      <c r="C72" t="s">
        <v>28</v>
      </c>
      <c r="D72" s="10">
        <v>45384</v>
      </c>
      <c r="E72" s="7" t="s">
        <v>77</v>
      </c>
      <c r="F72" s="19"/>
      <c r="G72" s="19">
        <v>16</v>
      </c>
      <c r="H72" s="19">
        <v>23728.17</v>
      </c>
      <c r="I72" s="1">
        <f t="shared" si="3"/>
        <v>-16</v>
      </c>
      <c r="J72" s="1" t="e">
        <f t="shared" si="5"/>
        <v>#REF!</v>
      </c>
      <c r="K72" s="1" t="e">
        <f t="shared" si="4"/>
        <v>#REF!</v>
      </c>
      <c r="L72" t="s">
        <v>19</v>
      </c>
      <c r="M72" t="e">
        <f>VLOOKUP(A72,#REF!,6,FALSE)</f>
        <v>#REF!</v>
      </c>
    </row>
    <row r="73" spans="1:13" x14ac:dyDescent="0.25">
      <c r="A73">
        <v>222</v>
      </c>
      <c r="B73" t="s">
        <v>18</v>
      </c>
      <c r="C73" t="s">
        <v>28</v>
      </c>
      <c r="D73" s="10">
        <v>45384</v>
      </c>
      <c r="E73" s="7" t="s">
        <v>78</v>
      </c>
      <c r="F73" s="19"/>
      <c r="G73" s="19">
        <v>2.6</v>
      </c>
      <c r="H73" s="19">
        <v>23725.57</v>
      </c>
      <c r="I73" s="1">
        <f t="shared" si="3"/>
        <v>-2.6</v>
      </c>
      <c r="J73" s="1" t="e">
        <f t="shared" si="5"/>
        <v>#REF!</v>
      </c>
      <c r="K73" s="1" t="e">
        <f t="shared" si="4"/>
        <v>#REF!</v>
      </c>
      <c r="L73" t="s">
        <v>22</v>
      </c>
      <c r="M73" t="e">
        <f>VLOOKUP(A73,#REF!,6,FALSE)</f>
        <v>#REF!</v>
      </c>
    </row>
    <row r="74" spans="1:13" x14ac:dyDescent="0.25">
      <c r="A74">
        <v>223</v>
      </c>
      <c r="B74" t="s">
        <v>18</v>
      </c>
      <c r="C74" t="s">
        <v>28</v>
      </c>
      <c r="D74" s="10">
        <v>45384</v>
      </c>
      <c r="E74" s="7" t="s">
        <v>79</v>
      </c>
      <c r="F74" s="19"/>
      <c r="G74" s="19">
        <v>25</v>
      </c>
      <c r="H74" s="19">
        <v>23700.57</v>
      </c>
      <c r="I74" s="1">
        <f t="shared" si="3"/>
        <v>-25</v>
      </c>
      <c r="J74" s="1" t="e">
        <f t="shared" si="5"/>
        <v>#REF!</v>
      </c>
      <c r="K74" s="1" t="e">
        <f t="shared" si="4"/>
        <v>#REF!</v>
      </c>
      <c r="L74" t="s">
        <v>224</v>
      </c>
      <c r="M74" t="e">
        <f>VLOOKUP(A74,#REF!,6,FALSE)</f>
        <v>#REF!</v>
      </c>
    </row>
    <row r="75" spans="1:13" x14ac:dyDescent="0.25">
      <c r="A75">
        <v>224</v>
      </c>
      <c r="B75" t="s">
        <v>18</v>
      </c>
      <c r="C75" t="s">
        <v>28</v>
      </c>
      <c r="D75" s="10">
        <v>45384</v>
      </c>
      <c r="E75" s="7" t="s">
        <v>80</v>
      </c>
      <c r="F75" s="19"/>
      <c r="G75" s="19">
        <v>30.46</v>
      </c>
      <c r="H75" s="19">
        <v>23670.11</v>
      </c>
      <c r="I75" s="1">
        <f t="shared" si="3"/>
        <v>-30.46</v>
      </c>
      <c r="J75" s="1" t="e">
        <f t="shared" si="5"/>
        <v>#REF!</v>
      </c>
      <c r="K75" s="1" t="e">
        <f t="shared" si="4"/>
        <v>#REF!</v>
      </c>
      <c r="L75" t="s">
        <v>223</v>
      </c>
      <c r="M75" t="e">
        <f>VLOOKUP(A75,#REF!,6,FALSE)</f>
        <v>#REF!</v>
      </c>
    </row>
    <row r="76" spans="1:13" x14ac:dyDescent="0.25">
      <c r="A76">
        <v>225</v>
      </c>
      <c r="B76" t="s">
        <v>18</v>
      </c>
      <c r="C76" t="s">
        <v>28</v>
      </c>
      <c r="D76" s="10">
        <v>45384</v>
      </c>
      <c r="E76" s="7" t="s">
        <v>81</v>
      </c>
      <c r="F76" s="19"/>
      <c r="G76" s="19">
        <v>132</v>
      </c>
      <c r="H76" s="19">
        <v>23538.11</v>
      </c>
      <c r="I76" s="1">
        <f t="shared" si="3"/>
        <v>-132</v>
      </c>
      <c r="J76" s="1" t="e">
        <f t="shared" si="5"/>
        <v>#REF!</v>
      </c>
      <c r="K76" s="1" t="e">
        <f t="shared" si="4"/>
        <v>#REF!</v>
      </c>
      <c r="L76" t="s">
        <v>223</v>
      </c>
      <c r="M76" t="e">
        <f>VLOOKUP(A76,#REF!,6,FALSE)</f>
        <v>#REF!</v>
      </c>
    </row>
    <row r="77" spans="1:13" x14ac:dyDescent="0.25">
      <c r="A77">
        <v>226</v>
      </c>
      <c r="B77" t="s">
        <v>18</v>
      </c>
      <c r="C77" t="s">
        <v>28</v>
      </c>
      <c r="D77" s="10">
        <v>45384</v>
      </c>
      <c r="E77" s="7" t="s">
        <v>41</v>
      </c>
      <c r="F77" s="19"/>
      <c r="G77" s="19">
        <v>25.42</v>
      </c>
      <c r="H77" s="19">
        <v>23512.69</v>
      </c>
      <c r="I77" s="1">
        <f t="shared" si="3"/>
        <v>-25.42</v>
      </c>
      <c r="J77" s="1" t="e">
        <f t="shared" si="5"/>
        <v>#REF!</v>
      </c>
      <c r="K77" s="1" t="e">
        <f t="shared" si="4"/>
        <v>#REF!</v>
      </c>
      <c r="L77" t="s">
        <v>24</v>
      </c>
      <c r="M77" t="e">
        <f>VLOOKUP(A77,#REF!,6,FALSE)</f>
        <v>#REF!</v>
      </c>
    </row>
    <row r="78" spans="1:13" x14ac:dyDescent="0.25">
      <c r="A78">
        <v>227</v>
      </c>
      <c r="B78" t="s">
        <v>18</v>
      </c>
      <c r="C78" t="s">
        <v>28</v>
      </c>
      <c r="D78" s="10">
        <v>45385</v>
      </c>
      <c r="E78" s="7" t="s">
        <v>82</v>
      </c>
      <c r="F78" s="19"/>
      <c r="G78" s="19">
        <v>3</v>
      </c>
      <c r="H78" s="19">
        <v>23509.69</v>
      </c>
      <c r="I78" s="1">
        <f t="shared" si="3"/>
        <v>-3</v>
      </c>
      <c r="J78" s="1" t="e">
        <f t="shared" si="5"/>
        <v>#REF!</v>
      </c>
      <c r="K78" s="1" t="e">
        <f t="shared" si="4"/>
        <v>#REF!</v>
      </c>
      <c r="L78" t="s">
        <v>20</v>
      </c>
      <c r="M78" t="e">
        <f>VLOOKUP(A78,#REF!,6,FALSE)</f>
        <v>#REF!</v>
      </c>
    </row>
    <row r="79" spans="1:13" x14ac:dyDescent="0.25">
      <c r="A79">
        <v>228</v>
      </c>
      <c r="B79" t="s">
        <v>18</v>
      </c>
      <c r="C79" t="s">
        <v>28</v>
      </c>
      <c r="D79" s="10">
        <v>45385</v>
      </c>
      <c r="E79" s="7" t="s">
        <v>83</v>
      </c>
      <c r="F79" s="19"/>
      <c r="G79" s="19">
        <v>70.89</v>
      </c>
      <c r="H79" s="19">
        <v>23438.799999999999</v>
      </c>
      <c r="I79" s="1">
        <f t="shared" si="3"/>
        <v>-70.89</v>
      </c>
      <c r="J79" s="1" t="e">
        <f t="shared" si="5"/>
        <v>#REF!</v>
      </c>
      <c r="K79" s="1" t="e">
        <f t="shared" si="4"/>
        <v>#REF!</v>
      </c>
      <c r="L79" t="s">
        <v>19</v>
      </c>
      <c r="M79" t="e">
        <f>VLOOKUP(A79,#REF!,6,FALSE)</f>
        <v>#REF!</v>
      </c>
    </row>
    <row r="80" spans="1:13" x14ac:dyDescent="0.25">
      <c r="A80">
        <v>229</v>
      </c>
      <c r="B80" t="s">
        <v>18</v>
      </c>
      <c r="C80" t="s">
        <v>28</v>
      </c>
      <c r="D80" s="10">
        <v>45385</v>
      </c>
      <c r="E80" s="7" t="s">
        <v>42</v>
      </c>
      <c r="F80" s="19"/>
      <c r="G80" s="19">
        <v>72</v>
      </c>
      <c r="H80" s="19">
        <v>23366.799999999999</v>
      </c>
      <c r="I80" s="1">
        <f t="shared" si="3"/>
        <v>-72</v>
      </c>
      <c r="J80" s="1" t="e">
        <f t="shared" si="5"/>
        <v>#REF!</v>
      </c>
      <c r="K80" s="1" t="e">
        <f t="shared" si="4"/>
        <v>#REF!</v>
      </c>
      <c r="L80" t="s">
        <v>25</v>
      </c>
      <c r="M80" t="e">
        <f>VLOOKUP(A80,#REF!,6,FALSE)</f>
        <v>#REF!</v>
      </c>
    </row>
    <row r="81" spans="1:13" x14ac:dyDescent="0.25">
      <c r="A81">
        <v>230</v>
      </c>
      <c r="B81" t="s">
        <v>18</v>
      </c>
      <c r="C81" t="s">
        <v>28</v>
      </c>
      <c r="D81" s="10">
        <v>45386</v>
      </c>
      <c r="E81" s="7" t="s">
        <v>84</v>
      </c>
      <c r="F81" s="19"/>
      <c r="G81" s="19">
        <v>10.5</v>
      </c>
      <c r="H81" s="19">
        <v>23356.3</v>
      </c>
      <c r="I81" s="1">
        <f t="shared" si="3"/>
        <v>-10.5</v>
      </c>
      <c r="J81" s="1" t="e">
        <f t="shared" si="5"/>
        <v>#REF!</v>
      </c>
      <c r="K81" s="1" t="e">
        <f t="shared" si="4"/>
        <v>#REF!</v>
      </c>
      <c r="L81" t="s">
        <v>21</v>
      </c>
      <c r="M81" t="e">
        <f>VLOOKUP(A81,#REF!,6,FALSE)</f>
        <v>#REF!</v>
      </c>
    </row>
    <row r="82" spans="1:13" x14ac:dyDescent="0.25">
      <c r="A82">
        <v>231</v>
      </c>
      <c r="B82" t="s">
        <v>18</v>
      </c>
      <c r="C82" t="s">
        <v>28</v>
      </c>
      <c r="D82" s="10">
        <v>45387</v>
      </c>
      <c r="E82" s="7" t="s">
        <v>40</v>
      </c>
      <c r="F82" s="19">
        <v>800</v>
      </c>
      <c r="G82" s="19"/>
      <c r="H82" s="19">
        <v>24156.3</v>
      </c>
      <c r="I82" s="1">
        <f t="shared" si="3"/>
        <v>800</v>
      </c>
      <c r="J82" s="1" t="e">
        <f t="shared" si="5"/>
        <v>#REF!</v>
      </c>
      <c r="K82" s="1" t="e">
        <f t="shared" si="4"/>
        <v>#REF!</v>
      </c>
      <c r="L82" t="s">
        <v>17</v>
      </c>
      <c r="M82" t="e">
        <f>VLOOKUP(A82,#REF!,6,FALSE)</f>
        <v>#REF!</v>
      </c>
    </row>
    <row r="83" spans="1:13" x14ac:dyDescent="0.25">
      <c r="A83">
        <v>232</v>
      </c>
      <c r="B83" t="s">
        <v>18</v>
      </c>
      <c r="C83" t="s">
        <v>28</v>
      </c>
      <c r="D83" s="10">
        <v>45387</v>
      </c>
      <c r="E83" s="7" t="s">
        <v>85</v>
      </c>
      <c r="F83" s="19"/>
      <c r="G83" s="19">
        <v>2.6</v>
      </c>
      <c r="H83" s="19">
        <v>24153.7</v>
      </c>
      <c r="I83" s="1">
        <f t="shared" si="3"/>
        <v>-2.6</v>
      </c>
      <c r="J83" s="1" t="e">
        <f t="shared" si="5"/>
        <v>#REF!</v>
      </c>
      <c r="K83" s="1" t="e">
        <f t="shared" si="4"/>
        <v>#REF!</v>
      </c>
      <c r="L83" t="s">
        <v>22</v>
      </c>
      <c r="M83" t="e">
        <f>VLOOKUP(A83,#REF!,6,FALSE)</f>
        <v>#REF!</v>
      </c>
    </row>
    <row r="84" spans="1:13" x14ac:dyDescent="0.25">
      <c r="A84">
        <v>233</v>
      </c>
      <c r="B84" t="s">
        <v>52</v>
      </c>
      <c r="C84" t="s">
        <v>28</v>
      </c>
      <c r="D84" s="10">
        <v>45390</v>
      </c>
      <c r="E84" s="7" t="s">
        <v>86</v>
      </c>
      <c r="F84" s="19"/>
      <c r="G84" s="19">
        <v>1500</v>
      </c>
      <c r="H84" s="19">
        <v>22653.7</v>
      </c>
      <c r="I84" s="1">
        <f t="shared" si="3"/>
        <v>-1500</v>
      </c>
      <c r="J84" s="1" t="e">
        <f t="shared" si="5"/>
        <v>#REF!</v>
      </c>
      <c r="K84" s="1" t="e">
        <f t="shared" si="4"/>
        <v>#REF!</v>
      </c>
      <c r="L84" t="s">
        <v>1</v>
      </c>
      <c r="M84" t="e">
        <f>VLOOKUP(A84,#REF!,6,FALSE)</f>
        <v>#REF!</v>
      </c>
    </row>
    <row r="85" spans="1:13" x14ac:dyDescent="0.25">
      <c r="A85">
        <v>234</v>
      </c>
      <c r="B85" t="s">
        <v>52</v>
      </c>
      <c r="C85" t="s">
        <v>28</v>
      </c>
      <c r="D85" s="10">
        <v>45390</v>
      </c>
      <c r="E85" s="7" t="s">
        <v>87</v>
      </c>
      <c r="F85" s="19"/>
      <c r="G85" s="19">
        <v>3500</v>
      </c>
      <c r="H85" s="19">
        <v>19153.7</v>
      </c>
      <c r="I85" s="1">
        <f t="shared" si="3"/>
        <v>-3500</v>
      </c>
      <c r="J85" s="1" t="e">
        <f t="shared" si="5"/>
        <v>#REF!</v>
      </c>
      <c r="K85" s="1" t="e">
        <f t="shared" si="4"/>
        <v>#REF!</v>
      </c>
      <c r="L85" t="s">
        <v>1</v>
      </c>
      <c r="M85" t="e">
        <f>VLOOKUP(A85,#REF!,6,FALSE)</f>
        <v>#REF!</v>
      </c>
    </row>
    <row r="86" spans="1:13" x14ac:dyDescent="0.25">
      <c r="A86">
        <v>235</v>
      </c>
      <c r="B86" t="s">
        <v>52</v>
      </c>
      <c r="C86" t="s">
        <v>28</v>
      </c>
      <c r="D86" s="10">
        <v>45390</v>
      </c>
      <c r="E86" s="7" t="s">
        <v>88</v>
      </c>
      <c r="F86" s="19"/>
      <c r="G86" s="19">
        <v>10.5</v>
      </c>
      <c r="H86" s="19">
        <v>19143.2</v>
      </c>
      <c r="I86" s="1">
        <f t="shared" si="3"/>
        <v>-10.5</v>
      </c>
      <c r="J86" s="1" t="e">
        <f t="shared" si="5"/>
        <v>#REF!</v>
      </c>
      <c r="K86" s="1" t="e">
        <f t="shared" si="4"/>
        <v>#REF!</v>
      </c>
      <c r="L86" t="s">
        <v>21</v>
      </c>
      <c r="M86" t="e">
        <f>VLOOKUP(A86,#REF!,6,FALSE)</f>
        <v>#REF!</v>
      </c>
    </row>
    <row r="87" spans="1:13" x14ac:dyDescent="0.25">
      <c r="A87">
        <v>236</v>
      </c>
      <c r="B87" t="s">
        <v>52</v>
      </c>
      <c r="C87" t="s">
        <v>28</v>
      </c>
      <c r="D87" s="10">
        <v>45391</v>
      </c>
      <c r="E87" s="7" t="s">
        <v>89</v>
      </c>
      <c r="F87" s="19"/>
      <c r="G87" s="19">
        <v>2.6</v>
      </c>
      <c r="H87" s="19">
        <v>19140.599999999999</v>
      </c>
      <c r="I87" s="1">
        <f t="shared" si="3"/>
        <v>-2.6</v>
      </c>
      <c r="J87" s="1" t="e">
        <f t="shared" si="5"/>
        <v>#REF!</v>
      </c>
      <c r="K87" s="1" t="e">
        <f t="shared" si="4"/>
        <v>#REF!</v>
      </c>
      <c r="L87" t="s">
        <v>22</v>
      </c>
      <c r="M87" t="e">
        <f>VLOOKUP(A87,#REF!,6,FALSE)</f>
        <v>#REF!</v>
      </c>
    </row>
    <row r="88" spans="1:13" x14ac:dyDescent="0.25">
      <c r="A88">
        <v>237</v>
      </c>
      <c r="B88" t="s">
        <v>52</v>
      </c>
      <c r="C88" t="s">
        <v>28</v>
      </c>
      <c r="D88" s="10">
        <v>45392</v>
      </c>
      <c r="E88" s="7" t="s">
        <v>90</v>
      </c>
      <c r="F88" s="19"/>
      <c r="G88" s="19">
        <v>10.5</v>
      </c>
      <c r="H88" s="19">
        <v>19130.099999999999</v>
      </c>
      <c r="I88" s="1">
        <f t="shared" si="3"/>
        <v>-10.5</v>
      </c>
      <c r="J88" s="1" t="e">
        <f t="shared" si="5"/>
        <v>#REF!</v>
      </c>
      <c r="K88" s="1" t="e">
        <f t="shared" si="4"/>
        <v>#REF!</v>
      </c>
      <c r="L88" t="s">
        <v>21</v>
      </c>
      <c r="M88" t="e">
        <f>VLOOKUP(A88,#REF!,6,FALSE)</f>
        <v>#REF!</v>
      </c>
    </row>
    <row r="89" spans="1:13" x14ac:dyDescent="0.25">
      <c r="A89">
        <v>238</v>
      </c>
      <c r="B89" t="s">
        <v>52</v>
      </c>
      <c r="C89" t="s">
        <v>28</v>
      </c>
      <c r="D89" s="10">
        <v>45393</v>
      </c>
      <c r="E89" s="7" t="s">
        <v>91</v>
      </c>
      <c r="F89" s="19"/>
      <c r="G89" s="19">
        <v>2.6</v>
      </c>
      <c r="H89" s="19">
        <v>19127.5</v>
      </c>
      <c r="I89" s="1">
        <f t="shared" si="3"/>
        <v>-2.6</v>
      </c>
      <c r="J89" s="1" t="e">
        <f t="shared" si="5"/>
        <v>#REF!</v>
      </c>
      <c r="K89" s="1" t="e">
        <f t="shared" si="4"/>
        <v>#REF!</v>
      </c>
      <c r="L89" t="s">
        <v>22</v>
      </c>
      <c r="M89" t="e">
        <f>VLOOKUP(A89,#REF!,6,FALSE)</f>
        <v>#REF!</v>
      </c>
    </row>
    <row r="90" spans="1:13" x14ac:dyDescent="0.25">
      <c r="A90">
        <v>239</v>
      </c>
      <c r="B90" t="s">
        <v>52</v>
      </c>
      <c r="C90" t="s">
        <v>28</v>
      </c>
      <c r="D90" s="10">
        <v>45394</v>
      </c>
      <c r="E90" s="7" t="s">
        <v>92</v>
      </c>
      <c r="F90" s="19"/>
      <c r="G90" s="19">
        <v>2.6</v>
      </c>
      <c r="H90" s="19">
        <v>19124.900000000001</v>
      </c>
      <c r="I90" s="1">
        <f t="shared" si="3"/>
        <v>-2.6</v>
      </c>
      <c r="J90" s="1" t="e">
        <f t="shared" si="5"/>
        <v>#REF!</v>
      </c>
      <c r="K90" s="1" t="e">
        <f t="shared" si="4"/>
        <v>#REF!</v>
      </c>
      <c r="L90" t="s">
        <v>22</v>
      </c>
      <c r="M90" t="e">
        <f>VLOOKUP(A90,#REF!,6,FALSE)</f>
        <v>#REF!</v>
      </c>
    </row>
    <row r="91" spans="1:13" x14ac:dyDescent="0.25">
      <c r="A91">
        <v>240</v>
      </c>
      <c r="B91" t="s">
        <v>52</v>
      </c>
      <c r="C91" t="s">
        <v>28</v>
      </c>
      <c r="D91" s="10">
        <v>45397</v>
      </c>
      <c r="E91" s="7" t="s">
        <v>93</v>
      </c>
      <c r="F91" s="19">
        <v>1350</v>
      </c>
      <c r="G91" s="19"/>
      <c r="H91" s="19">
        <v>20474.900000000001</v>
      </c>
      <c r="I91" s="1">
        <f t="shared" si="3"/>
        <v>1350</v>
      </c>
      <c r="J91" s="1" t="e">
        <f t="shared" si="5"/>
        <v>#REF!</v>
      </c>
      <c r="K91" s="1" t="e">
        <f t="shared" si="4"/>
        <v>#REF!</v>
      </c>
      <c r="L91" t="s">
        <v>17</v>
      </c>
      <c r="M91" t="e">
        <f>VLOOKUP(A91,#REF!,6,FALSE)</f>
        <v>#REF!</v>
      </c>
    </row>
    <row r="92" spans="1:13" x14ac:dyDescent="0.25">
      <c r="A92">
        <v>241</v>
      </c>
      <c r="B92" t="s">
        <v>52</v>
      </c>
      <c r="C92" t="s">
        <v>28</v>
      </c>
      <c r="D92" s="10">
        <v>45397</v>
      </c>
      <c r="E92" s="7" t="s">
        <v>94</v>
      </c>
      <c r="F92" s="19"/>
      <c r="G92" s="19">
        <v>2.6</v>
      </c>
      <c r="H92" s="19">
        <v>20472.3</v>
      </c>
      <c r="I92" s="1">
        <f t="shared" si="3"/>
        <v>-2.6</v>
      </c>
      <c r="J92" s="1" t="e">
        <f t="shared" si="5"/>
        <v>#REF!</v>
      </c>
      <c r="K92" s="1" t="e">
        <f t="shared" si="4"/>
        <v>#REF!</v>
      </c>
      <c r="L92" t="s">
        <v>22</v>
      </c>
      <c r="M92" t="e">
        <f>VLOOKUP(A92,#REF!,6,FALSE)</f>
        <v>#REF!</v>
      </c>
    </row>
    <row r="93" spans="1:13" x14ac:dyDescent="0.25">
      <c r="A93">
        <v>242</v>
      </c>
      <c r="B93" t="s">
        <v>52</v>
      </c>
      <c r="C93" t="s">
        <v>28</v>
      </c>
      <c r="D93" s="10">
        <v>45397</v>
      </c>
      <c r="E93" s="7" t="s">
        <v>95</v>
      </c>
      <c r="F93" s="19"/>
      <c r="G93" s="19">
        <v>1.43</v>
      </c>
      <c r="H93" s="19">
        <v>20470.87</v>
      </c>
      <c r="I93" s="1">
        <f t="shared" si="3"/>
        <v>-1.43</v>
      </c>
      <c r="J93" s="1" t="e">
        <f t="shared" si="5"/>
        <v>#REF!</v>
      </c>
      <c r="K93" s="1" t="e">
        <f t="shared" si="4"/>
        <v>#REF!</v>
      </c>
      <c r="L93" t="s">
        <v>20</v>
      </c>
      <c r="M93" t="e">
        <f>VLOOKUP(A93,#REF!,6,FALSE)</f>
        <v>#REF!</v>
      </c>
    </row>
    <row r="94" spans="1:13" x14ac:dyDescent="0.25">
      <c r="A94">
        <v>243</v>
      </c>
      <c r="B94" t="s">
        <v>52</v>
      </c>
      <c r="C94" t="s">
        <v>28</v>
      </c>
      <c r="D94" s="10">
        <v>45401</v>
      </c>
      <c r="E94" s="7" t="s">
        <v>96</v>
      </c>
      <c r="F94" s="19">
        <v>1245</v>
      </c>
      <c r="G94" s="19"/>
      <c r="H94" s="19">
        <v>21715.87</v>
      </c>
      <c r="I94" s="1">
        <f t="shared" si="3"/>
        <v>1245</v>
      </c>
      <c r="J94" s="1" t="e">
        <f t="shared" si="5"/>
        <v>#REF!</v>
      </c>
      <c r="K94" s="1" t="e">
        <f t="shared" si="4"/>
        <v>#REF!</v>
      </c>
      <c r="L94" t="s">
        <v>17</v>
      </c>
      <c r="M94" t="e">
        <f>VLOOKUP(A94,#REF!,6,FALSE)</f>
        <v>#REF!</v>
      </c>
    </row>
    <row r="95" spans="1:13" x14ac:dyDescent="0.25">
      <c r="A95">
        <v>244</v>
      </c>
      <c r="B95" t="s">
        <v>52</v>
      </c>
      <c r="C95" t="s">
        <v>28</v>
      </c>
      <c r="D95" s="10">
        <v>45401</v>
      </c>
      <c r="E95" s="7" t="s">
        <v>40</v>
      </c>
      <c r="F95" s="19">
        <v>2500</v>
      </c>
      <c r="G95" s="19"/>
      <c r="H95" s="19">
        <v>24215.87</v>
      </c>
      <c r="I95" s="1">
        <f t="shared" si="3"/>
        <v>2500</v>
      </c>
      <c r="J95" s="1" t="e">
        <f t="shared" si="5"/>
        <v>#REF!</v>
      </c>
      <c r="K95" s="1" t="e">
        <f t="shared" si="4"/>
        <v>#REF!</v>
      </c>
      <c r="L95" t="s">
        <v>17</v>
      </c>
      <c r="M95" t="e">
        <f>VLOOKUP(A95,#REF!,6,FALSE)</f>
        <v>#REF!</v>
      </c>
    </row>
    <row r="96" spans="1:13" x14ac:dyDescent="0.25">
      <c r="A96">
        <v>245</v>
      </c>
      <c r="B96" t="s">
        <v>52</v>
      </c>
      <c r="C96" t="s">
        <v>28</v>
      </c>
      <c r="D96" s="10">
        <v>45401</v>
      </c>
      <c r="E96" s="7" t="s">
        <v>97</v>
      </c>
      <c r="F96" s="19"/>
      <c r="G96" s="19">
        <v>5000</v>
      </c>
      <c r="H96" s="19">
        <v>19215.87</v>
      </c>
      <c r="I96" s="1">
        <f t="shared" si="3"/>
        <v>-5000</v>
      </c>
      <c r="J96" s="1" t="e">
        <f t="shared" si="5"/>
        <v>#REF!</v>
      </c>
      <c r="K96" s="1" t="e">
        <f t="shared" si="4"/>
        <v>#REF!</v>
      </c>
      <c r="L96" t="s">
        <v>1</v>
      </c>
      <c r="M96" t="e">
        <f>VLOOKUP(A96,#REF!,6,FALSE)</f>
        <v>#REF!</v>
      </c>
    </row>
    <row r="97" spans="1:13" x14ac:dyDescent="0.25">
      <c r="A97">
        <v>246</v>
      </c>
      <c r="B97" t="s">
        <v>52</v>
      </c>
      <c r="C97" t="s">
        <v>28</v>
      </c>
      <c r="D97" s="10">
        <v>45413</v>
      </c>
      <c r="E97" s="7" t="s">
        <v>41</v>
      </c>
      <c r="F97" s="19"/>
      <c r="G97" s="19">
        <v>25.42</v>
      </c>
      <c r="H97" s="19">
        <v>19190.45</v>
      </c>
      <c r="I97" s="1">
        <f t="shared" si="3"/>
        <v>-25.42</v>
      </c>
      <c r="J97" s="1" t="e">
        <f t="shared" si="5"/>
        <v>#REF!</v>
      </c>
      <c r="K97" s="1" t="e">
        <f t="shared" si="4"/>
        <v>#REF!</v>
      </c>
      <c r="L97" t="s">
        <v>24</v>
      </c>
      <c r="M97" t="e">
        <f>VLOOKUP(A97,#REF!,6,FALSE)</f>
        <v>#REF!</v>
      </c>
    </row>
    <row r="98" spans="1:13" x14ac:dyDescent="0.25">
      <c r="A98">
        <v>247</v>
      </c>
      <c r="B98" t="s">
        <v>52</v>
      </c>
      <c r="C98" t="s">
        <v>28</v>
      </c>
      <c r="D98" s="10">
        <v>45413</v>
      </c>
      <c r="E98" s="7" t="s">
        <v>98</v>
      </c>
      <c r="F98" s="19"/>
      <c r="G98" s="19">
        <v>72</v>
      </c>
      <c r="H98" s="19">
        <v>19118.45</v>
      </c>
      <c r="I98" s="1">
        <f t="shared" si="3"/>
        <v>-72</v>
      </c>
      <c r="J98" s="1" t="e">
        <f t="shared" si="5"/>
        <v>#REF!</v>
      </c>
      <c r="K98" s="1" t="e">
        <f t="shared" si="4"/>
        <v>#REF!</v>
      </c>
      <c r="L98" t="s">
        <v>25</v>
      </c>
      <c r="M98" t="e">
        <f>VLOOKUP(A98,#REF!,6,FALSE)</f>
        <v>#REF!</v>
      </c>
    </row>
    <row r="99" spans="1:13" x14ac:dyDescent="0.25">
      <c r="A99">
        <v>248</v>
      </c>
      <c r="B99" t="s">
        <v>52</v>
      </c>
      <c r="C99" t="s">
        <v>28</v>
      </c>
      <c r="D99" s="10">
        <v>45414</v>
      </c>
      <c r="E99" s="7" t="s">
        <v>99</v>
      </c>
      <c r="F99" s="19"/>
      <c r="G99" s="19">
        <v>0.6</v>
      </c>
      <c r="H99" s="19">
        <v>19117.849999999999</v>
      </c>
      <c r="I99" s="1">
        <f t="shared" si="3"/>
        <v>-0.6</v>
      </c>
      <c r="J99" s="1" t="e">
        <f t="shared" si="5"/>
        <v>#REF!</v>
      </c>
      <c r="K99" s="1" t="e">
        <f t="shared" si="4"/>
        <v>#REF!</v>
      </c>
      <c r="L99" t="s">
        <v>27</v>
      </c>
      <c r="M99" t="e">
        <f>VLOOKUP(A99,#REF!,6,FALSE)</f>
        <v>#REF!</v>
      </c>
    </row>
    <row r="100" spans="1:13" x14ac:dyDescent="0.25">
      <c r="A100">
        <v>249</v>
      </c>
      <c r="B100" t="s">
        <v>52</v>
      </c>
      <c r="C100" t="s">
        <v>28</v>
      </c>
      <c r="D100" s="10">
        <v>45420</v>
      </c>
      <c r="E100" s="7" t="s">
        <v>100</v>
      </c>
      <c r="F100" s="19"/>
      <c r="G100" s="19">
        <v>2.6</v>
      </c>
      <c r="H100" s="19">
        <v>19115.25</v>
      </c>
      <c r="I100" s="1">
        <f t="shared" si="3"/>
        <v>-2.6</v>
      </c>
      <c r="J100" s="1" t="e">
        <f t="shared" si="5"/>
        <v>#REF!</v>
      </c>
      <c r="K100" s="1" t="e">
        <f t="shared" si="4"/>
        <v>#REF!</v>
      </c>
      <c r="L100" t="s">
        <v>22</v>
      </c>
      <c r="M100" t="e">
        <f>VLOOKUP(A100,#REF!,6,FALSE)</f>
        <v>#REF!</v>
      </c>
    </row>
    <row r="101" spans="1:13" x14ac:dyDescent="0.25">
      <c r="A101">
        <v>250</v>
      </c>
      <c r="B101" t="s">
        <v>52</v>
      </c>
      <c r="C101" t="s">
        <v>28</v>
      </c>
      <c r="D101" s="10">
        <v>45421</v>
      </c>
      <c r="E101" s="7" t="s">
        <v>101</v>
      </c>
      <c r="F101" s="19"/>
      <c r="G101" s="19">
        <v>2.6</v>
      </c>
      <c r="H101" s="19">
        <v>19112.650000000001</v>
      </c>
      <c r="I101" s="1">
        <f t="shared" si="3"/>
        <v>-2.6</v>
      </c>
      <c r="J101" s="1" t="e">
        <f t="shared" si="5"/>
        <v>#REF!</v>
      </c>
      <c r="K101" s="1" t="e">
        <f t="shared" si="4"/>
        <v>#REF!</v>
      </c>
      <c r="L101" t="s">
        <v>22</v>
      </c>
      <c r="M101" t="e">
        <f>VLOOKUP(A101,#REF!,6,FALSE)</f>
        <v>#REF!</v>
      </c>
    </row>
    <row r="102" spans="1:13" x14ac:dyDescent="0.25">
      <c r="A102">
        <v>251</v>
      </c>
      <c r="B102" t="s">
        <v>52</v>
      </c>
      <c r="C102" t="s">
        <v>28</v>
      </c>
      <c r="D102" s="10">
        <v>45422</v>
      </c>
      <c r="E102" s="7" t="s">
        <v>102</v>
      </c>
      <c r="F102" s="19"/>
      <c r="G102" s="19">
        <v>2.6</v>
      </c>
      <c r="H102" s="19">
        <v>19110.05</v>
      </c>
      <c r="I102" s="1">
        <f t="shared" si="3"/>
        <v>-2.6</v>
      </c>
      <c r="J102" s="1" t="e">
        <f t="shared" si="5"/>
        <v>#REF!</v>
      </c>
      <c r="K102" s="1" t="e">
        <f t="shared" si="4"/>
        <v>#REF!</v>
      </c>
      <c r="L102" t="s">
        <v>22</v>
      </c>
      <c r="M102" t="e">
        <f>VLOOKUP(A102,#REF!,6,FALSE)</f>
        <v>#REF!</v>
      </c>
    </row>
    <row r="103" spans="1:13" x14ac:dyDescent="0.25">
      <c r="A103">
        <v>252</v>
      </c>
      <c r="B103" t="s">
        <v>52</v>
      </c>
      <c r="C103" t="s">
        <v>28</v>
      </c>
      <c r="D103" s="10">
        <v>45425</v>
      </c>
      <c r="E103" s="7" t="s">
        <v>103</v>
      </c>
      <c r="F103" s="19"/>
      <c r="G103" s="19">
        <v>2.6</v>
      </c>
      <c r="H103" s="19">
        <v>19107.45</v>
      </c>
      <c r="I103" s="1">
        <f t="shared" si="3"/>
        <v>-2.6</v>
      </c>
      <c r="J103" s="1" t="e">
        <f t="shared" si="5"/>
        <v>#REF!</v>
      </c>
      <c r="K103" s="1" t="e">
        <f t="shared" si="4"/>
        <v>#REF!</v>
      </c>
      <c r="L103" t="s">
        <v>22</v>
      </c>
      <c r="M103" t="e">
        <f>VLOOKUP(A103,#REF!,6,FALSE)</f>
        <v>#REF!</v>
      </c>
    </row>
    <row r="104" spans="1:13" x14ac:dyDescent="0.25">
      <c r="A104">
        <v>253</v>
      </c>
      <c r="B104" t="s">
        <v>52</v>
      </c>
      <c r="C104" t="s">
        <v>28</v>
      </c>
      <c r="D104" s="10">
        <v>45428</v>
      </c>
      <c r="E104" s="7" t="s">
        <v>104</v>
      </c>
      <c r="F104" s="19"/>
      <c r="G104" s="19">
        <v>2.6</v>
      </c>
      <c r="H104" s="19">
        <v>19104.849999999999</v>
      </c>
      <c r="I104" s="1">
        <f t="shared" si="3"/>
        <v>-2.6</v>
      </c>
      <c r="J104" s="1" t="e">
        <f t="shared" si="5"/>
        <v>#REF!</v>
      </c>
      <c r="K104" s="1" t="e">
        <f t="shared" si="4"/>
        <v>#REF!</v>
      </c>
      <c r="L104" t="s">
        <v>22</v>
      </c>
      <c r="M104" t="e">
        <f>VLOOKUP(A104,#REF!,6,FALSE)</f>
        <v>#REF!</v>
      </c>
    </row>
    <row r="105" spans="1:13" x14ac:dyDescent="0.25">
      <c r="A105">
        <v>254</v>
      </c>
      <c r="B105" t="s">
        <v>52</v>
      </c>
      <c r="C105" t="s">
        <v>28</v>
      </c>
      <c r="D105" s="10">
        <v>45429</v>
      </c>
      <c r="E105" s="7" t="s">
        <v>105</v>
      </c>
      <c r="F105" s="19"/>
      <c r="G105" s="19">
        <v>2.6</v>
      </c>
      <c r="H105" s="19">
        <v>19102.25</v>
      </c>
      <c r="I105" s="1">
        <f t="shared" si="3"/>
        <v>-2.6</v>
      </c>
      <c r="J105" s="1" t="e">
        <f t="shared" si="5"/>
        <v>#REF!</v>
      </c>
      <c r="K105" s="1" t="e">
        <f t="shared" si="4"/>
        <v>#REF!</v>
      </c>
      <c r="L105" t="s">
        <v>22</v>
      </c>
      <c r="M105" t="e">
        <f>VLOOKUP(A105,#REF!,6,FALSE)</f>
        <v>#REF!</v>
      </c>
    </row>
    <row r="106" spans="1:13" x14ac:dyDescent="0.25">
      <c r="A106">
        <v>255</v>
      </c>
      <c r="B106" t="s">
        <v>52</v>
      </c>
      <c r="C106" t="s">
        <v>28</v>
      </c>
      <c r="D106" s="10">
        <v>45432</v>
      </c>
      <c r="E106" s="7" t="s">
        <v>106</v>
      </c>
      <c r="F106" s="19"/>
      <c r="G106" s="19">
        <v>5000</v>
      </c>
      <c r="H106" s="19">
        <v>14102.25</v>
      </c>
      <c r="I106" s="1">
        <f t="shared" si="3"/>
        <v>-5000</v>
      </c>
      <c r="J106" s="1" t="e">
        <f t="shared" si="5"/>
        <v>#REF!</v>
      </c>
      <c r="K106" s="1" t="e">
        <f t="shared" si="4"/>
        <v>#REF!</v>
      </c>
      <c r="L106" t="s">
        <v>1</v>
      </c>
      <c r="M106" t="e">
        <f>VLOOKUP(A106,#REF!,6,FALSE)</f>
        <v>#REF!</v>
      </c>
    </row>
    <row r="107" spans="1:13" x14ac:dyDescent="0.25">
      <c r="A107">
        <v>256</v>
      </c>
      <c r="B107" t="s">
        <v>52</v>
      </c>
      <c r="C107" t="s">
        <v>28</v>
      </c>
      <c r="D107" s="10">
        <v>45432</v>
      </c>
      <c r="E107" s="7" t="s">
        <v>107</v>
      </c>
      <c r="F107" s="19"/>
      <c r="G107" s="19">
        <v>2.6</v>
      </c>
      <c r="H107" s="19">
        <v>14099.65</v>
      </c>
      <c r="I107" s="1">
        <f t="shared" si="3"/>
        <v>-2.6</v>
      </c>
      <c r="J107" s="1" t="e">
        <f t="shared" si="5"/>
        <v>#REF!</v>
      </c>
      <c r="K107" s="1" t="e">
        <f t="shared" si="4"/>
        <v>#REF!</v>
      </c>
      <c r="L107" t="s">
        <v>22</v>
      </c>
      <c r="M107" t="e">
        <f>VLOOKUP(A107,#REF!,6,FALSE)</f>
        <v>#REF!</v>
      </c>
    </row>
    <row r="108" spans="1:13" x14ac:dyDescent="0.25">
      <c r="A108">
        <v>257</v>
      </c>
      <c r="B108" t="s">
        <v>52</v>
      </c>
      <c r="C108" t="s">
        <v>28</v>
      </c>
      <c r="D108" s="10">
        <v>45433</v>
      </c>
      <c r="E108" s="7" t="s">
        <v>108</v>
      </c>
      <c r="F108" s="19"/>
      <c r="G108" s="19">
        <v>50</v>
      </c>
      <c r="H108" s="19">
        <v>14049.65</v>
      </c>
      <c r="I108" s="1">
        <f t="shared" ref="I108:I171" si="6">F108-G108</f>
        <v>-50</v>
      </c>
      <c r="J108" s="1" t="e">
        <f t="shared" si="5"/>
        <v>#REF!</v>
      </c>
      <c r="K108" s="1" t="e">
        <f t="shared" ref="K108:K171" si="7">H108-J108</f>
        <v>#REF!</v>
      </c>
      <c r="L108" t="s">
        <v>225</v>
      </c>
      <c r="M108" t="e">
        <f>VLOOKUP(A108,#REF!,6,FALSE)</f>
        <v>#REF!</v>
      </c>
    </row>
    <row r="109" spans="1:13" x14ac:dyDescent="0.25">
      <c r="A109">
        <v>258</v>
      </c>
      <c r="B109" t="s">
        <v>52</v>
      </c>
      <c r="C109" t="s">
        <v>28</v>
      </c>
      <c r="D109" s="10">
        <v>45433</v>
      </c>
      <c r="E109" s="7" t="s">
        <v>109</v>
      </c>
      <c r="F109" s="19"/>
      <c r="G109" s="19">
        <v>2.6</v>
      </c>
      <c r="H109" s="19">
        <v>14047.05</v>
      </c>
      <c r="I109" s="1">
        <f t="shared" si="6"/>
        <v>-2.6</v>
      </c>
      <c r="J109" s="1" t="e">
        <f t="shared" ref="J109:J172" si="8">J108+I109</f>
        <v>#REF!</v>
      </c>
      <c r="K109" s="1" t="e">
        <f t="shared" si="7"/>
        <v>#REF!</v>
      </c>
      <c r="L109" t="s">
        <v>22</v>
      </c>
      <c r="M109" t="e">
        <f>VLOOKUP(A109,#REF!,6,FALSE)</f>
        <v>#REF!</v>
      </c>
    </row>
    <row r="110" spans="1:13" x14ac:dyDescent="0.25">
      <c r="A110">
        <v>259</v>
      </c>
      <c r="B110" t="s">
        <v>52</v>
      </c>
      <c r="C110" t="s">
        <v>28</v>
      </c>
      <c r="D110" s="10">
        <v>45434</v>
      </c>
      <c r="E110" s="7" t="s">
        <v>110</v>
      </c>
      <c r="F110" s="19"/>
      <c r="G110" s="19">
        <v>2.6</v>
      </c>
      <c r="H110" s="19">
        <v>14044.45</v>
      </c>
      <c r="I110" s="1">
        <f t="shared" si="6"/>
        <v>-2.6</v>
      </c>
      <c r="J110" s="1" t="e">
        <f t="shared" si="8"/>
        <v>#REF!</v>
      </c>
      <c r="K110" s="1" t="e">
        <f t="shared" si="7"/>
        <v>#REF!</v>
      </c>
      <c r="L110" t="s">
        <v>22</v>
      </c>
      <c r="M110" t="e">
        <f>VLOOKUP(A110,#REF!,6,FALSE)</f>
        <v>#REF!</v>
      </c>
    </row>
    <row r="111" spans="1:13" x14ac:dyDescent="0.25">
      <c r="A111">
        <v>260</v>
      </c>
      <c r="B111" t="s">
        <v>52</v>
      </c>
      <c r="C111" t="s">
        <v>28</v>
      </c>
      <c r="D111" s="10">
        <v>45435</v>
      </c>
      <c r="E111" s="7" t="s">
        <v>111</v>
      </c>
      <c r="F111" s="19"/>
      <c r="G111" s="19">
        <v>2.6</v>
      </c>
      <c r="H111" s="19">
        <v>14041.85</v>
      </c>
      <c r="I111" s="1">
        <f t="shared" si="6"/>
        <v>-2.6</v>
      </c>
      <c r="J111" s="1" t="e">
        <f t="shared" si="8"/>
        <v>#REF!</v>
      </c>
      <c r="K111" s="1" t="e">
        <f t="shared" si="7"/>
        <v>#REF!</v>
      </c>
      <c r="L111" t="s">
        <v>22</v>
      </c>
      <c r="M111" t="e">
        <f>VLOOKUP(A111,#REF!,6,FALSE)</f>
        <v>#REF!</v>
      </c>
    </row>
    <row r="112" spans="1:13" x14ac:dyDescent="0.25">
      <c r="A112">
        <v>261</v>
      </c>
      <c r="B112" t="s">
        <v>52</v>
      </c>
      <c r="C112" t="s">
        <v>28</v>
      </c>
      <c r="D112" s="10">
        <v>45436</v>
      </c>
      <c r="E112" s="7" t="s">
        <v>40</v>
      </c>
      <c r="F112" s="19">
        <v>4000</v>
      </c>
      <c r="G112" s="19"/>
      <c r="H112" s="19">
        <v>18041.849999999999</v>
      </c>
      <c r="I112" s="1">
        <f t="shared" si="6"/>
        <v>4000</v>
      </c>
      <c r="J112" s="1" t="e">
        <f t="shared" si="8"/>
        <v>#REF!</v>
      </c>
      <c r="K112" s="1" t="e">
        <f t="shared" si="7"/>
        <v>#REF!</v>
      </c>
      <c r="L112" t="s">
        <v>17</v>
      </c>
      <c r="M112" t="e">
        <f>VLOOKUP(A112,#REF!,6,FALSE)</f>
        <v>#REF!</v>
      </c>
    </row>
    <row r="113" spans="1:13" x14ac:dyDescent="0.25">
      <c r="A113">
        <v>262</v>
      </c>
      <c r="B113" t="s">
        <v>52</v>
      </c>
      <c r="C113" t="s">
        <v>28</v>
      </c>
      <c r="D113" s="10">
        <v>45436</v>
      </c>
      <c r="E113" s="7" t="s">
        <v>112</v>
      </c>
      <c r="F113" s="19"/>
      <c r="G113" s="19">
        <v>2.6</v>
      </c>
      <c r="H113" s="19">
        <v>18039.25</v>
      </c>
      <c r="I113" s="1">
        <f t="shared" si="6"/>
        <v>-2.6</v>
      </c>
      <c r="J113" s="1" t="e">
        <f t="shared" si="8"/>
        <v>#REF!</v>
      </c>
      <c r="K113" s="1" t="e">
        <f t="shared" si="7"/>
        <v>#REF!</v>
      </c>
      <c r="L113" t="s">
        <v>22</v>
      </c>
      <c r="M113" t="e">
        <f>VLOOKUP(A113,#REF!,6,FALSE)</f>
        <v>#REF!</v>
      </c>
    </row>
    <row r="114" spans="1:13" x14ac:dyDescent="0.25">
      <c r="A114">
        <v>263</v>
      </c>
      <c r="B114" t="s">
        <v>52</v>
      </c>
      <c r="C114" t="s">
        <v>28</v>
      </c>
      <c r="D114" s="10">
        <v>45446</v>
      </c>
      <c r="E114" s="7" t="s">
        <v>41</v>
      </c>
      <c r="F114" s="19"/>
      <c r="G114" s="19">
        <v>25.42</v>
      </c>
      <c r="H114" s="19">
        <v>18013.830000000002</v>
      </c>
      <c r="I114" s="1">
        <f t="shared" si="6"/>
        <v>-25.42</v>
      </c>
      <c r="J114" s="1" t="e">
        <f t="shared" si="8"/>
        <v>#REF!</v>
      </c>
      <c r="K114" s="1" t="e">
        <f t="shared" si="7"/>
        <v>#REF!</v>
      </c>
      <c r="L114" t="s">
        <v>24</v>
      </c>
      <c r="M114" t="e">
        <f>VLOOKUP(A114,#REF!,6,FALSE)</f>
        <v>#REF!</v>
      </c>
    </row>
    <row r="115" spans="1:13" x14ac:dyDescent="0.25">
      <c r="A115">
        <v>264</v>
      </c>
      <c r="B115" t="s">
        <v>52</v>
      </c>
      <c r="C115" t="s">
        <v>28</v>
      </c>
      <c r="D115" s="10">
        <v>45446</v>
      </c>
      <c r="E115" s="7" t="s">
        <v>98</v>
      </c>
      <c r="F115" s="19"/>
      <c r="G115" s="19">
        <v>72</v>
      </c>
      <c r="H115" s="19">
        <v>17941.830000000002</v>
      </c>
      <c r="I115" s="1">
        <f t="shared" si="6"/>
        <v>-72</v>
      </c>
      <c r="J115" s="1" t="e">
        <f t="shared" si="8"/>
        <v>#REF!</v>
      </c>
      <c r="K115" s="1" t="e">
        <f t="shared" si="7"/>
        <v>#REF!</v>
      </c>
      <c r="L115" t="s">
        <v>25</v>
      </c>
      <c r="M115" t="e">
        <f>VLOOKUP(A115,#REF!,6,FALSE)</f>
        <v>#REF!</v>
      </c>
    </row>
    <row r="116" spans="1:13" x14ac:dyDescent="0.25">
      <c r="A116">
        <v>265</v>
      </c>
      <c r="B116" t="s">
        <v>52</v>
      </c>
      <c r="C116" t="s">
        <v>28</v>
      </c>
      <c r="D116" s="10">
        <v>45447</v>
      </c>
      <c r="E116" s="7" t="s">
        <v>113</v>
      </c>
      <c r="F116" s="19"/>
      <c r="G116" s="19">
        <v>50</v>
      </c>
      <c r="H116" s="19">
        <v>17891.830000000002</v>
      </c>
      <c r="I116" s="1">
        <f t="shared" si="6"/>
        <v>-50</v>
      </c>
      <c r="J116" s="1" t="e">
        <f t="shared" si="8"/>
        <v>#REF!</v>
      </c>
      <c r="K116" s="1" t="e">
        <f t="shared" si="7"/>
        <v>#REF!</v>
      </c>
      <c r="L116" t="s">
        <v>21</v>
      </c>
      <c r="M116" t="e">
        <f>VLOOKUP(A116,#REF!,6,FALSE)</f>
        <v>#REF!</v>
      </c>
    </row>
    <row r="117" spans="1:13" x14ac:dyDescent="0.25">
      <c r="A117">
        <v>266</v>
      </c>
      <c r="B117" t="s">
        <v>52</v>
      </c>
      <c r="C117" t="s">
        <v>28</v>
      </c>
      <c r="D117" s="10">
        <v>45447</v>
      </c>
      <c r="E117" s="7" t="s">
        <v>114</v>
      </c>
      <c r="F117" s="19"/>
      <c r="G117" s="19">
        <v>50</v>
      </c>
      <c r="H117" s="19">
        <v>17841.830000000002</v>
      </c>
      <c r="I117" s="1">
        <f t="shared" si="6"/>
        <v>-50</v>
      </c>
      <c r="J117" s="1" t="e">
        <f t="shared" si="8"/>
        <v>#REF!</v>
      </c>
      <c r="K117" s="1" t="e">
        <f t="shared" si="7"/>
        <v>#REF!</v>
      </c>
      <c r="L117" t="s">
        <v>21</v>
      </c>
      <c r="M117" t="e">
        <f>VLOOKUP(A117,#REF!,6,FALSE)</f>
        <v>#REF!</v>
      </c>
    </row>
    <row r="118" spans="1:13" x14ac:dyDescent="0.25">
      <c r="A118">
        <v>267</v>
      </c>
      <c r="B118" t="s">
        <v>52</v>
      </c>
      <c r="C118" t="s">
        <v>28</v>
      </c>
      <c r="D118" s="10">
        <v>45449</v>
      </c>
      <c r="E118" s="7" t="s">
        <v>115</v>
      </c>
      <c r="F118" s="19"/>
      <c r="G118" s="19">
        <v>50.28</v>
      </c>
      <c r="H118" s="19">
        <v>17791.55</v>
      </c>
      <c r="I118" s="1">
        <f t="shared" si="6"/>
        <v>-50.28</v>
      </c>
      <c r="J118" s="1" t="e">
        <f t="shared" si="8"/>
        <v>#REF!</v>
      </c>
      <c r="K118" s="1" t="e">
        <f t="shared" si="7"/>
        <v>#REF!</v>
      </c>
      <c r="L118" t="s">
        <v>19</v>
      </c>
      <c r="M118" t="e">
        <f>VLOOKUP(A118,#REF!,6,FALSE)</f>
        <v>#REF!</v>
      </c>
    </row>
    <row r="119" spans="1:13" x14ac:dyDescent="0.25">
      <c r="A119">
        <v>268</v>
      </c>
      <c r="B119" t="s">
        <v>52</v>
      </c>
      <c r="C119" t="s">
        <v>28</v>
      </c>
      <c r="D119" s="10">
        <v>45453</v>
      </c>
      <c r="E119" s="7" t="s">
        <v>116</v>
      </c>
      <c r="F119" s="19"/>
      <c r="G119" s="19">
        <v>5000</v>
      </c>
      <c r="H119" s="19">
        <v>12791.55</v>
      </c>
      <c r="I119" s="1">
        <f t="shared" si="6"/>
        <v>-5000</v>
      </c>
      <c r="J119" s="1" t="e">
        <f t="shared" si="8"/>
        <v>#REF!</v>
      </c>
      <c r="K119" s="1" t="e">
        <f t="shared" si="7"/>
        <v>#REF!</v>
      </c>
      <c r="L119" t="s">
        <v>1</v>
      </c>
      <c r="M119" t="e">
        <f>VLOOKUP(A119,#REF!,6,FALSE)</f>
        <v>#REF!</v>
      </c>
    </row>
    <row r="120" spans="1:13" x14ac:dyDescent="0.25">
      <c r="A120">
        <v>269</v>
      </c>
      <c r="B120" t="s">
        <v>52</v>
      </c>
      <c r="C120" t="s">
        <v>28</v>
      </c>
      <c r="D120" s="10">
        <v>45455</v>
      </c>
      <c r="E120" s="7" t="s">
        <v>40</v>
      </c>
      <c r="F120" s="19">
        <v>4000</v>
      </c>
      <c r="H120" s="19">
        <v>16791.55</v>
      </c>
      <c r="I120" s="1">
        <f t="shared" si="6"/>
        <v>4000</v>
      </c>
      <c r="J120" s="1" t="e">
        <f t="shared" si="8"/>
        <v>#REF!</v>
      </c>
      <c r="K120" s="1" t="e">
        <f t="shared" si="7"/>
        <v>#REF!</v>
      </c>
      <c r="L120" t="s">
        <v>17</v>
      </c>
      <c r="M120" t="e">
        <f>VLOOKUP(A120,#REF!,6,FALSE)</f>
        <v>#REF!</v>
      </c>
    </row>
    <row r="121" spans="1:13" x14ac:dyDescent="0.25">
      <c r="A121">
        <v>270</v>
      </c>
      <c r="B121" t="s">
        <v>52</v>
      </c>
      <c r="C121" t="s">
        <v>28</v>
      </c>
      <c r="D121" s="10">
        <v>45457</v>
      </c>
      <c r="E121" s="7" t="s">
        <v>40</v>
      </c>
      <c r="F121" s="19">
        <v>424</v>
      </c>
      <c r="G121" s="19"/>
      <c r="H121" s="19">
        <v>17215.55</v>
      </c>
      <c r="I121" s="1">
        <f t="shared" si="6"/>
        <v>424</v>
      </c>
      <c r="J121" s="1" t="e">
        <f t="shared" si="8"/>
        <v>#REF!</v>
      </c>
      <c r="K121" s="1" t="e">
        <f t="shared" si="7"/>
        <v>#REF!</v>
      </c>
      <c r="L121" t="s">
        <v>17</v>
      </c>
      <c r="M121" t="e">
        <f>VLOOKUP(A121,#REF!,6,FALSE)</f>
        <v>#REF!</v>
      </c>
    </row>
    <row r="122" spans="1:13" x14ac:dyDescent="0.25">
      <c r="A122">
        <v>271</v>
      </c>
      <c r="B122" t="s">
        <v>52</v>
      </c>
      <c r="C122" t="s">
        <v>28</v>
      </c>
      <c r="D122" s="10">
        <v>45460</v>
      </c>
      <c r="E122" s="7" t="s">
        <v>117</v>
      </c>
      <c r="F122" s="19"/>
      <c r="G122" s="19">
        <v>500</v>
      </c>
      <c r="H122" s="19">
        <v>16715.55</v>
      </c>
      <c r="I122" s="1">
        <f t="shared" si="6"/>
        <v>-500</v>
      </c>
      <c r="J122" s="1" t="e">
        <f t="shared" si="8"/>
        <v>#REF!</v>
      </c>
      <c r="K122" s="1" t="e">
        <f t="shared" si="7"/>
        <v>#REF!</v>
      </c>
      <c r="L122" t="s">
        <v>1</v>
      </c>
      <c r="M122" t="e">
        <f>VLOOKUP(A122,#REF!,6,FALSE)</f>
        <v>#REF!</v>
      </c>
    </row>
    <row r="123" spans="1:13" x14ac:dyDescent="0.25">
      <c r="A123">
        <v>272</v>
      </c>
      <c r="B123" t="s">
        <v>52</v>
      </c>
      <c r="C123" t="s">
        <v>28</v>
      </c>
      <c r="D123" s="10">
        <v>45460</v>
      </c>
      <c r="E123" s="7" t="s">
        <v>118</v>
      </c>
      <c r="F123" s="19"/>
      <c r="G123" s="19">
        <v>500</v>
      </c>
      <c r="H123" s="19">
        <v>16215.55</v>
      </c>
      <c r="I123" s="1">
        <f t="shared" si="6"/>
        <v>-500</v>
      </c>
      <c r="J123" s="1" t="e">
        <f t="shared" si="8"/>
        <v>#REF!</v>
      </c>
      <c r="K123" s="1" t="e">
        <f t="shared" si="7"/>
        <v>#REF!</v>
      </c>
      <c r="L123" t="s">
        <v>1</v>
      </c>
      <c r="M123" t="e">
        <f>VLOOKUP(A123,#REF!,6,FALSE)</f>
        <v>#REF!</v>
      </c>
    </row>
    <row r="124" spans="1:13" x14ac:dyDescent="0.25">
      <c r="A124">
        <v>273</v>
      </c>
      <c r="B124" t="s">
        <v>52</v>
      </c>
      <c r="C124" t="s">
        <v>28</v>
      </c>
      <c r="D124" s="10">
        <v>45462</v>
      </c>
      <c r="E124" s="7" t="s">
        <v>119</v>
      </c>
      <c r="F124" s="19"/>
      <c r="G124" s="19">
        <v>10.5</v>
      </c>
      <c r="H124" s="19">
        <v>16205.05</v>
      </c>
      <c r="I124" s="1">
        <f t="shared" si="6"/>
        <v>-10.5</v>
      </c>
      <c r="J124" s="1" t="e">
        <f t="shared" si="8"/>
        <v>#REF!</v>
      </c>
      <c r="K124" s="1" t="e">
        <f t="shared" si="7"/>
        <v>#REF!</v>
      </c>
      <c r="L124" t="s">
        <v>21</v>
      </c>
      <c r="M124" t="e">
        <f>VLOOKUP(A124,#REF!,6,FALSE)</f>
        <v>#REF!</v>
      </c>
    </row>
    <row r="125" spans="1:13" x14ac:dyDescent="0.25">
      <c r="A125">
        <v>274</v>
      </c>
      <c r="B125" t="s">
        <v>52</v>
      </c>
      <c r="C125" t="s">
        <v>28</v>
      </c>
      <c r="D125" s="10">
        <v>45463</v>
      </c>
      <c r="E125" s="7" t="s">
        <v>120</v>
      </c>
      <c r="F125" s="19">
        <v>1255</v>
      </c>
      <c r="G125" s="19"/>
      <c r="H125" s="19">
        <v>17460.05</v>
      </c>
      <c r="I125" s="1">
        <f t="shared" si="6"/>
        <v>1255</v>
      </c>
      <c r="J125" s="1" t="e">
        <f t="shared" si="8"/>
        <v>#REF!</v>
      </c>
      <c r="K125" s="1" t="e">
        <f t="shared" si="7"/>
        <v>#REF!</v>
      </c>
      <c r="L125" t="s">
        <v>17</v>
      </c>
      <c r="M125" t="e">
        <f>VLOOKUP(A125,#REF!,6,FALSE)</f>
        <v>#REF!</v>
      </c>
    </row>
    <row r="126" spans="1:13" x14ac:dyDescent="0.25">
      <c r="A126">
        <v>275</v>
      </c>
      <c r="B126" t="s">
        <v>52</v>
      </c>
      <c r="C126" t="s">
        <v>28</v>
      </c>
      <c r="D126" s="10">
        <v>45464</v>
      </c>
      <c r="E126" s="7" t="s">
        <v>121</v>
      </c>
      <c r="F126" s="19"/>
      <c r="G126" s="19">
        <v>4000</v>
      </c>
      <c r="H126" s="19">
        <v>13460.05</v>
      </c>
      <c r="I126" s="1">
        <f t="shared" si="6"/>
        <v>-4000</v>
      </c>
      <c r="J126" s="1" t="e">
        <f t="shared" si="8"/>
        <v>#REF!</v>
      </c>
      <c r="K126" s="1" t="e">
        <f t="shared" si="7"/>
        <v>#REF!</v>
      </c>
      <c r="L126" t="s">
        <v>1</v>
      </c>
      <c r="M126" t="e">
        <f>VLOOKUP(A126,#REF!,6,FALSE)</f>
        <v>#REF!</v>
      </c>
    </row>
    <row r="127" spans="1:13" x14ac:dyDescent="0.25">
      <c r="A127">
        <v>276</v>
      </c>
      <c r="B127" t="s">
        <v>52</v>
      </c>
      <c r="C127" t="s">
        <v>28</v>
      </c>
      <c r="D127" s="10">
        <v>45470</v>
      </c>
      <c r="E127" s="7" t="s">
        <v>122</v>
      </c>
      <c r="F127" s="19"/>
      <c r="G127" s="19">
        <v>613</v>
      </c>
      <c r="H127" s="19">
        <v>12847.05</v>
      </c>
      <c r="I127" s="1">
        <f t="shared" si="6"/>
        <v>-613</v>
      </c>
      <c r="J127" s="1" t="e">
        <f t="shared" si="8"/>
        <v>#REF!</v>
      </c>
      <c r="K127" s="1" t="e">
        <f t="shared" si="7"/>
        <v>#REF!</v>
      </c>
      <c r="L127" t="s">
        <v>192</v>
      </c>
      <c r="M127" t="e">
        <f>VLOOKUP(A127,#REF!,6,FALSE)</f>
        <v>#REF!</v>
      </c>
    </row>
    <row r="128" spans="1:13" x14ac:dyDescent="0.25">
      <c r="A128">
        <v>277</v>
      </c>
      <c r="B128" t="s">
        <v>52</v>
      </c>
      <c r="C128" t="s">
        <v>28</v>
      </c>
      <c r="D128" s="10">
        <v>45471</v>
      </c>
      <c r="E128" s="7" t="s">
        <v>123</v>
      </c>
      <c r="F128" s="19"/>
      <c r="G128" s="19">
        <v>3.7</v>
      </c>
      <c r="H128" s="19">
        <v>12843.35</v>
      </c>
      <c r="I128" s="1">
        <f t="shared" si="6"/>
        <v>-3.7</v>
      </c>
      <c r="J128" s="1" t="e">
        <f t="shared" si="8"/>
        <v>#REF!</v>
      </c>
      <c r="K128" s="1" t="e">
        <f t="shared" si="7"/>
        <v>#REF!</v>
      </c>
      <c r="L128" t="s">
        <v>21</v>
      </c>
      <c r="M128" t="e">
        <f>VLOOKUP(A128,#REF!,6,FALSE)</f>
        <v>#REF!</v>
      </c>
    </row>
    <row r="129" spans="1:13" x14ac:dyDescent="0.25">
      <c r="A129">
        <v>278</v>
      </c>
      <c r="B129" t="s">
        <v>52</v>
      </c>
      <c r="C129" t="s">
        <v>28</v>
      </c>
      <c r="D129" s="10">
        <v>45474</v>
      </c>
      <c r="E129" s="7" t="s">
        <v>98</v>
      </c>
      <c r="F129" s="19"/>
      <c r="G129" s="19">
        <v>72</v>
      </c>
      <c r="H129" s="19">
        <v>12771.35</v>
      </c>
      <c r="I129" s="1">
        <f t="shared" si="6"/>
        <v>-72</v>
      </c>
      <c r="J129" s="1" t="e">
        <f t="shared" si="8"/>
        <v>#REF!</v>
      </c>
      <c r="K129" s="1" t="e">
        <f t="shared" si="7"/>
        <v>#REF!</v>
      </c>
      <c r="L129" t="s">
        <v>25</v>
      </c>
      <c r="M129" t="e">
        <f>VLOOKUP(A129,#REF!,6,FALSE)</f>
        <v>#REF!</v>
      </c>
    </row>
    <row r="130" spans="1:13" x14ac:dyDescent="0.25">
      <c r="A130">
        <v>279</v>
      </c>
      <c r="B130" t="s">
        <v>52</v>
      </c>
      <c r="C130" t="s">
        <v>28</v>
      </c>
      <c r="D130" s="10">
        <v>45475</v>
      </c>
      <c r="E130" s="7" t="s">
        <v>124</v>
      </c>
      <c r="F130" s="19"/>
      <c r="G130" s="19">
        <v>6.3</v>
      </c>
      <c r="H130" s="19">
        <v>12765.05</v>
      </c>
      <c r="I130" s="1">
        <f t="shared" si="6"/>
        <v>-6.3</v>
      </c>
      <c r="J130" s="1" t="e">
        <f t="shared" si="8"/>
        <v>#REF!</v>
      </c>
      <c r="K130" s="1" t="e">
        <f t="shared" si="7"/>
        <v>#REF!</v>
      </c>
      <c r="L130" t="s">
        <v>21</v>
      </c>
      <c r="M130" t="e">
        <f>VLOOKUP(A130,#REF!,6,FALSE)</f>
        <v>#REF!</v>
      </c>
    </row>
    <row r="131" spans="1:13" x14ac:dyDescent="0.25">
      <c r="A131">
        <v>280</v>
      </c>
      <c r="B131" t="s">
        <v>52</v>
      </c>
      <c r="C131" t="s">
        <v>28</v>
      </c>
      <c r="D131" s="10">
        <v>45475</v>
      </c>
      <c r="E131" s="7" t="s">
        <v>124</v>
      </c>
      <c r="F131" s="19"/>
      <c r="G131" s="19">
        <v>5</v>
      </c>
      <c r="H131" s="19">
        <v>12760.05</v>
      </c>
      <c r="I131" s="1">
        <f t="shared" si="6"/>
        <v>-5</v>
      </c>
      <c r="J131" s="1" t="e">
        <f t="shared" si="8"/>
        <v>#REF!</v>
      </c>
      <c r="K131" s="1" t="e">
        <f t="shared" si="7"/>
        <v>#REF!</v>
      </c>
      <c r="L131" t="s">
        <v>21</v>
      </c>
      <c r="M131" t="e">
        <f>VLOOKUP(A131,#REF!,6,FALSE)</f>
        <v>#REF!</v>
      </c>
    </row>
    <row r="132" spans="1:13" x14ac:dyDescent="0.25">
      <c r="A132">
        <v>281</v>
      </c>
      <c r="B132" t="s">
        <v>52</v>
      </c>
      <c r="C132" t="s">
        <v>28</v>
      </c>
      <c r="D132" s="10">
        <v>45478</v>
      </c>
      <c r="E132" s="7" t="s">
        <v>40</v>
      </c>
      <c r="F132" s="19">
        <v>4500</v>
      </c>
      <c r="G132" s="19"/>
      <c r="H132" s="19">
        <v>17260.05</v>
      </c>
      <c r="I132" s="1">
        <f t="shared" si="6"/>
        <v>4500</v>
      </c>
      <c r="J132" s="1" t="e">
        <f t="shared" si="8"/>
        <v>#REF!</v>
      </c>
      <c r="K132" s="1" t="e">
        <f t="shared" si="7"/>
        <v>#REF!</v>
      </c>
      <c r="L132" t="s">
        <v>17</v>
      </c>
      <c r="M132" t="e">
        <f>VLOOKUP(A132,#REF!,6,FALSE)</f>
        <v>#REF!</v>
      </c>
    </row>
    <row r="133" spans="1:13" x14ac:dyDescent="0.25">
      <c r="A133">
        <v>282</v>
      </c>
      <c r="B133" t="s">
        <v>52</v>
      </c>
      <c r="C133" t="s">
        <v>28</v>
      </c>
      <c r="D133" s="10">
        <v>45481</v>
      </c>
      <c r="E133" s="7" t="s">
        <v>125</v>
      </c>
      <c r="F133" s="19"/>
      <c r="G133" s="19">
        <v>133.41</v>
      </c>
      <c r="H133" s="19">
        <v>17126.64</v>
      </c>
      <c r="I133" s="1">
        <f t="shared" si="6"/>
        <v>-133.41</v>
      </c>
      <c r="J133" s="1" t="e">
        <f t="shared" si="8"/>
        <v>#REF!</v>
      </c>
      <c r="K133" s="1" t="e">
        <f t="shared" si="7"/>
        <v>#REF!</v>
      </c>
      <c r="L133" t="s">
        <v>1</v>
      </c>
      <c r="M133" t="e">
        <f>VLOOKUP(A133,#REF!,6,FALSE)</f>
        <v>#REF!</v>
      </c>
    </row>
    <row r="134" spans="1:13" x14ac:dyDescent="0.25">
      <c r="A134">
        <v>283</v>
      </c>
      <c r="B134" t="s">
        <v>52</v>
      </c>
      <c r="C134" t="s">
        <v>28</v>
      </c>
      <c r="D134" s="10">
        <v>45483</v>
      </c>
      <c r="E134" s="7" t="s">
        <v>126</v>
      </c>
      <c r="F134" s="19"/>
      <c r="G134" s="19">
        <v>22</v>
      </c>
      <c r="H134" s="19">
        <v>17104.64</v>
      </c>
      <c r="I134" s="1">
        <f t="shared" si="6"/>
        <v>-22</v>
      </c>
      <c r="J134" s="1" t="e">
        <f t="shared" si="8"/>
        <v>#REF!</v>
      </c>
      <c r="K134" s="1" t="e">
        <f t="shared" si="7"/>
        <v>#REF!</v>
      </c>
      <c r="L134" t="s">
        <v>194</v>
      </c>
      <c r="M134" t="e">
        <f>VLOOKUP(A134,#REF!,6,FALSE)</f>
        <v>#REF!</v>
      </c>
    </row>
    <row r="135" spans="1:13" x14ac:dyDescent="0.25">
      <c r="A135">
        <v>284</v>
      </c>
      <c r="B135" t="s">
        <v>52</v>
      </c>
      <c r="C135" t="s">
        <v>28</v>
      </c>
      <c r="D135" s="10">
        <v>45483</v>
      </c>
      <c r="E135" s="7" t="s">
        <v>127</v>
      </c>
      <c r="F135" s="19"/>
      <c r="G135" s="19">
        <v>10.5</v>
      </c>
      <c r="H135" s="19">
        <v>17094.14</v>
      </c>
      <c r="I135" s="1">
        <f t="shared" si="6"/>
        <v>-10.5</v>
      </c>
      <c r="J135" s="1" t="e">
        <f t="shared" si="8"/>
        <v>#REF!</v>
      </c>
      <c r="K135" s="1" t="e">
        <f t="shared" si="7"/>
        <v>#REF!</v>
      </c>
      <c r="L135" t="s">
        <v>21</v>
      </c>
      <c r="M135" t="e">
        <f>VLOOKUP(A135,#REF!,6,FALSE)</f>
        <v>#REF!</v>
      </c>
    </row>
    <row r="136" spans="1:13" x14ac:dyDescent="0.25">
      <c r="A136">
        <v>285</v>
      </c>
      <c r="B136" t="s">
        <v>52</v>
      </c>
      <c r="C136" t="s">
        <v>28</v>
      </c>
      <c r="D136" s="10">
        <v>45484</v>
      </c>
      <c r="E136" s="7" t="s">
        <v>40</v>
      </c>
      <c r="F136" s="19">
        <v>1400</v>
      </c>
      <c r="G136" s="19"/>
      <c r="H136" s="19">
        <v>18494.14</v>
      </c>
      <c r="I136" s="1">
        <f t="shared" si="6"/>
        <v>1400</v>
      </c>
      <c r="J136" s="1" t="e">
        <f t="shared" si="8"/>
        <v>#REF!</v>
      </c>
      <c r="K136" s="1" t="e">
        <f t="shared" si="7"/>
        <v>#REF!</v>
      </c>
      <c r="L136" t="s">
        <v>17</v>
      </c>
      <c r="M136" t="e">
        <f>VLOOKUP(A136,#REF!,6,FALSE)</f>
        <v>#REF!</v>
      </c>
    </row>
    <row r="137" spans="1:13" x14ac:dyDescent="0.25">
      <c r="A137">
        <v>286</v>
      </c>
      <c r="B137" t="s">
        <v>52</v>
      </c>
      <c r="C137" t="s">
        <v>28</v>
      </c>
      <c r="D137" s="10">
        <v>45484</v>
      </c>
      <c r="E137" s="7" t="s">
        <v>128</v>
      </c>
      <c r="F137" s="19"/>
      <c r="G137" s="19">
        <v>10.5</v>
      </c>
      <c r="H137" s="19">
        <v>18483.64</v>
      </c>
      <c r="I137" s="1">
        <f t="shared" si="6"/>
        <v>-10.5</v>
      </c>
      <c r="J137" s="1" t="e">
        <f t="shared" si="8"/>
        <v>#REF!</v>
      </c>
      <c r="K137" s="1" t="e">
        <f t="shared" si="7"/>
        <v>#REF!</v>
      </c>
      <c r="L137" t="s">
        <v>21</v>
      </c>
      <c r="M137" t="e">
        <f>VLOOKUP(A137,#REF!,6,FALSE)</f>
        <v>#REF!</v>
      </c>
    </row>
    <row r="138" spans="1:13" x14ac:dyDescent="0.25">
      <c r="A138">
        <v>287</v>
      </c>
      <c r="B138" t="s">
        <v>52</v>
      </c>
      <c r="C138" t="s">
        <v>28</v>
      </c>
      <c r="D138" s="10">
        <v>45485</v>
      </c>
      <c r="E138" s="7" t="s">
        <v>129</v>
      </c>
      <c r="F138" s="19">
        <v>850</v>
      </c>
      <c r="G138" s="19"/>
      <c r="H138" s="19">
        <v>19333.64</v>
      </c>
      <c r="I138" s="1">
        <f t="shared" si="6"/>
        <v>850</v>
      </c>
      <c r="J138" s="1" t="e">
        <f t="shared" si="8"/>
        <v>#REF!</v>
      </c>
      <c r="K138" s="1" t="e">
        <f t="shared" si="7"/>
        <v>#REF!</v>
      </c>
      <c r="L138" t="s">
        <v>17</v>
      </c>
      <c r="M138" t="e">
        <f>VLOOKUP(A138,#REF!,6,FALSE)</f>
        <v>#REF!</v>
      </c>
    </row>
    <row r="139" spans="1:13" x14ac:dyDescent="0.25">
      <c r="A139">
        <v>288</v>
      </c>
      <c r="B139" t="s">
        <v>52</v>
      </c>
      <c r="C139" t="s">
        <v>28</v>
      </c>
      <c r="D139" s="10">
        <v>45490</v>
      </c>
      <c r="E139" s="7" t="s">
        <v>130</v>
      </c>
      <c r="F139" s="19"/>
      <c r="G139" s="19">
        <v>5000</v>
      </c>
      <c r="H139" s="19">
        <v>14333.64</v>
      </c>
      <c r="I139" s="1">
        <f t="shared" si="6"/>
        <v>-5000</v>
      </c>
      <c r="J139" s="1" t="e">
        <f t="shared" si="8"/>
        <v>#REF!</v>
      </c>
      <c r="K139" s="1" t="e">
        <f t="shared" si="7"/>
        <v>#REF!</v>
      </c>
      <c r="L139" t="s">
        <v>1</v>
      </c>
      <c r="M139" t="e">
        <f>VLOOKUP(A139,#REF!,6,FALSE)</f>
        <v>#REF!</v>
      </c>
    </row>
    <row r="140" spans="1:13" x14ac:dyDescent="0.25">
      <c r="A140">
        <v>289</v>
      </c>
      <c r="B140" t="s">
        <v>52</v>
      </c>
      <c r="C140" t="s">
        <v>28</v>
      </c>
      <c r="D140" s="10">
        <v>45492</v>
      </c>
      <c r="E140" s="7" t="s">
        <v>60</v>
      </c>
      <c r="F140" s="19">
        <v>500</v>
      </c>
      <c r="G140" s="19"/>
      <c r="H140" s="19">
        <v>14833.64</v>
      </c>
      <c r="I140" s="1">
        <f t="shared" si="6"/>
        <v>500</v>
      </c>
      <c r="J140" s="1" t="e">
        <f t="shared" si="8"/>
        <v>#REF!</v>
      </c>
      <c r="K140" s="1" t="e">
        <f t="shared" si="7"/>
        <v>#REF!</v>
      </c>
      <c r="L140" t="s">
        <v>17</v>
      </c>
      <c r="M140" t="e">
        <f>VLOOKUP(A140,#REF!,6,FALSE)</f>
        <v>#REF!</v>
      </c>
    </row>
    <row r="141" spans="1:13" x14ac:dyDescent="0.25">
      <c r="A141">
        <v>290</v>
      </c>
      <c r="B141" t="s">
        <v>52</v>
      </c>
      <c r="C141" t="s">
        <v>28</v>
      </c>
      <c r="D141" s="10">
        <v>45492</v>
      </c>
      <c r="E141" s="7" t="s">
        <v>131</v>
      </c>
      <c r="F141" s="19">
        <v>1975</v>
      </c>
      <c r="G141" s="19"/>
      <c r="H141" s="19">
        <v>16808.64</v>
      </c>
      <c r="I141" s="1">
        <f t="shared" si="6"/>
        <v>1975</v>
      </c>
      <c r="J141" s="1" t="e">
        <f t="shared" si="8"/>
        <v>#REF!</v>
      </c>
      <c r="K141" s="1" t="e">
        <f t="shared" si="7"/>
        <v>#REF!</v>
      </c>
      <c r="L141" t="s">
        <v>17</v>
      </c>
      <c r="M141" t="e">
        <f>VLOOKUP(A141,#REF!,6,FALSE)</f>
        <v>#REF!</v>
      </c>
    </row>
    <row r="142" spans="1:13" x14ac:dyDescent="0.25">
      <c r="A142">
        <v>291</v>
      </c>
      <c r="B142" t="s">
        <v>52</v>
      </c>
      <c r="C142" t="s">
        <v>28</v>
      </c>
      <c r="D142" s="10">
        <v>45496</v>
      </c>
      <c r="E142" s="7" t="s">
        <v>41</v>
      </c>
      <c r="F142" s="19"/>
      <c r="G142" s="19">
        <v>25.42</v>
      </c>
      <c r="H142" s="19">
        <v>16783.22</v>
      </c>
      <c r="I142" s="1">
        <f t="shared" si="6"/>
        <v>-25.42</v>
      </c>
      <c r="J142" s="1" t="e">
        <f t="shared" si="8"/>
        <v>#REF!</v>
      </c>
      <c r="K142" s="1" t="e">
        <f t="shared" si="7"/>
        <v>#REF!</v>
      </c>
      <c r="L142" t="s">
        <v>24</v>
      </c>
      <c r="M142" t="e">
        <f>VLOOKUP(A142,#REF!,6,FALSE)</f>
        <v>#REF!</v>
      </c>
    </row>
    <row r="143" spans="1:13" x14ac:dyDescent="0.25">
      <c r="A143">
        <v>292</v>
      </c>
      <c r="B143" t="s">
        <v>52</v>
      </c>
      <c r="C143" t="s">
        <v>28</v>
      </c>
      <c r="D143" s="10">
        <v>45497</v>
      </c>
      <c r="E143" s="7" t="s">
        <v>40</v>
      </c>
      <c r="F143" s="19">
        <v>1500</v>
      </c>
      <c r="G143" s="19"/>
      <c r="H143" s="19">
        <v>18283.22</v>
      </c>
      <c r="I143" s="1">
        <f t="shared" si="6"/>
        <v>1500</v>
      </c>
      <c r="J143" s="1" t="e">
        <f t="shared" si="8"/>
        <v>#REF!</v>
      </c>
      <c r="K143" s="1" t="e">
        <f t="shared" si="7"/>
        <v>#REF!</v>
      </c>
      <c r="L143" t="s">
        <v>17</v>
      </c>
      <c r="M143" t="e">
        <f>VLOOKUP(A143,#REF!,6,FALSE)</f>
        <v>#REF!</v>
      </c>
    </row>
    <row r="144" spans="1:13" x14ac:dyDescent="0.25">
      <c r="A144">
        <v>293</v>
      </c>
      <c r="B144" t="s">
        <v>52</v>
      </c>
      <c r="C144" t="s">
        <v>28</v>
      </c>
      <c r="D144" s="10">
        <v>45498</v>
      </c>
      <c r="E144" s="7" t="s">
        <v>132</v>
      </c>
      <c r="F144" s="19"/>
      <c r="G144" s="19">
        <v>2.6</v>
      </c>
      <c r="H144" s="19">
        <v>18280.62</v>
      </c>
      <c r="I144" s="1">
        <f t="shared" si="6"/>
        <v>-2.6</v>
      </c>
      <c r="J144" s="1" t="e">
        <f t="shared" si="8"/>
        <v>#REF!</v>
      </c>
      <c r="K144" s="1" t="e">
        <f t="shared" si="7"/>
        <v>#REF!</v>
      </c>
      <c r="L144" t="s">
        <v>22</v>
      </c>
      <c r="M144" t="e">
        <f>VLOOKUP(A144,#REF!,6,FALSE)</f>
        <v>#REF!</v>
      </c>
    </row>
    <row r="145" spans="1:13" x14ac:dyDescent="0.25">
      <c r="A145">
        <v>294</v>
      </c>
      <c r="B145" t="s">
        <v>52</v>
      </c>
      <c r="C145" t="s">
        <v>28</v>
      </c>
      <c r="D145" s="10">
        <v>45503</v>
      </c>
      <c r="E145" s="7" t="s">
        <v>133</v>
      </c>
      <c r="F145" s="19"/>
      <c r="G145" s="19">
        <v>2.6</v>
      </c>
      <c r="H145" s="19">
        <v>18278.02</v>
      </c>
      <c r="I145" s="1">
        <f t="shared" si="6"/>
        <v>-2.6</v>
      </c>
      <c r="J145" s="1" t="e">
        <f t="shared" si="8"/>
        <v>#REF!</v>
      </c>
      <c r="K145" s="1" t="e">
        <f t="shared" si="7"/>
        <v>#REF!</v>
      </c>
      <c r="L145" t="s">
        <v>22</v>
      </c>
      <c r="M145" t="e">
        <f>VLOOKUP(A145,#REF!,6,FALSE)</f>
        <v>#REF!</v>
      </c>
    </row>
    <row r="146" spans="1:13" x14ac:dyDescent="0.25">
      <c r="A146">
        <v>295</v>
      </c>
      <c r="B146" t="s">
        <v>52</v>
      </c>
      <c r="C146" t="s">
        <v>28</v>
      </c>
      <c r="D146" s="10">
        <v>45504</v>
      </c>
      <c r="E146" s="7" t="s">
        <v>134</v>
      </c>
      <c r="F146" s="19"/>
      <c r="G146" s="19">
        <v>15</v>
      </c>
      <c r="H146" s="19">
        <v>18263.02</v>
      </c>
      <c r="I146" s="1">
        <f t="shared" si="6"/>
        <v>-15</v>
      </c>
      <c r="J146" s="1" t="e">
        <f t="shared" si="8"/>
        <v>#REF!</v>
      </c>
      <c r="K146" s="1" t="e">
        <f t="shared" si="7"/>
        <v>#REF!</v>
      </c>
      <c r="L146" t="s">
        <v>21</v>
      </c>
      <c r="M146" t="e">
        <f>VLOOKUP(A146,#REF!,6,FALSE)</f>
        <v>#REF!</v>
      </c>
    </row>
    <row r="147" spans="1:13" x14ac:dyDescent="0.25">
      <c r="A147">
        <v>296</v>
      </c>
      <c r="B147" t="s">
        <v>52</v>
      </c>
      <c r="C147" t="s">
        <v>28</v>
      </c>
      <c r="D147" s="10">
        <v>45504</v>
      </c>
      <c r="E147" s="7" t="s">
        <v>135</v>
      </c>
      <c r="F147" s="19"/>
      <c r="G147" s="19">
        <v>2.6</v>
      </c>
      <c r="H147" s="19">
        <v>18260.419999999998</v>
      </c>
      <c r="I147" s="1">
        <f t="shared" si="6"/>
        <v>-2.6</v>
      </c>
      <c r="J147" s="1" t="e">
        <f t="shared" si="8"/>
        <v>#REF!</v>
      </c>
      <c r="K147" s="1" t="e">
        <f t="shared" si="7"/>
        <v>#REF!</v>
      </c>
      <c r="L147" t="s">
        <v>22</v>
      </c>
      <c r="M147" t="e">
        <f>VLOOKUP(A147,#REF!,6,FALSE)</f>
        <v>#REF!</v>
      </c>
    </row>
    <row r="148" spans="1:13" x14ac:dyDescent="0.25">
      <c r="A148">
        <v>297</v>
      </c>
      <c r="B148" t="s">
        <v>52</v>
      </c>
      <c r="C148" t="s">
        <v>28</v>
      </c>
      <c r="D148" s="10">
        <v>45505</v>
      </c>
      <c r="E148" s="7" t="s">
        <v>98</v>
      </c>
      <c r="F148" s="19"/>
      <c r="G148" s="19">
        <v>72</v>
      </c>
      <c r="H148" s="19">
        <v>18188.419999999998</v>
      </c>
      <c r="I148" s="1">
        <f t="shared" si="6"/>
        <v>-72</v>
      </c>
      <c r="J148" s="1" t="e">
        <f t="shared" si="8"/>
        <v>#REF!</v>
      </c>
      <c r="K148" s="1" t="e">
        <f t="shared" si="7"/>
        <v>#REF!</v>
      </c>
      <c r="L148" t="s">
        <v>25</v>
      </c>
      <c r="M148" t="e">
        <f>VLOOKUP(A148,#REF!,6,FALSE)</f>
        <v>#REF!</v>
      </c>
    </row>
    <row r="149" spans="1:13" x14ac:dyDescent="0.25">
      <c r="A149">
        <v>298</v>
      </c>
      <c r="B149" t="s">
        <v>52</v>
      </c>
      <c r="C149" t="s">
        <v>28</v>
      </c>
      <c r="D149" s="10">
        <v>45506</v>
      </c>
      <c r="E149" s="7" t="s">
        <v>40</v>
      </c>
      <c r="F149" s="19">
        <v>900</v>
      </c>
      <c r="G149" s="19"/>
      <c r="H149" s="19">
        <v>19088.419999999998</v>
      </c>
      <c r="I149" s="1">
        <f t="shared" si="6"/>
        <v>900</v>
      </c>
      <c r="J149" s="1" t="e">
        <f t="shared" si="8"/>
        <v>#REF!</v>
      </c>
      <c r="K149" s="1" t="e">
        <f t="shared" si="7"/>
        <v>#REF!</v>
      </c>
      <c r="L149" t="s">
        <v>17</v>
      </c>
      <c r="M149" t="e">
        <f>VLOOKUP(A149,#REF!,6,FALSE)</f>
        <v>#REF!</v>
      </c>
    </row>
    <row r="150" spans="1:13" x14ac:dyDescent="0.25">
      <c r="A150">
        <v>299</v>
      </c>
      <c r="B150" t="s">
        <v>52</v>
      </c>
      <c r="C150" t="s">
        <v>28</v>
      </c>
      <c r="D150" s="10">
        <v>45506</v>
      </c>
      <c r="E150" s="7" t="s">
        <v>41</v>
      </c>
      <c r="F150" s="19"/>
      <c r="G150" s="19">
        <v>25.42</v>
      </c>
      <c r="H150" s="19">
        <v>19063</v>
      </c>
      <c r="I150" s="1">
        <f t="shared" si="6"/>
        <v>-25.42</v>
      </c>
      <c r="J150" s="1" t="e">
        <f t="shared" si="8"/>
        <v>#REF!</v>
      </c>
      <c r="K150" s="1" t="e">
        <f t="shared" si="7"/>
        <v>#REF!</v>
      </c>
      <c r="L150" t="s">
        <v>24</v>
      </c>
      <c r="M150" t="e">
        <f>VLOOKUP(A150,#REF!,6,FALSE)</f>
        <v>#REF!</v>
      </c>
    </row>
    <row r="151" spans="1:13" x14ac:dyDescent="0.25">
      <c r="A151">
        <v>300</v>
      </c>
      <c r="B151" t="s">
        <v>52</v>
      </c>
      <c r="C151" t="s">
        <v>28</v>
      </c>
      <c r="D151" s="10">
        <v>45510</v>
      </c>
      <c r="E151" s="7" t="s">
        <v>136</v>
      </c>
      <c r="F151" s="19">
        <v>425</v>
      </c>
      <c r="G151" s="19"/>
      <c r="H151" s="19">
        <v>19488</v>
      </c>
      <c r="I151" s="1">
        <f t="shared" si="6"/>
        <v>425</v>
      </c>
      <c r="J151" s="1" t="e">
        <f t="shared" si="8"/>
        <v>#REF!</v>
      </c>
      <c r="K151" s="1" t="e">
        <f t="shared" si="7"/>
        <v>#REF!</v>
      </c>
      <c r="L151" t="s">
        <v>17</v>
      </c>
      <c r="M151" t="e">
        <f>VLOOKUP(A151,#REF!,6,FALSE)</f>
        <v>#REF!</v>
      </c>
    </row>
    <row r="152" spans="1:13" x14ac:dyDescent="0.25">
      <c r="A152">
        <v>301</v>
      </c>
      <c r="B152" t="s">
        <v>52</v>
      </c>
      <c r="C152" t="s">
        <v>28</v>
      </c>
      <c r="D152" s="10">
        <v>45513</v>
      </c>
      <c r="E152" s="7" t="s">
        <v>137</v>
      </c>
      <c r="F152" s="19">
        <v>1245</v>
      </c>
      <c r="G152" s="19"/>
      <c r="H152" s="19">
        <v>20733</v>
      </c>
      <c r="I152" s="1">
        <f t="shared" si="6"/>
        <v>1245</v>
      </c>
      <c r="J152" s="1" t="e">
        <f t="shared" si="8"/>
        <v>#REF!</v>
      </c>
      <c r="K152" s="1" t="e">
        <f t="shared" si="7"/>
        <v>#REF!</v>
      </c>
      <c r="L152" t="s">
        <v>17</v>
      </c>
      <c r="M152" t="e">
        <f>VLOOKUP(A152,#REF!,6,FALSE)</f>
        <v>#REF!</v>
      </c>
    </row>
    <row r="153" spans="1:13" x14ac:dyDescent="0.25">
      <c r="A153">
        <v>302</v>
      </c>
      <c r="B153" t="s">
        <v>52</v>
      </c>
      <c r="C153" t="s">
        <v>28</v>
      </c>
      <c r="D153" s="10">
        <v>45513</v>
      </c>
      <c r="E153" s="7" t="s">
        <v>40</v>
      </c>
      <c r="F153" s="19">
        <v>1000</v>
      </c>
      <c r="G153" s="19"/>
      <c r="H153" s="19">
        <v>21733</v>
      </c>
      <c r="I153" s="1">
        <f t="shared" si="6"/>
        <v>1000</v>
      </c>
      <c r="J153" s="1" t="e">
        <f t="shared" si="8"/>
        <v>#REF!</v>
      </c>
      <c r="K153" s="1" t="e">
        <f t="shared" si="7"/>
        <v>#REF!</v>
      </c>
      <c r="L153" t="s">
        <v>17</v>
      </c>
      <c r="M153" t="e">
        <f>VLOOKUP(A153,#REF!,6,FALSE)</f>
        <v>#REF!</v>
      </c>
    </row>
    <row r="154" spans="1:13" x14ac:dyDescent="0.25">
      <c r="A154">
        <v>303</v>
      </c>
      <c r="B154" t="s">
        <v>52</v>
      </c>
      <c r="C154" t="s">
        <v>28</v>
      </c>
      <c r="D154" s="10">
        <v>45519</v>
      </c>
      <c r="E154" s="7" t="s">
        <v>138</v>
      </c>
      <c r="F154" s="19"/>
      <c r="G154" s="19">
        <v>218.7</v>
      </c>
      <c r="H154" s="19">
        <v>21514.3</v>
      </c>
      <c r="I154" s="1">
        <f t="shared" si="6"/>
        <v>-218.7</v>
      </c>
      <c r="J154" s="1" t="e">
        <f t="shared" si="8"/>
        <v>#REF!</v>
      </c>
      <c r="K154" s="1" t="e">
        <f t="shared" si="7"/>
        <v>#REF!</v>
      </c>
      <c r="L154" t="s">
        <v>19</v>
      </c>
      <c r="M154" t="e">
        <f>VLOOKUP(A154,#REF!,6,FALSE)</f>
        <v>#REF!</v>
      </c>
    </row>
    <row r="155" spans="1:13" x14ac:dyDescent="0.25">
      <c r="A155">
        <v>304</v>
      </c>
      <c r="B155" t="s">
        <v>52</v>
      </c>
      <c r="C155" t="s">
        <v>28</v>
      </c>
      <c r="D155" s="10">
        <v>45520</v>
      </c>
      <c r="E155" s="7" t="s">
        <v>139</v>
      </c>
      <c r="F155" s="19"/>
      <c r="G155" s="19">
        <v>177.84</v>
      </c>
      <c r="H155" s="19">
        <v>21336.46</v>
      </c>
      <c r="I155" s="1">
        <f t="shared" si="6"/>
        <v>-177.84</v>
      </c>
      <c r="J155" s="1" t="e">
        <f t="shared" si="8"/>
        <v>#REF!</v>
      </c>
      <c r="K155" s="1" t="e">
        <f t="shared" si="7"/>
        <v>#REF!</v>
      </c>
      <c r="L155" t="s">
        <v>193</v>
      </c>
      <c r="M155" t="e">
        <f>VLOOKUP(A155,#REF!,6,FALSE)</f>
        <v>#REF!</v>
      </c>
    </row>
    <row r="156" spans="1:13" x14ac:dyDescent="0.25">
      <c r="A156">
        <v>305</v>
      </c>
      <c r="B156" t="s">
        <v>52</v>
      </c>
      <c r="C156" t="s">
        <v>28</v>
      </c>
      <c r="D156" s="10">
        <v>45520</v>
      </c>
      <c r="E156" s="7" t="s">
        <v>140</v>
      </c>
      <c r="F156" s="19"/>
      <c r="G156" s="19">
        <v>8110.15</v>
      </c>
      <c r="H156" s="19">
        <v>13226.31</v>
      </c>
      <c r="I156" s="1">
        <f t="shared" si="6"/>
        <v>-8110.15</v>
      </c>
      <c r="J156" s="1" t="e">
        <f t="shared" si="8"/>
        <v>#REF!</v>
      </c>
      <c r="K156" s="1" t="e">
        <f t="shared" si="7"/>
        <v>#REF!</v>
      </c>
      <c r="L156" t="s">
        <v>193</v>
      </c>
      <c r="M156" t="e">
        <f>VLOOKUP(A156,#REF!,6,FALSE)</f>
        <v>#REF!</v>
      </c>
    </row>
    <row r="157" spans="1:13" x14ac:dyDescent="0.25">
      <c r="A157">
        <v>306</v>
      </c>
      <c r="B157" t="s">
        <v>52</v>
      </c>
      <c r="C157" t="s">
        <v>28</v>
      </c>
      <c r="D157" s="10">
        <v>45525</v>
      </c>
      <c r="E157" s="7" t="s">
        <v>40</v>
      </c>
      <c r="F157" s="19">
        <v>450</v>
      </c>
      <c r="G157" s="19"/>
      <c r="H157" s="19">
        <v>13676.31</v>
      </c>
      <c r="I157" s="1">
        <f t="shared" si="6"/>
        <v>450</v>
      </c>
      <c r="J157" s="1" t="e">
        <f t="shared" si="8"/>
        <v>#REF!</v>
      </c>
      <c r="K157" s="1" t="e">
        <f t="shared" si="7"/>
        <v>#REF!</v>
      </c>
      <c r="L157" t="s">
        <v>17</v>
      </c>
      <c r="M157" t="e">
        <f>VLOOKUP(A157,#REF!,6,FALSE)</f>
        <v>#REF!</v>
      </c>
    </row>
    <row r="158" spans="1:13" x14ac:dyDescent="0.25">
      <c r="A158">
        <v>307</v>
      </c>
      <c r="B158" t="s">
        <v>52</v>
      </c>
      <c r="C158" t="s">
        <v>28</v>
      </c>
      <c r="D158" s="10">
        <v>45525</v>
      </c>
      <c r="E158" s="7" t="s">
        <v>141</v>
      </c>
      <c r="F158" s="19"/>
      <c r="G158" s="19">
        <v>5000</v>
      </c>
      <c r="H158" s="19">
        <v>8676.31</v>
      </c>
      <c r="I158" s="1">
        <f t="shared" si="6"/>
        <v>-5000</v>
      </c>
      <c r="J158" s="1" t="e">
        <f t="shared" si="8"/>
        <v>#REF!</v>
      </c>
      <c r="K158" s="1" t="e">
        <f t="shared" si="7"/>
        <v>#REF!</v>
      </c>
      <c r="L158" t="s">
        <v>1</v>
      </c>
      <c r="M158" t="e">
        <f>VLOOKUP(A158,#REF!,6,FALSE)</f>
        <v>#REF!</v>
      </c>
    </row>
    <row r="159" spans="1:13" x14ac:dyDescent="0.25">
      <c r="A159">
        <v>308</v>
      </c>
      <c r="B159" t="s">
        <v>52</v>
      </c>
      <c r="C159" t="s">
        <v>28</v>
      </c>
      <c r="D159" s="10">
        <v>45525</v>
      </c>
      <c r="E159" s="7" t="s">
        <v>142</v>
      </c>
      <c r="F159" s="19"/>
      <c r="G159" s="19">
        <v>2.6</v>
      </c>
      <c r="H159" s="19">
        <v>8673.7099999999991</v>
      </c>
      <c r="I159" s="1">
        <f t="shared" si="6"/>
        <v>-2.6</v>
      </c>
      <c r="J159" s="1" t="e">
        <f t="shared" si="8"/>
        <v>#REF!</v>
      </c>
      <c r="K159" s="1" t="e">
        <f t="shared" si="7"/>
        <v>#REF!</v>
      </c>
      <c r="L159" t="s">
        <v>22</v>
      </c>
      <c r="M159" t="e">
        <f>VLOOKUP(A159,#REF!,6,FALSE)</f>
        <v>#REF!</v>
      </c>
    </row>
    <row r="160" spans="1:13" x14ac:dyDescent="0.25">
      <c r="A160">
        <v>309</v>
      </c>
      <c r="B160" t="s">
        <v>52</v>
      </c>
      <c r="C160" t="s">
        <v>28</v>
      </c>
      <c r="D160" s="10">
        <v>45527</v>
      </c>
      <c r="E160" s="7" t="s">
        <v>143</v>
      </c>
      <c r="F160" s="19">
        <v>885</v>
      </c>
      <c r="G160" s="19"/>
      <c r="H160" s="19">
        <v>9558.7099999999991</v>
      </c>
      <c r="I160" s="1">
        <f t="shared" si="6"/>
        <v>885</v>
      </c>
      <c r="J160" s="1" t="e">
        <f t="shared" si="8"/>
        <v>#REF!</v>
      </c>
      <c r="K160" s="1" t="e">
        <f t="shared" si="7"/>
        <v>#REF!</v>
      </c>
      <c r="L160" t="s">
        <v>17</v>
      </c>
      <c r="M160" t="e">
        <f>VLOOKUP(A160,#REF!,6,FALSE)</f>
        <v>#REF!</v>
      </c>
    </row>
    <row r="161" spans="1:13" x14ac:dyDescent="0.25">
      <c r="A161">
        <v>310</v>
      </c>
      <c r="B161" t="s">
        <v>52</v>
      </c>
      <c r="C161" t="s">
        <v>28</v>
      </c>
      <c r="D161" s="10">
        <v>45531</v>
      </c>
      <c r="E161" s="7" t="s">
        <v>144</v>
      </c>
      <c r="F161" s="19"/>
      <c r="G161" s="19">
        <v>45</v>
      </c>
      <c r="H161" s="19">
        <v>9513.7099999999991</v>
      </c>
      <c r="I161" s="1">
        <f t="shared" si="6"/>
        <v>-45</v>
      </c>
      <c r="J161" s="1" t="e">
        <f t="shared" si="8"/>
        <v>#REF!</v>
      </c>
      <c r="K161" s="1" t="e">
        <f t="shared" si="7"/>
        <v>#REF!</v>
      </c>
      <c r="L161" t="s">
        <v>224</v>
      </c>
      <c r="M161" t="e">
        <f>VLOOKUP(A161,#REF!,6,FALSE)</f>
        <v>#REF!</v>
      </c>
    </row>
    <row r="162" spans="1:13" x14ac:dyDescent="0.25">
      <c r="A162">
        <v>311</v>
      </c>
      <c r="B162" t="s">
        <v>52</v>
      </c>
      <c r="C162" t="s">
        <v>28</v>
      </c>
      <c r="D162" s="10">
        <v>45531</v>
      </c>
      <c r="E162" s="7" t="s">
        <v>145</v>
      </c>
      <c r="F162" s="19"/>
      <c r="G162" s="19">
        <v>2.6</v>
      </c>
      <c r="H162" s="19">
        <v>9511.11</v>
      </c>
      <c r="I162" s="1">
        <f t="shared" si="6"/>
        <v>-2.6</v>
      </c>
      <c r="J162" s="1" t="e">
        <f t="shared" si="8"/>
        <v>#REF!</v>
      </c>
      <c r="K162" s="1" t="e">
        <f t="shared" si="7"/>
        <v>#REF!</v>
      </c>
      <c r="L162" t="s">
        <v>22</v>
      </c>
      <c r="M162" t="e">
        <f>VLOOKUP(A162,#REF!,6,FALSE)</f>
        <v>#REF!</v>
      </c>
    </row>
    <row r="163" spans="1:13" x14ac:dyDescent="0.25">
      <c r="A163">
        <v>312</v>
      </c>
      <c r="B163" t="s">
        <v>52</v>
      </c>
      <c r="C163" t="s">
        <v>28</v>
      </c>
      <c r="D163" s="10">
        <v>45531</v>
      </c>
      <c r="E163" s="7" t="s">
        <v>146</v>
      </c>
      <c r="F163" s="19"/>
      <c r="G163" s="19">
        <v>2.6</v>
      </c>
      <c r="H163" s="19">
        <v>9508.51</v>
      </c>
      <c r="I163" s="1">
        <f t="shared" si="6"/>
        <v>-2.6</v>
      </c>
      <c r="J163" s="1" t="e">
        <f t="shared" si="8"/>
        <v>#REF!</v>
      </c>
      <c r="K163" s="1" t="e">
        <f t="shared" si="7"/>
        <v>#REF!</v>
      </c>
      <c r="L163" t="s">
        <v>22</v>
      </c>
      <c r="M163" t="e">
        <f>VLOOKUP(A163,#REF!,6,FALSE)</f>
        <v>#REF!</v>
      </c>
    </row>
    <row r="164" spans="1:13" x14ac:dyDescent="0.25">
      <c r="A164">
        <v>313</v>
      </c>
      <c r="B164" t="s">
        <v>52</v>
      </c>
      <c r="C164" t="s">
        <v>28</v>
      </c>
      <c r="D164" s="10">
        <v>45531</v>
      </c>
      <c r="E164" s="7" t="s">
        <v>147</v>
      </c>
      <c r="F164" s="19"/>
      <c r="G164" s="19">
        <v>100</v>
      </c>
      <c r="H164" s="19">
        <v>9408.51</v>
      </c>
      <c r="I164" s="1">
        <f t="shared" si="6"/>
        <v>-100</v>
      </c>
      <c r="J164" s="1" t="e">
        <f t="shared" si="8"/>
        <v>#REF!</v>
      </c>
      <c r="K164" s="1" t="e">
        <f t="shared" si="7"/>
        <v>#REF!</v>
      </c>
      <c r="L164" t="s">
        <v>225</v>
      </c>
      <c r="M164" t="e">
        <f>VLOOKUP(A164,#REF!,6,FALSE)</f>
        <v>#REF!</v>
      </c>
    </row>
    <row r="165" spans="1:13" x14ac:dyDescent="0.25">
      <c r="A165">
        <v>314</v>
      </c>
      <c r="B165" t="s">
        <v>52</v>
      </c>
      <c r="C165" t="s">
        <v>28</v>
      </c>
      <c r="D165" s="10">
        <v>45534</v>
      </c>
      <c r="E165" s="7" t="s">
        <v>148</v>
      </c>
      <c r="F165" s="19">
        <v>1225</v>
      </c>
      <c r="G165" s="19"/>
      <c r="H165" s="19">
        <v>10633.51</v>
      </c>
      <c r="I165" s="1">
        <f t="shared" si="6"/>
        <v>1225</v>
      </c>
      <c r="J165" s="1" t="e">
        <f t="shared" si="8"/>
        <v>#REF!</v>
      </c>
      <c r="K165" s="1" t="e">
        <f t="shared" si="7"/>
        <v>#REF!</v>
      </c>
      <c r="L165" t="s">
        <v>17</v>
      </c>
      <c r="M165" t="e">
        <f>VLOOKUP(A165,#REF!,6,FALSE)</f>
        <v>#REF!</v>
      </c>
    </row>
    <row r="166" spans="1:13" x14ac:dyDescent="0.25">
      <c r="A166">
        <v>315</v>
      </c>
      <c r="B166" t="s">
        <v>52</v>
      </c>
      <c r="C166" t="s">
        <v>28</v>
      </c>
      <c r="D166" s="10">
        <v>45534</v>
      </c>
      <c r="E166" s="7" t="s">
        <v>149</v>
      </c>
      <c r="F166" s="19"/>
      <c r="G166" s="19">
        <v>7.7</v>
      </c>
      <c r="H166" s="19">
        <v>10625.81</v>
      </c>
      <c r="I166" s="1">
        <f t="shared" si="6"/>
        <v>-7.7</v>
      </c>
      <c r="J166" s="1" t="e">
        <f t="shared" si="8"/>
        <v>#REF!</v>
      </c>
      <c r="K166" s="1" t="e">
        <f t="shared" si="7"/>
        <v>#REF!</v>
      </c>
      <c r="L166" t="s">
        <v>191</v>
      </c>
      <c r="M166" t="e">
        <f>VLOOKUP(A166,#REF!,6,FALSE)</f>
        <v>#REF!</v>
      </c>
    </row>
    <row r="167" spans="1:13" x14ac:dyDescent="0.25">
      <c r="A167">
        <v>316</v>
      </c>
      <c r="B167" t="s">
        <v>52</v>
      </c>
      <c r="C167" t="s">
        <v>28</v>
      </c>
      <c r="D167" s="10">
        <v>45537</v>
      </c>
      <c r="E167" s="7" t="s">
        <v>150</v>
      </c>
      <c r="F167" s="19"/>
      <c r="G167" s="19">
        <v>0.6</v>
      </c>
      <c r="H167" s="19">
        <v>10625.21</v>
      </c>
      <c r="I167" s="1">
        <f t="shared" si="6"/>
        <v>-0.6</v>
      </c>
      <c r="J167" s="1" t="e">
        <f t="shared" si="8"/>
        <v>#REF!</v>
      </c>
      <c r="K167" s="1" t="e">
        <f t="shared" si="7"/>
        <v>#REF!</v>
      </c>
      <c r="L167" t="s">
        <v>27</v>
      </c>
      <c r="M167" t="e">
        <f>VLOOKUP(A167,#REF!,6,FALSE)</f>
        <v>#REF!</v>
      </c>
    </row>
    <row r="168" spans="1:13" x14ac:dyDescent="0.25">
      <c r="A168">
        <v>317</v>
      </c>
      <c r="B168" t="s">
        <v>52</v>
      </c>
      <c r="C168" t="s">
        <v>28</v>
      </c>
      <c r="D168" s="10">
        <v>45537</v>
      </c>
      <c r="E168" s="7" t="s">
        <v>41</v>
      </c>
      <c r="F168" s="19"/>
      <c r="G168" s="19">
        <v>25.42</v>
      </c>
      <c r="H168" s="19">
        <v>10599.79</v>
      </c>
      <c r="I168" s="1">
        <f t="shared" si="6"/>
        <v>-25.42</v>
      </c>
      <c r="J168" s="1" t="e">
        <f t="shared" si="8"/>
        <v>#REF!</v>
      </c>
      <c r="K168" s="1" t="e">
        <f t="shared" si="7"/>
        <v>#REF!</v>
      </c>
      <c r="L168" t="s">
        <v>24</v>
      </c>
      <c r="M168" t="e">
        <f>VLOOKUP(A168,#REF!,6,FALSE)</f>
        <v>#REF!</v>
      </c>
    </row>
    <row r="169" spans="1:13" x14ac:dyDescent="0.25">
      <c r="A169">
        <v>318</v>
      </c>
      <c r="B169" t="s">
        <v>52</v>
      </c>
      <c r="C169" t="s">
        <v>28</v>
      </c>
      <c r="D169" s="10">
        <v>45537</v>
      </c>
      <c r="E169" s="7" t="s">
        <v>98</v>
      </c>
      <c r="F169" s="19"/>
      <c r="G169" s="19">
        <v>72</v>
      </c>
      <c r="H169" s="19">
        <v>10527.79</v>
      </c>
      <c r="I169" s="1">
        <f t="shared" si="6"/>
        <v>-72</v>
      </c>
      <c r="J169" s="1" t="e">
        <f t="shared" si="8"/>
        <v>#REF!</v>
      </c>
      <c r="K169" s="1" t="e">
        <f t="shared" si="7"/>
        <v>#REF!</v>
      </c>
      <c r="L169" t="s">
        <v>25</v>
      </c>
      <c r="M169" t="e">
        <f>VLOOKUP(A169,#REF!,6,FALSE)</f>
        <v>#REF!</v>
      </c>
    </row>
    <row r="170" spans="1:13" x14ac:dyDescent="0.25">
      <c r="A170">
        <v>319</v>
      </c>
      <c r="B170" t="s">
        <v>52</v>
      </c>
      <c r="C170" t="s">
        <v>28</v>
      </c>
      <c r="D170" s="10">
        <v>45541</v>
      </c>
      <c r="E170" s="7" t="s">
        <v>151</v>
      </c>
      <c r="F170" s="19"/>
      <c r="G170" s="19">
        <v>16.149999999999999</v>
      </c>
      <c r="H170" s="19">
        <v>10511.64</v>
      </c>
      <c r="I170" s="1">
        <f t="shared" si="6"/>
        <v>-16.149999999999999</v>
      </c>
      <c r="J170" s="1" t="e">
        <f t="shared" si="8"/>
        <v>#REF!</v>
      </c>
      <c r="K170" s="1" t="e">
        <f t="shared" si="7"/>
        <v>#REF!</v>
      </c>
      <c r="L170" t="s">
        <v>194</v>
      </c>
      <c r="M170" t="e">
        <f>VLOOKUP(A170,#REF!,6,FALSE)</f>
        <v>#REF!</v>
      </c>
    </row>
    <row r="171" spans="1:13" x14ac:dyDescent="0.25">
      <c r="A171">
        <v>320</v>
      </c>
      <c r="B171" t="s">
        <v>52</v>
      </c>
      <c r="C171" t="s">
        <v>28</v>
      </c>
      <c r="D171" s="10">
        <v>45544</v>
      </c>
      <c r="E171" s="7" t="s">
        <v>152</v>
      </c>
      <c r="F171" s="19">
        <v>1240</v>
      </c>
      <c r="G171" s="19"/>
      <c r="H171" s="19">
        <v>11751.64</v>
      </c>
      <c r="I171" s="1">
        <f t="shared" si="6"/>
        <v>1240</v>
      </c>
      <c r="J171" s="1" t="e">
        <f t="shared" si="8"/>
        <v>#REF!</v>
      </c>
      <c r="K171" s="1" t="e">
        <f t="shared" si="7"/>
        <v>#REF!</v>
      </c>
      <c r="L171" t="s">
        <v>17</v>
      </c>
      <c r="M171" t="e">
        <f>VLOOKUP(A171,#REF!,6,FALSE)</f>
        <v>#REF!</v>
      </c>
    </row>
    <row r="172" spans="1:13" x14ac:dyDescent="0.25">
      <c r="A172">
        <v>321</v>
      </c>
      <c r="B172" t="s">
        <v>52</v>
      </c>
      <c r="C172" t="s">
        <v>28</v>
      </c>
      <c r="D172" s="10">
        <v>45544</v>
      </c>
      <c r="E172" s="7" t="s">
        <v>153</v>
      </c>
      <c r="F172" s="19"/>
      <c r="G172" s="19">
        <v>109.35</v>
      </c>
      <c r="H172" s="19">
        <v>11642.29</v>
      </c>
      <c r="I172" s="1">
        <f t="shared" ref="I172:I213" si="9">F172-G172</f>
        <v>-109.35</v>
      </c>
      <c r="J172" s="1" t="e">
        <f t="shared" si="8"/>
        <v>#REF!</v>
      </c>
      <c r="K172" s="1" t="e">
        <f t="shared" ref="K172:K213" si="10">H172-J172</f>
        <v>#REF!</v>
      </c>
      <c r="L172" t="s">
        <v>19</v>
      </c>
      <c r="M172" t="e">
        <f>VLOOKUP(A172,#REF!,6,FALSE)</f>
        <v>#REF!</v>
      </c>
    </row>
    <row r="173" spans="1:13" x14ac:dyDescent="0.25">
      <c r="A173">
        <v>322</v>
      </c>
      <c r="B173" t="s">
        <v>52</v>
      </c>
      <c r="C173" t="s">
        <v>28</v>
      </c>
      <c r="D173" s="10">
        <v>45548</v>
      </c>
      <c r="E173" s="7" t="s">
        <v>154</v>
      </c>
      <c r="F173" s="19">
        <v>425</v>
      </c>
      <c r="G173" s="19"/>
      <c r="H173" s="19">
        <v>12067.29</v>
      </c>
      <c r="I173" s="1">
        <f t="shared" si="9"/>
        <v>425</v>
      </c>
      <c r="J173" s="1" t="e">
        <f t="shared" ref="J173:J213" si="11">J172+I173</f>
        <v>#REF!</v>
      </c>
      <c r="K173" s="1" t="e">
        <f t="shared" si="10"/>
        <v>#REF!</v>
      </c>
      <c r="L173" t="s">
        <v>17</v>
      </c>
      <c r="M173" t="e">
        <f>VLOOKUP(A173,#REF!,6,FALSE)</f>
        <v>#REF!</v>
      </c>
    </row>
    <row r="174" spans="1:13" x14ac:dyDescent="0.25">
      <c r="A174">
        <v>323</v>
      </c>
      <c r="B174" t="s">
        <v>52</v>
      </c>
      <c r="C174" t="s">
        <v>28</v>
      </c>
      <c r="D174" s="10">
        <v>45552</v>
      </c>
      <c r="E174" s="7" t="s">
        <v>155</v>
      </c>
      <c r="F174" s="19"/>
      <c r="G174" s="19">
        <v>47.48</v>
      </c>
      <c r="H174" s="19">
        <v>12019.81</v>
      </c>
      <c r="I174" s="1">
        <f t="shared" si="9"/>
        <v>-47.48</v>
      </c>
      <c r="J174" s="1" t="e">
        <f t="shared" si="11"/>
        <v>#REF!</v>
      </c>
      <c r="K174" s="1" t="e">
        <f t="shared" si="10"/>
        <v>#REF!</v>
      </c>
      <c r="L174" t="s">
        <v>195</v>
      </c>
      <c r="M174" t="e">
        <f>VLOOKUP(A174,#REF!,6,FALSE)</f>
        <v>#REF!</v>
      </c>
    </row>
    <row r="175" spans="1:13" x14ac:dyDescent="0.25">
      <c r="A175">
        <v>324</v>
      </c>
      <c r="B175" t="s">
        <v>52</v>
      </c>
      <c r="C175" t="s">
        <v>28</v>
      </c>
      <c r="D175" s="10">
        <v>45552</v>
      </c>
      <c r="E175" s="7" t="s">
        <v>156</v>
      </c>
      <c r="F175" s="19"/>
      <c r="G175" s="19">
        <v>149.13999999999999</v>
      </c>
      <c r="H175" s="19">
        <v>11870.67</v>
      </c>
      <c r="I175" s="1">
        <f t="shared" si="9"/>
        <v>-149.13999999999999</v>
      </c>
      <c r="J175" s="1" t="e">
        <f t="shared" si="11"/>
        <v>#REF!</v>
      </c>
      <c r="K175" s="1" t="e">
        <f t="shared" si="10"/>
        <v>#REF!</v>
      </c>
      <c r="L175" t="s">
        <v>195</v>
      </c>
      <c r="M175" t="e">
        <f>VLOOKUP(A175,#REF!,6,FALSE)</f>
        <v>#REF!</v>
      </c>
    </row>
    <row r="176" spans="1:13" x14ac:dyDescent="0.25">
      <c r="A176">
        <v>325</v>
      </c>
      <c r="B176" t="s">
        <v>52</v>
      </c>
      <c r="C176" t="s">
        <v>28</v>
      </c>
      <c r="D176" s="10">
        <v>45552</v>
      </c>
      <c r="E176" s="7" t="s">
        <v>157</v>
      </c>
      <c r="F176" s="19"/>
      <c r="G176" s="19">
        <v>149.13</v>
      </c>
      <c r="H176" s="19">
        <v>11721.54</v>
      </c>
      <c r="I176" s="1">
        <f t="shared" si="9"/>
        <v>-149.13</v>
      </c>
      <c r="J176" s="1" t="e">
        <f t="shared" si="11"/>
        <v>#REF!</v>
      </c>
      <c r="K176" s="1" t="e">
        <f t="shared" si="10"/>
        <v>#REF!</v>
      </c>
      <c r="L176" t="s">
        <v>195</v>
      </c>
      <c r="M176" t="e">
        <f>VLOOKUP(A176,#REF!,6,FALSE)</f>
        <v>#REF!</v>
      </c>
    </row>
    <row r="177" spans="1:13" x14ac:dyDescent="0.25">
      <c r="A177">
        <v>326</v>
      </c>
      <c r="B177" t="s">
        <v>52</v>
      </c>
      <c r="C177" t="s">
        <v>28</v>
      </c>
      <c r="D177" s="10">
        <v>45552</v>
      </c>
      <c r="E177" s="7" t="s">
        <v>158</v>
      </c>
      <c r="F177" s="19"/>
      <c r="G177" s="19">
        <v>149.13999999999999</v>
      </c>
      <c r="H177" s="19">
        <v>11572.4</v>
      </c>
      <c r="I177" s="1">
        <f t="shared" si="9"/>
        <v>-149.13999999999999</v>
      </c>
      <c r="J177" s="1" t="e">
        <f t="shared" si="11"/>
        <v>#REF!</v>
      </c>
      <c r="K177" s="1" t="e">
        <f t="shared" si="10"/>
        <v>#REF!</v>
      </c>
      <c r="L177" t="s">
        <v>195</v>
      </c>
      <c r="M177" t="e">
        <f>VLOOKUP(A177,#REF!,6,FALSE)</f>
        <v>#REF!</v>
      </c>
    </row>
    <row r="178" spans="1:13" x14ac:dyDescent="0.25">
      <c r="A178">
        <v>327</v>
      </c>
      <c r="B178" t="s">
        <v>52</v>
      </c>
      <c r="C178" t="s">
        <v>28</v>
      </c>
      <c r="D178" s="10">
        <v>45553</v>
      </c>
      <c r="E178" s="7" t="s">
        <v>159</v>
      </c>
      <c r="F178" s="19">
        <v>1670</v>
      </c>
      <c r="G178" s="19"/>
      <c r="H178" s="19">
        <v>13242.4</v>
      </c>
      <c r="I178" s="1">
        <f t="shared" si="9"/>
        <v>1670</v>
      </c>
      <c r="J178" s="1" t="e">
        <f t="shared" si="11"/>
        <v>#REF!</v>
      </c>
      <c r="K178" s="1" t="e">
        <f t="shared" si="10"/>
        <v>#REF!</v>
      </c>
      <c r="L178" t="s">
        <v>17</v>
      </c>
      <c r="M178" t="e">
        <f>VLOOKUP(A178,#REF!,6,FALSE)</f>
        <v>#REF!</v>
      </c>
    </row>
    <row r="179" spans="1:13" x14ac:dyDescent="0.25">
      <c r="A179">
        <v>328</v>
      </c>
      <c r="B179" t="s">
        <v>52</v>
      </c>
      <c r="C179" t="s">
        <v>28</v>
      </c>
      <c r="D179" s="10">
        <v>45554</v>
      </c>
      <c r="E179" s="7" t="s">
        <v>160</v>
      </c>
      <c r="F179" s="19"/>
      <c r="G179" s="19">
        <v>357.7</v>
      </c>
      <c r="H179" s="19">
        <v>12884.7</v>
      </c>
      <c r="I179" s="1">
        <f t="shared" si="9"/>
        <v>-357.7</v>
      </c>
      <c r="J179" s="1" t="e">
        <f t="shared" si="11"/>
        <v>#REF!</v>
      </c>
      <c r="K179" s="1" t="e">
        <f t="shared" si="10"/>
        <v>#REF!</v>
      </c>
      <c r="L179" t="s">
        <v>19</v>
      </c>
      <c r="M179" t="e">
        <f>VLOOKUP(A179,#REF!,6,FALSE)</f>
        <v>#REF!</v>
      </c>
    </row>
    <row r="180" spans="1:13" x14ac:dyDescent="0.25">
      <c r="A180">
        <v>329</v>
      </c>
      <c r="B180" t="s">
        <v>52</v>
      </c>
      <c r="C180" t="s">
        <v>28</v>
      </c>
      <c r="D180" s="10">
        <v>45555</v>
      </c>
      <c r="E180" s="7" t="s">
        <v>161</v>
      </c>
      <c r="F180" s="19">
        <v>880</v>
      </c>
      <c r="G180" s="19"/>
      <c r="H180" s="19">
        <v>13764.7</v>
      </c>
      <c r="I180" s="1">
        <f t="shared" si="9"/>
        <v>880</v>
      </c>
      <c r="J180" s="1" t="e">
        <f t="shared" si="11"/>
        <v>#REF!</v>
      </c>
      <c r="K180" s="1" t="e">
        <f t="shared" si="10"/>
        <v>#REF!</v>
      </c>
      <c r="L180" t="s">
        <v>17</v>
      </c>
      <c r="M180" t="e">
        <f>VLOOKUP(A180,#REF!,6,FALSE)</f>
        <v>#REF!</v>
      </c>
    </row>
    <row r="181" spans="1:13" x14ac:dyDescent="0.25">
      <c r="A181">
        <v>330</v>
      </c>
      <c r="B181" t="s">
        <v>52</v>
      </c>
      <c r="C181" t="s">
        <v>28</v>
      </c>
      <c r="D181" s="10">
        <v>45561</v>
      </c>
      <c r="E181" s="7" t="s">
        <v>162</v>
      </c>
      <c r="F181" s="19"/>
      <c r="G181" s="19">
        <v>9.41</v>
      </c>
      <c r="H181" s="19">
        <v>13755.29</v>
      </c>
      <c r="I181" s="1">
        <f t="shared" si="9"/>
        <v>-9.41</v>
      </c>
      <c r="J181" s="1" t="e">
        <f t="shared" si="11"/>
        <v>#REF!</v>
      </c>
      <c r="K181" s="1" t="e">
        <f t="shared" si="10"/>
        <v>#REF!</v>
      </c>
      <c r="L181" t="s">
        <v>20</v>
      </c>
      <c r="M181" t="e">
        <f>VLOOKUP(A181,#REF!,6,FALSE)</f>
        <v>#REF!</v>
      </c>
    </row>
    <row r="182" spans="1:13" x14ac:dyDescent="0.25">
      <c r="A182">
        <v>331</v>
      </c>
      <c r="B182" t="s">
        <v>52</v>
      </c>
      <c r="C182" t="s">
        <v>28</v>
      </c>
      <c r="D182" s="10">
        <v>45562</v>
      </c>
      <c r="E182" s="7" t="s">
        <v>163</v>
      </c>
      <c r="F182" s="19">
        <v>1320</v>
      </c>
      <c r="G182" s="19"/>
      <c r="H182" s="19">
        <v>15075.29</v>
      </c>
      <c r="I182" s="1">
        <f t="shared" si="9"/>
        <v>1320</v>
      </c>
      <c r="J182" s="1" t="e">
        <f t="shared" si="11"/>
        <v>#REF!</v>
      </c>
      <c r="K182" s="1" t="e">
        <f t="shared" si="10"/>
        <v>#REF!</v>
      </c>
      <c r="L182" t="s">
        <v>17</v>
      </c>
      <c r="M182" t="e">
        <f>VLOOKUP(A182,#REF!,6,FALSE)</f>
        <v>#REF!</v>
      </c>
    </row>
    <row r="183" spans="1:13" x14ac:dyDescent="0.25">
      <c r="A183">
        <v>332</v>
      </c>
      <c r="B183" t="s">
        <v>52</v>
      </c>
      <c r="C183" t="s">
        <v>28</v>
      </c>
      <c r="D183" s="10">
        <v>45565</v>
      </c>
      <c r="E183" s="7" t="s">
        <v>164</v>
      </c>
      <c r="F183" s="19">
        <v>1200</v>
      </c>
      <c r="G183" s="19"/>
      <c r="H183" s="19">
        <v>16275.29</v>
      </c>
      <c r="I183" s="1">
        <f t="shared" si="9"/>
        <v>1200</v>
      </c>
      <c r="J183" s="1" t="e">
        <f t="shared" si="11"/>
        <v>#REF!</v>
      </c>
      <c r="K183" s="1" t="e">
        <f t="shared" si="10"/>
        <v>#REF!</v>
      </c>
      <c r="L183" t="s">
        <v>17</v>
      </c>
      <c r="M183" t="e">
        <f>VLOOKUP(A183,#REF!,6,FALSE)</f>
        <v>#REF!</v>
      </c>
    </row>
    <row r="184" spans="1:13" x14ac:dyDescent="0.25">
      <c r="A184">
        <v>333</v>
      </c>
      <c r="B184" t="s">
        <v>52</v>
      </c>
      <c r="C184" t="s">
        <v>28</v>
      </c>
      <c r="D184" s="10">
        <v>45565</v>
      </c>
      <c r="E184" s="7" t="s">
        <v>165</v>
      </c>
      <c r="F184" s="8"/>
      <c r="G184" s="19">
        <v>5.25</v>
      </c>
      <c r="H184" s="19">
        <v>16270.04</v>
      </c>
      <c r="I184" s="1">
        <f t="shared" si="9"/>
        <v>-5.25</v>
      </c>
      <c r="J184" s="1" t="e">
        <f t="shared" si="11"/>
        <v>#REF!</v>
      </c>
      <c r="K184" s="1" t="e">
        <f t="shared" si="10"/>
        <v>#REF!</v>
      </c>
      <c r="L184" t="s">
        <v>191</v>
      </c>
      <c r="M184" t="e">
        <f>VLOOKUP(A184,#REF!,6,FALSE)</f>
        <v>#REF!</v>
      </c>
    </row>
    <row r="185" spans="1:13" x14ac:dyDescent="0.25">
      <c r="A185">
        <v>334</v>
      </c>
      <c r="B185" t="s">
        <v>52</v>
      </c>
      <c r="C185" t="s">
        <v>28</v>
      </c>
      <c r="D185" s="10">
        <v>45566</v>
      </c>
      <c r="E185" s="7" t="s">
        <v>166</v>
      </c>
      <c r="F185" s="19"/>
      <c r="G185" s="19">
        <v>92.99</v>
      </c>
      <c r="H185" s="19">
        <v>16177.05</v>
      </c>
      <c r="I185" s="1">
        <f t="shared" si="9"/>
        <v>-92.99</v>
      </c>
      <c r="J185" s="1" t="e">
        <f t="shared" si="11"/>
        <v>#REF!</v>
      </c>
      <c r="K185" s="1" t="e">
        <f t="shared" si="10"/>
        <v>#REF!</v>
      </c>
      <c r="L185" t="s">
        <v>19</v>
      </c>
      <c r="M185" t="e">
        <f>VLOOKUP(A185,#REF!,6,FALSE)</f>
        <v>#REF!</v>
      </c>
    </row>
    <row r="186" spans="1:13" x14ac:dyDescent="0.25">
      <c r="A186">
        <v>335</v>
      </c>
      <c r="B186" t="s">
        <v>52</v>
      </c>
      <c r="C186" t="s">
        <v>28</v>
      </c>
      <c r="D186" s="10">
        <v>45566</v>
      </c>
      <c r="E186" s="7" t="s">
        <v>41</v>
      </c>
      <c r="F186" s="19"/>
      <c r="G186" s="19">
        <v>26.37</v>
      </c>
      <c r="H186" s="19">
        <v>16150.68</v>
      </c>
      <c r="I186" s="1">
        <f t="shared" si="9"/>
        <v>-26.37</v>
      </c>
      <c r="J186" s="1" t="e">
        <f t="shared" si="11"/>
        <v>#REF!</v>
      </c>
      <c r="K186" s="1" t="e">
        <f t="shared" si="10"/>
        <v>#REF!</v>
      </c>
      <c r="L186" t="s">
        <v>24</v>
      </c>
      <c r="M186" t="e">
        <f>VLOOKUP(A186,#REF!,6,FALSE)</f>
        <v>#REF!</v>
      </c>
    </row>
    <row r="187" spans="1:13" x14ac:dyDescent="0.25">
      <c r="A187">
        <v>336</v>
      </c>
      <c r="B187" t="s">
        <v>52</v>
      </c>
      <c r="C187" t="s">
        <v>28</v>
      </c>
      <c r="D187" s="10">
        <v>45566</v>
      </c>
      <c r="E187" s="7" t="s">
        <v>98</v>
      </c>
      <c r="F187" s="19"/>
      <c r="G187" s="19">
        <v>72</v>
      </c>
      <c r="H187" s="19">
        <v>16078.68</v>
      </c>
      <c r="I187" s="1">
        <f t="shared" si="9"/>
        <v>-72</v>
      </c>
      <c r="J187" s="1" t="e">
        <f t="shared" si="11"/>
        <v>#REF!</v>
      </c>
      <c r="K187" s="1" t="e">
        <f t="shared" si="10"/>
        <v>#REF!</v>
      </c>
      <c r="L187" t="s">
        <v>25</v>
      </c>
      <c r="M187" t="e">
        <f>VLOOKUP(A187,#REF!,6,FALSE)</f>
        <v>#REF!</v>
      </c>
    </row>
    <row r="188" spans="1:13" x14ac:dyDescent="0.25">
      <c r="A188">
        <v>337</v>
      </c>
      <c r="B188" t="s">
        <v>52</v>
      </c>
      <c r="C188" t="s">
        <v>28</v>
      </c>
      <c r="D188" s="10">
        <v>45567</v>
      </c>
      <c r="E188" s="7" t="s">
        <v>167</v>
      </c>
      <c r="F188" s="19"/>
      <c r="G188" s="19">
        <v>136.91999999999999</v>
      </c>
      <c r="H188" s="19">
        <v>15941.76</v>
      </c>
      <c r="I188" s="1">
        <f t="shared" si="9"/>
        <v>-136.91999999999999</v>
      </c>
      <c r="J188" s="1" t="e">
        <f t="shared" si="11"/>
        <v>#REF!</v>
      </c>
      <c r="K188" s="1" t="e">
        <f t="shared" si="10"/>
        <v>#REF!</v>
      </c>
      <c r="L188" t="s">
        <v>19</v>
      </c>
      <c r="M188" t="e">
        <f>VLOOKUP(A188,#REF!,6,FALSE)</f>
        <v>#REF!</v>
      </c>
    </row>
    <row r="189" spans="1:13" x14ac:dyDescent="0.25">
      <c r="A189">
        <v>338</v>
      </c>
      <c r="B189" t="s">
        <v>52</v>
      </c>
      <c r="C189" t="s">
        <v>28</v>
      </c>
      <c r="D189" s="10">
        <v>45569</v>
      </c>
      <c r="E189" s="7" t="s">
        <v>40</v>
      </c>
      <c r="F189" s="19">
        <v>333</v>
      </c>
      <c r="G189" s="19"/>
      <c r="H189" s="19">
        <v>16274.76</v>
      </c>
      <c r="I189" s="1">
        <f t="shared" si="9"/>
        <v>333</v>
      </c>
      <c r="J189" s="1" t="e">
        <f t="shared" si="11"/>
        <v>#REF!</v>
      </c>
      <c r="K189" s="1" t="e">
        <f t="shared" si="10"/>
        <v>#REF!</v>
      </c>
      <c r="L189" t="s">
        <v>17</v>
      </c>
      <c r="M189" t="e">
        <f>VLOOKUP(A189,#REF!,6,FALSE)</f>
        <v>#REF!</v>
      </c>
    </row>
    <row r="190" spans="1:13" x14ac:dyDescent="0.25">
      <c r="A190">
        <v>339</v>
      </c>
      <c r="B190" t="s">
        <v>52</v>
      </c>
      <c r="C190" t="s">
        <v>28</v>
      </c>
      <c r="D190" s="10">
        <v>45572</v>
      </c>
      <c r="E190" s="7" t="s">
        <v>168</v>
      </c>
      <c r="F190" s="19"/>
      <c r="G190" s="19">
        <v>32.82</v>
      </c>
      <c r="H190" s="19">
        <v>16241.94</v>
      </c>
      <c r="I190" s="1">
        <f t="shared" si="9"/>
        <v>-32.82</v>
      </c>
      <c r="J190" s="1" t="e">
        <f t="shared" si="11"/>
        <v>#REF!</v>
      </c>
      <c r="K190" s="1" t="e">
        <f t="shared" si="10"/>
        <v>#REF!</v>
      </c>
      <c r="L190" t="s">
        <v>223</v>
      </c>
      <c r="M190" t="e">
        <f>VLOOKUP(A190,#REF!,6,FALSE)</f>
        <v>#REF!</v>
      </c>
    </row>
    <row r="191" spans="1:13" x14ac:dyDescent="0.25">
      <c r="A191">
        <v>340</v>
      </c>
      <c r="B191" t="s">
        <v>52</v>
      </c>
      <c r="C191" t="s">
        <v>28</v>
      </c>
      <c r="D191" s="10">
        <v>45573</v>
      </c>
      <c r="E191" s="7" t="s">
        <v>169</v>
      </c>
      <c r="F191" s="19">
        <v>425</v>
      </c>
      <c r="G191" s="19"/>
      <c r="H191" s="19">
        <v>16666.939999999999</v>
      </c>
      <c r="I191" s="1">
        <f t="shared" si="9"/>
        <v>425</v>
      </c>
      <c r="J191" s="1" t="e">
        <f t="shared" si="11"/>
        <v>#REF!</v>
      </c>
      <c r="K191" s="1" t="e">
        <f t="shared" si="10"/>
        <v>#REF!</v>
      </c>
      <c r="L191" t="s">
        <v>17</v>
      </c>
      <c r="M191" t="e">
        <f>VLOOKUP(A191,#REF!,6,FALSE)</f>
        <v>#REF!</v>
      </c>
    </row>
    <row r="192" spans="1:13" x14ac:dyDescent="0.25">
      <c r="A192">
        <v>341</v>
      </c>
      <c r="B192" t="s">
        <v>52</v>
      </c>
      <c r="C192" t="s">
        <v>28</v>
      </c>
      <c r="D192" s="10">
        <v>45576</v>
      </c>
      <c r="E192" s="7" t="s">
        <v>170</v>
      </c>
      <c r="F192" s="19">
        <v>1245</v>
      </c>
      <c r="G192" s="19"/>
      <c r="H192" s="19">
        <v>17911.939999999999</v>
      </c>
      <c r="I192" s="1">
        <f t="shared" si="9"/>
        <v>1245</v>
      </c>
      <c r="J192" s="1" t="e">
        <f t="shared" si="11"/>
        <v>#REF!</v>
      </c>
      <c r="K192" s="1" t="e">
        <f t="shared" si="10"/>
        <v>#REF!</v>
      </c>
      <c r="L192" t="s">
        <v>17</v>
      </c>
      <c r="M192" t="e">
        <f>VLOOKUP(A192,#REF!,6,FALSE)</f>
        <v>#REF!</v>
      </c>
    </row>
    <row r="193" spans="1:13" x14ac:dyDescent="0.25">
      <c r="A193">
        <v>342</v>
      </c>
      <c r="B193" t="s">
        <v>52</v>
      </c>
      <c r="C193" t="s">
        <v>28</v>
      </c>
      <c r="D193" s="10">
        <v>45582</v>
      </c>
      <c r="E193" s="7" t="s">
        <v>171</v>
      </c>
      <c r="F193" s="19"/>
      <c r="G193" s="19">
        <v>25</v>
      </c>
      <c r="H193" s="19">
        <v>17886.939999999999</v>
      </c>
      <c r="I193" s="1">
        <f t="shared" si="9"/>
        <v>-25</v>
      </c>
      <c r="J193" s="1" t="e">
        <f t="shared" si="11"/>
        <v>#REF!</v>
      </c>
      <c r="K193" s="1" t="e">
        <f t="shared" si="10"/>
        <v>#REF!</v>
      </c>
      <c r="L193" t="s">
        <v>19</v>
      </c>
      <c r="M193" t="e">
        <f>VLOOKUP(A193,#REF!,6,FALSE)</f>
        <v>#REF!</v>
      </c>
    </row>
    <row r="194" spans="1:13" x14ac:dyDescent="0.25">
      <c r="A194">
        <v>343</v>
      </c>
      <c r="B194" t="s">
        <v>52</v>
      </c>
      <c r="C194" t="s">
        <v>28</v>
      </c>
      <c r="D194" s="10">
        <v>45582</v>
      </c>
      <c r="E194" s="7" t="s">
        <v>171</v>
      </c>
      <c r="F194" s="19"/>
      <c r="G194" s="19">
        <v>16</v>
      </c>
      <c r="H194" s="19">
        <v>17870.939999999999</v>
      </c>
      <c r="I194" s="1">
        <f t="shared" si="9"/>
        <v>-16</v>
      </c>
      <c r="J194" s="1" t="e">
        <f t="shared" si="11"/>
        <v>#REF!</v>
      </c>
      <c r="K194" s="1" t="e">
        <f t="shared" si="10"/>
        <v>#REF!</v>
      </c>
      <c r="L194" t="s">
        <v>19</v>
      </c>
      <c r="M194" t="e">
        <f>VLOOKUP(A194,#REF!,6,FALSE)</f>
        <v>#REF!</v>
      </c>
    </row>
    <row r="195" spans="1:13" x14ac:dyDescent="0.25">
      <c r="A195">
        <v>344</v>
      </c>
      <c r="B195" t="s">
        <v>52</v>
      </c>
      <c r="C195" t="s">
        <v>28</v>
      </c>
      <c r="D195" s="10">
        <v>45582</v>
      </c>
      <c r="E195" s="7" t="s">
        <v>172</v>
      </c>
      <c r="F195" s="19"/>
      <c r="G195" s="19">
        <v>7.2</v>
      </c>
      <c r="H195" s="19">
        <v>17863.740000000002</v>
      </c>
      <c r="I195" s="1">
        <f t="shared" si="9"/>
        <v>-7.2</v>
      </c>
      <c r="J195" s="1" t="e">
        <f t="shared" si="11"/>
        <v>#REF!</v>
      </c>
      <c r="K195" s="1" t="e">
        <f t="shared" si="10"/>
        <v>#REF!</v>
      </c>
      <c r="L195" t="s">
        <v>20</v>
      </c>
      <c r="M195" t="e">
        <f>VLOOKUP(A195,#REF!,6,FALSE)</f>
        <v>#REF!</v>
      </c>
    </row>
    <row r="196" spans="1:13" x14ac:dyDescent="0.25">
      <c r="A196">
        <v>345</v>
      </c>
      <c r="B196" t="s">
        <v>52</v>
      </c>
      <c r="C196" t="s">
        <v>28</v>
      </c>
      <c r="D196" s="10">
        <v>45583</v>
      </c>
      <c r="E196" s="7" t="s">
        <v>173</v>
      </c>
      <c r="F196" s="19">
        <v>425</v>
      </c>
      <c r="G196" s="19"/>
      <c r="H196" s="19">
        <v>18288.740000000002</v>
      </c>
      <c r="I196" s="1">
        <f t="shared" si="9"/>
        <v>425</v>
      </c>
      <c r="J196" s="1" t="e">
        <f t="shared" si="11"/>
        <v>#REF!</v>
      </c>
      <c r="K196" s="1" t="e">
        <f t="shared" si="10"/>
        <v>#REF!</v>
      </c>
      <c r="L196" t="s">
        <v>17</v>
      </c>
      <c r="M196" t="e">
        <f>VLOOKUP(A196,#REF!,6,FALSE)</f>
        <v>#REF!</v>
      </c>
    </row>
    <row r="197" spans="1:13" x14ac:dyDescent="0.25">
      <c r="A197">
        <v>346</v>
      </c>
      <c r="B197" t="s">
        <v>52</v>
      </c>
      <c r="C197" t="s">
        <v>28</v>
      </c>
      <c r="D197" s="10">
        <v>45583</v>
      </c>
      <c r="E197" s="7" t="s">
        <v>174</v>
      </c>
      <c r="F197" s="19"/>
      <c r="G197" s="19">
        <v>14.25</v>
      </c>
      <c r="H197" s="19">
        <v>18274.490000000002</v>
      </c>
      <c r="I197" s="1">
        <f t="shared" si="9"/>
        <v>-14.25</v>
      </c>
      <c r="J197" s="1" t="e">
        <f t="shared" si="11"/>
        <v>#REF!</v>
      </c>
      <c r="K197" s="1" t="e">
        <f t="shared" si="10"/>
        <v>#REF!</v>
      </c>
      <c r="L197" t="s">
        <v>19</v>
      </c>
      <c r="M197" t="e">
        <f>VLOOKUP(A197,#REF!,6,FALSE)</f>
        <v>#REF!</v>
      </c>
    </row>
    <row r="198" spans="1:13" x14ac:dyDescent="0.25">
      <c r="A198">
        <v>347</v>
      </c>
      <c r="B198" t="s">
        <v>52</v>
      </c>
      <c r="C198" t="s">
        <v>28</v>
      </c>
      <c r="D198" s="10">
        <v>45588</v>
      </c>
      <c r="E198" s="7" t="s">
        <v>175</v>
      </c>
      <c r="F198" s="19"/>
      <c r="G198" s="19">
        <v>76.28</v>
      </c>
      <c r="H198" s="19">
        <v>18198.21</v>
      </c>
      <c r="I198" s="1">
        <f t="shared" si="9"/>
        <v>-76.28</v>
      </c>
      <c r="J198" s="1" t="e">
        <f t="shared" si="11"/>
        <v>#REF!</v>
      </c>
      <c r="K198" s="1" t="e">
        <f t="shared" si="10"/>
        <v>#REF!</v>
      </c>
      <c r="L198" t="s">
        <v>39</v>
      </c>
      <c r="M198" t="e">
        <f>VLOOKUP(A198,#REF!,6,FALSE)</f>
        <v>#REF!</v>
      </c>
    </row>
    <row r="199" spans="1:13" x14ac:dyDescent="0.25">
      <c r="A199">
        <v>348</v>
      </c>
      <c r="B199" t="s">
        <v>52</v>
      </c>
      <c r="C199" t="s">
        <v>28</v>
      </c>
      <c r="D199" s="10">
        <v>45590</v>
      </c>
      <c r="E199" s="7" t="s">
        <v>176</v>
      </c>
      <c r="F199" s="19">
        <v>1800</v>
      </c>
      <c r="G199" s="19"/>
      <c r="H199" s="19">
        <v>19998.21</v>
      </c>
      <c r="I199" s="1">
        <f t="shared" si="9"/>
        <v>1800</v>
      </c>
      <c r="J199" s="1" t="e">
        <f t="shared" si="11"/>
        <v>#REF!</v>
      </c>
      <c r="K199" s="1" t="e">
        <f t="shared" si="10"/>
        <v>#REF!</v>
      </c>
      <c r="L199" t="s">
        <v>17</v>
      </c>
      <c r="M199" t="e">
        <f>VLOOKUP(A199,#REF!,6,FALSE)</f>
        <v>#REF!</v>
      </c>
    </row>
    <row r="200" spans="1:13" x14ac:dyDescent="0.25">
      <c r="A200">
        <v>349</v>
      </c>
      <c r="B200" t="s">
        <v>52</v>
      </c>
      <c r="C200" t="s">
        <v>28</v>
      </c>
      <c r="D200" s="10">
        <v>45595</v>
      </c>
      <c r="E200" s="7" t="s">
        <v>177</v>
      </c>
      <c r="F200" s="19"/>
      <c r="G200" s="19">
        <v>15</v>
      </c>
      <c r="H200" s="19">
        <v>19983.21</v>
      </c>
      <c r="I200" s="1">
        <f t="shared" si="9"/>
        <v>-15</v>
      </c>
      <c r="J200" s="1" t="e">
        <f t="shared" si="11"/>
        <v>#REF!</v>
      </c>
      <c r="K200" s="1" t="e">
        <f t="shared" si="10"/>
        <v>#REF!</v>
      </c>
      <c r="L200" t="s">
        <v>21</v>
      </c>
      <c r="M200" t="e">
        <f>VLOOKUP(A200,#REF!,6,FALSE)</f>
        <v>#REF!</v>
      </c>
    </row>
    <row r="201" spans="1:13" x14ac:dyDescent="0.25">
      <c r="A201">
        <v>350</v>
      </c>
      <c r="B201" t="s">
        <v>52</v>
      </c>
      <c r="C201" t="s">
        <v>28</v>
      </c>
      <c r="D201" s="10">
        <v>45596</v>
      </c>
      <c r="E201" s="7" t="s">
        <v>178</v>
      </c>
      <c r="F201" s="19">
        <v>905</v>
      </c>
      <c r="G201" s="19"/>
      <c r="H201" s="19">
        <v>20888.21</v>
      </c>
      <c r="I201" s="1">
        <f t="shared" si="9"/>
        <v>905</v>
      </c>
      <c r="J201" s="1" t="e">
        <f t="shared" si="11"/>
        <v>#REF!</v>
      </c>
      <c r="K201" s="1" t="e">
        <f t="shared" si="10"/>
        <v>#REF!</v>
      </c>
      <c r="L201" t="s">
        <v>17</v>
      </c>
      <c r="M201" t="e">
        <f>VLOOKUP(A201,#REF!,6,FALSE)</f>
        <v>#REF!</v>
      </c>
    </row>
    <row r="202" spans="1:13" x14ac:dyDescent="0.25">
      <c r="A202">
        <v>351</v>
      </c>
      <c r="B202" t="s">
        <v>52</v>
      </c>
      <c r="C202" t="s">
        <v>28</v>
      </c>
      <c r="D202" s="10">
        <v>45596</v>
      </c>
      <c r="E202" s="7" t="s">
        <v>179</v>
      </c>
      <c r="F202" s="19"/>
      <c r="G202" s="19">
        <v>7.35</v>
      </c>
      <c r="H202" s="19">
        <v>20880.86</v>
      </c>
      <c r="I202" s="1">
        <f t="shared" si="9"/>
        <v>-7.35</v>
      </c>
      <c r="J202" s="1" t="e">
        <f t="shared" si="11"/>
        <v>#REF!</v>
      </c>
      <c r="K202" s="1" t="e">
        <f t="shared" si="10"/>
        <v>#REF!</v>
      </c>
      <c r="L202" t="s">
        <v>191</v>
      </c>
      <c r="M202" t="e">
        <f>VLOOKUP(A202,#REF!,6,FALSE)</f>
        <v>#REF!</v>
      </c>
    </row>
    <row r="203" spans="1:13" x14ac:dyDescent="0.25">
      <c r="A203">
        <v>352</v>
      </c>
      <c r="B203" t="s">
        <v>52</v>
      </c>
      <c r="C203" t="s">
        <v>28</v>
      </c>
      <c r="D203" s="10">
        <v>45596</v>
      </c>
      <c r="E203" s="7" t="s">
        <v>180</v>
      </c>
      <c r="F203" s="19"/>
      <c r="G203" s="19">
        <v>15</v>
      </c>
      <c r="H203" s="19">
        <v>20865.86</v>
      </c>
      <c r="I203" s="1">
        <f t="shared" si="9"/>
        <v>-15</v>
      </c>
      <c r="J203" s="1" t="e">
        <f t="shared" si="11"/>
        <v>#REF!</v>
      </c>
      <c r="K203" s="1" t="e">
        <f t="shared" si="10"/>
        <v>#REF!</v>
      </c>
      <c r="L203" t="s">
        <v>21</v>
      </c>
      <c r="M203" t="e">
        <f>VLOOKUP(A203,#REF!,6,FALSE)</f>
        <v>#REF!</v>
      </c>
    </row>
    <row r="204" spans="1:13" x14ac:dyDescent="0.25">
      <c r="A204">
        <v>353</v>
      </c>
      <c r="B204" t="s">
        <v>52</v>
      </c>
      <c r="C204" t="s">
        <v>28</v>
      </c>
      <c r="D204" s="10">
        <v>45597</v>
      </c>
      <c r="E204" s="7" t="s">
        <v>41</v>
      </c>
      <c r="F204" s="19"/>
      <c r="G204" s="19">
        <v>26.33</v>
      </c>
      <c r="H204" s="19">
        <v>20839.53</v>
      </c>
      <c r="I204" s="1">
        <f t="shared" si="9"/>
        <v>-26.33</v>
      </c>
      <c r="J204" s="1" t="e">
        <f t="shared" si="11"/>
        <v>#REF!</v>
      </c>
      <c r="K204" s="1" t="e">
        <f t="shared" si="10"/>
        <v>#REF!</v>
      </c>
      <c r="L204" t="s">
        <v>24</v>
      </c>
      <c r="M204" t="e">
        <f>VLOOKUP(A204,#REF!,6,FALSE)</f>
        <v>#REF!</v>
      </c>
    </row>
    <row r="205" spans="1:13" x14ac:dyDescent="0.25">
      <c r="A205">
        <v>354</v>
      </c>
      <c r="B205" t="s">
        <v>52</v>
      </c>
      <c r="C205" t="s">
        <v>28</v>
      </c>
      <c r="D205" s="10">
        <v>45604</v>
      </c>
      <c r="E205" s="7" t="s">
        <v>60</v>
      </c>
      <c r="F205" s="19">
        <v>990</v>
      </c>
      <c r="G205" s="19"/>
      <c r="H205" s="19">
        <v>21829.53</v>
      </c>
      <c r="I205" s="1">
        <f t="shared" si="9"/>
        <v>990</v>
      </c>
      <c r="J205" s="1" t="e">
        <f t="shared" si="11"/>
        <v>#REF!</v>
      </c>
      <c r="K205" s="1" t="e">
        <f t="shared" si="10"/>
        <v>#REF!</v>
      </c>
      <c r="L205" t="s">
        <v>17</v>
      </c>
      <c r="M205" t="e">
        <f>VLOOKUP(A205,#REF!,6,FALSE)</f>
        <v>#REF!</v>
      </c>
    </row>
    <row r="206" spans="1:13" x14ac:dyDescent="0.25">
      <c r="A206">
        <v>355</v>
      </c>
      <c r="B206" t="s">
        <v>52</v>
      </c>
      <c r="C206" t="s">
        <v>28</v>
      </c>
      <c r="D206" s="10">
        <v>45607</v>
      </c>
      <c r="E206" s="7" t="s">
        <v>181</v>
      </c>
      <c r="F206" s="19">
        <v>400</v>
      </c>
      <c r="G206" s="19"/>
      <c r="H206" s="19">
        <v>22229.53</v>
      </c>
      <c r="I206" s="1">
        <f t="shared" si="9"/>
        <v>400</v>
      </c>
      <c r="J206" s="1" t="e">
        <f t="shared" si="11"/>
        <v>#REF!</v>
      </c>
      <c r="K206" s="1" t="e">
        <f t="shared" si="10"/>
        <v>#REF!</v>
      </c>
      <c r="L206" t="s">
        <v>17</v>
      </c>
      <c r="M206" t="e">
        <f>VLOOKUP(A206,#REF!,6,FALSE)</f>
        <v>#REF!</v>
      </c>
    </row>
    <row r="207" spans="1:13" x14ac:dyDescent="0.25">
      <c r="A207">
        <v>356</v>
      </c>
      <c r="B207" t="s">
        <v>52</v>
      </c>
      <c r="C207" t="s">
        <v>28</v>
      </c>
      <c r="D207" s="10">
        <v>45611</v>
      </c>
      <c r="E207" s="7" t="s">
        <v>182</v>
      </c>
      <c r="F207" s="19">
        <v>1665</v>
      </c>
      <c r="G207" s="19"/>
      <c r="H207" s="19">
        <v>23894.53</v>
      </c>
      <c r="I207" s="1">
        <f t="shared" si="9"/>
        <v>1665</v>
      </c>
      <c r="J207" s="1" t="e">
        <f t="shared" si="11"/>
        <v>#REF!</v>
      </c>
      <c r="K207" s="1" t="e">
        <f t="shared" si="10"/>
        <v>#REF!</v>
      </c>
      <c r="L207" t="s">
        <v>17</v>
      </c>
      <c r="M207" t="e">
        <f>VLOOKUP(A207,#REF!,6,FALSE)</f>
        <v>#REF!</v>
      </c>
    </row>
    <row r="208" spans="1:13" x14ac:dyDescent="0.25">
      <c r="A208">
        <v>357</v>
      </c>
      <c r="B208" t="s">
        <v>52</v>
      </c>
      <c r="C208" t="s">
        <v>28</v>
      </c>
      <c r="D208" s="10">
        <v>45611</v>
      </c>
      <c r="E208" s="7" t="s">
        <v>183</v>
      </c>
      <c r="F208" s="19">
        <v>800</v>
      </c>
      <c r="G208" s="19"/>
      <c r="H208" s="19">
        <v>24694.53</v>
      </c>
      <c r="I208" s="1">
        <f t="shared" si="9"/>
        <v>800</v>
      </c>
      <c r="J208" s="1" t="e">
        <f t="shared" si="11"/>
        <v>#REF!</v>
      </c>
      <c r="K208" s="1" t="e">
        <f t="shared" si="10"/>
        <v>#REF!</v>
      </c>
      <c r="L208" t="s">
        <v>17</v>
      </c>
      <c r="M208" t="e">
        <f>VLOOKUP(A208,#REF!,6,FALSE)</f>
        <v>#REF!</v>
      </c>
    </row>
    <row r="209" spans="1:13" x14ac:dyDescent="0.25">
      <c r="A209">
        <v>358</v>
      </c>
      <c r="B209" t="s">
        <v>52</v>
      </c>
      <c r="C209" t="s">
        <v>28</v>
      </c>
      <c r="D209" s="10">
        <v>45618</v>
      </c>
      <c r="E209" s="7" t="s">
        <v>184</v>
      </c>
      <c r="F209" s="19">
        <v>1275</v>
      </c>
      <c r="G209" s="19"/>
      <c r="H209" s="19">
        <v>25969.53</v>
      </c>
      <c r="I209" s="1">
        <f t="shared" si="9"/>
        <v>1275</v>
      </c>
      <c r="J209" s="1" t="e">
        <f t="shared" si="11"/>
        <v>#REF!</v>
      </c>
      <c r="K209" s="1" t="e">
        <f t="shared" si="10"/>
        <v>#REF!</v>
      </c>
      <c r="L209" t="s">
        <v>17</v>
      </c>
      <c r="M209" t="e">
        <f>VLOOKUP(A209,#REF!,6,FALSE)</f>
        <v>#REF!</v>
      </c>
    </row>
    <row r="210" spans="1:13" x14ac:dyDescent="0.25">
      <c r="A210">
        <v>359</v>
      </c>
      <c r="B210" t="s">
        <v>52</v>
      </c>
      <c r="C210" t="s">
        <v>28</v>
      </c>
      <c r="D210" s="10">
        <v>45621</v>
      </c>
      <c r="E210" s="7" t="s">
        <v>185</v>
      </c>
      <c r="F210" s="19"/>
      <c r="G210" s="19">
        <v>265.19</v>
      </c>
      <c r="H210" s="19">
        <v>25704.34</v>
      </c>
      <c r="I210" s="1">
        <f t="shared" si="9"/>
        <v>-265.19</v>
      </c>
      <c r="J210" s="1" t="e">
        <f t="shared" si="11"/>
        <v>#REF!</v>
      </c>
      <c r="K210" s="1" t="e">
        <f t="shared" si="10"/>
        <v>#REF!</v>
      </c>
      <c r="L210" t="s">
        <v>27</v>
      </c>
      <c r="M210" t="e">
        <f>VLOOKUP(A210,#REF!,6,FALSE)</f>
        <v>#REF!</v>
      </c>
    </row>
    <row r="211" spans="1:13" x14ac:dyDescent="0.25">
      <c r="A211">
        <v>360</v>
      </c>
      <c r="B211" t="s">
        <v>52</v>
      </c>
      <c r="C211" t="s">
        <v>28</v>
      </c>
      <c r="D211" s="10">
        <v>45625</v>
      </c>
      <c r="E211" s="7" t="s">
        <v>186</v>
      </c>
      <c r="F211" s="19">
        <v>845</v>
      </c>
      <c r="G211" s="19"/>
      <c r="H211" s="19">
        <v>26549.34</v>
      </c>
      <c r="I211" s="1">
        <f t="shared" si="9"/>
        <v>845</v>
      </c>
      <c r="J211" s="1" t="e">
        <f t="shared" si="11"/>
        <v>#REF!</v>
      </c>
      <c r="K211" s="1" t="e">
        <f t="shared" si="10"/>
        <v>#REF!</v>
      </c>
      <c r="L211" t="s">
        <v>17</v>
      </c>
      <c r="M211" t="e">
        <f>VLOOKUP(A211,#REF!,6,FALSE)</f>
        <v>#REF!</v>
      </c>
    </row>
    <row r="212" spans="1:13" x14ac:dyDescent="0.25">
      <c r="A212">
        <v>361</v>
      </c>
      <c r="B212" t="s">
        <v>52</v>
      </c>
      <c r="C212" t="s">
        <v>28</v>
      </c>
      <c r="D212" s="13">
        <v>45625</v>
      </c>
      <c r="E212" s="7" t="s">
        <v>187</v>
      </c>
      <c r="F212" s="19"/>
      <c r="G212" s="19">
        <v>4.9000000000000004</v>
      </c>
      <c r="H212" s="19">
        <v>26544.44</v>
      </c>
      <c r="I212" s="1">
        <f t="shared" si="9"/>
        <v>-4.9000000000000004</v>
      </c>
      <c r="J212" s="1" t="e">
        <f t="shared" si="11"/>
        <v>#REF!</v>
      </c>
      <c r="K212" s="1" t="e">
        <f t="shared" si="10"/>
        <v>#REF!</v>
      </c>
      <c r="L212" t="s">
        <v>191</v>
      </c>
      <c r="M212" t="e">
        <f>VLOOKUP(A212,#REF!,6,FALSE)</f>
        <v>#REF!</v>
      </c>
    </row>
    <row r="213" spans="1:13" x14ac:dyDescent="0.25">
      <c r="A213">
        <v>362</v>
      </c>
      <c r="B213" t="s">
        <v>52</v>
      </c>
      <c r="C213" t="s">
        <v>53</v>
      </c>
      <c r="D213" s="13">
        <v>45628</v>
      </c>
      <c r="E213" s="7" t="s">
        <v>188</v>
      </c>
      <c r="F213" s="19"/>
      <c r="G213" s="19">
        <v>5000</v>
      </c>
      <c r="H213" s="19">
        <v>21544.44</v>
      </c>
      <c r="I213" s="1">
        <f t="shared" si="9"/>
        <v>-5000</v>
      </c>
      <c r="J213" s="1" t="e">
        <f t="shared" si="11"/>
        <v>#REF!</v>
      </c>
      <c r="K213" s="1" t="e">
        <f t="shared" si="10"/>
        <v>#REF!</v>
      </c>
      <c r="L213" t="s">
        <v>1</v>
      </c>
      <c r="M213" t="e">
        <f>VLOOKUP(A213,#REF!,6,FALSE)</f>
        <v>#REF!</v>
      </c>
    </row>
  </sheetData>
  <autoFilter ref="A1:M213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120"/>
  <sheetViews>
    <sheetView tabSelected="1" zoomScale="70" zoomScaleNormal="70" workbookViewId="0">
      <selection activeCell="J19" sqref="J19"/>
    </sheetView>
  </sheetViews>
  <sheetFormatPr defaultRowHeight="15" x14ac:dyDescent="0.25"/>
  <cols>
    <col min="1" max="1" width="22.42578125" bestFit="1" customWidth="1"/>
    <col min="2" max="2" width="21.7109375" bestFit="1" customWidth="1"/>
    <col min="3" max="4" width="13.85546875" bestFit="1" customWidth="1"/>
    <col min="5" max="5" width="11.140625" bestFit="1" customWidth="1"/>
    <col min="10" max="10" width="41.7109375" customWidth="1"/>
    <col min="12" max="12" width="21.7109375" style="1" customWidth="1"/>
    <col min="13" max="13" width="22" style="1" customWidth="1"/>
    <col min="14" max="14" width="16.42578125" style="1" customWidth="1"/>
    <col min="15" max="15" width="15.28515625" style="1" customWidth="1"/>
    <col min="16" max="16" width="16" style="1" customWidth="1"/>
    <col min="17" max="17" width="12.7109375" style="1" customWidth="1"/>
    <col min="18" max="23" width="13.5703125" style="1" customWidth="1"/>
    <col min="24" max="25" width="16.28515625" style="1" customWidth="1"/>
    <col min="26" max="26" width="13.140625" style="1" bestFit="1" customWidth="1"/>
    <col min="27" max="27" width="12.140625" style="1" hidden="1" customWidth="1"/>
    <col min="28" max="28" width="13.7109375" style="1" hidden="1" customWidth="1"/>
    <col min="29" max="30" width="0" style="1" hidden="1" customWidth="1"/>
    <col min="31" max="31" width="15.85546875" style="1" bestFit="1" customWidth="1"/>
    <col min="33" max="33" width="13.140625" bestFit="1" customWidth="1"/>
  </cols>
  <sheetData>
    <row r="2" spans="1:14" x14ac:dyDescent="0.25">
      <c r="A2" s="2" t="s">
        <v>2</v>
      </c>
      <c r="B2" s="2" t="s">
        <v>3</v>
      </c>
      <c r="F2" s="1"/>
      <c r="G2" s="1"/>
      <c r="H2" s="1"/>
      <c r="I2" s="1"/>
      <c r="J2" s="1"/>
      <c r="K2" s="1"/>
    </row>
    <row r="3" spans="1:14" x14ac:dyDescent="0.25">
      <c r="A3" s="2" t="s">
        <v>5</v>
      </c>
      <c r="B3" t="s">
        <v>28</v>
      </c>
      <c r="C3" t="s">
        <v>53</v>
      </c>
      <c r="F3" s="1"/>
      <c r="G3" s="1"/>
      <c r="H3" s="1"/>
      <c r="I3" s="1"/>
      <c r="J3" s="1"/>
      <c r="K3" s="1"/>
    </row>
    <row r="4" spans="1:14" x14ac:dyDescent="0.25">
      <c r="A4" s="3" t="s">
        <v>192</v>
      </c>
      <c r="B4" s="15">
        <v>-613</v>
      </c>
      <c r="C4" s="4"/>
      <c r="D4" t="s">
        <v>36</v>
      </c>
      <c r="F4" s="1"/>
      <c r="G4" s="1"/>
      <c r="H4" s="1"/>
      <c r="I4" s="1" t="s">
        <v>36</v>
      </c>
      <c r="J4" s="1">
        <f>SUMIF(D:D,I4,B:B)</f>
        <v>82571.820000000022</v>
      </c>
      <c r="L4" s="20" t="s">
        <v>17</v>
      </c>
      <c r="N4" s="1">
        <f>SUMIF(A:A,L4,B:B)</f>
        <v>87491.97</v>
      </c>
    </row>
    <row r="5" spans="1:14" x14ac:dyDescent="0.25">
      <c r="A5" s="3" t="s">
        <v>191</v>
      </c>
      <c r="B5" s="15">
        <v>-25.199999999999996</v>
      </c>
      <c r="C5" s="4"/>
      <c r="D5" t="s">
        <v>36</v>
      </c>
      <c r="F5" s="1"/>
      <c r="G5" s="1"/>
      <c r="H5" s="1"/>
      <c r="I5" s="1" t="s">
        <v>37</v>
      </c>
      <c r="J5" s="1">
        <f>SUMIF(D:D,I5,B:B)</f>
        <v>-68417.680000000008</v>
      </c>
      <c r="N5" s="1">
        <f t="shared" ref="N5:N33" si="0">SUMIF(A:A,L5,B:B)</f>
        <v>0</v>
      </c>
    </row>
    <row r="6" spans="1:14" x14ac:dyDescent="0.25">
      <c r="A6" s="3" t="s">
        <v>194</v>
      </c>
      <c r="B6" s="15">
        <v>-54.449999999999996</v>
      </c>
      <c r="C6" s="4"/>
      <c r="D6" t="s">
        <v>36</v>
      </c>
      <c r="F6" s="1"/>
      <c r="G6" s="1"/>
      <c r="H6" s="1"/>
      <c r="I6" s="1"/>
      <c r="J6" s="1"/>
      <c r="L6" s="1" t="s">
        <v>222</v>
      </c>
      <c r="N6" s="1">
        <f t="shared" si="0"/>
        <v>0</v>
      </c>
    </row>
    <row r="7" spans="1:14" x14ac:dyDescent="0.25">
      <c r="A7" s="3" t="s">
        <v>1</v>
      </c>
      <c r="B7" s="15">
        <v>-60053.41</v>
      </c>
      <c r="C7" s="4">
        <v>-5000</v>
      </c>
      <c r="D7" t="s">
        <v>37</v>
      </c>
      <c r="F7" s="1"/>
      <c r="G7" s="1"/>
      <c r="H7" s="1"/>
      <c r="I7" s="1"/>
      <c r="J7" s="1">
        <f>SUM(J4:J6)</f>
        <v>14154.140000000014</v>
      </c>
      <c r="L7" s="1" t="s">
        <v>195</v>
      </c>
      <c r="N7" s="1">
        <f t="shared" si="0"/>
        <v>-494.89</v>
      </c>
    </row>
    <row r="8" spans="1:14" x14ac:dyDescent="0.25">
      <c r="A8" s="3" t="s">
        <v>193</v>
      </c>
      <c r="B8" s="15">
        <v>-8287.99</v>
      </c>
      <c r="C8" s="4"/>
      <c r="D8" t="s">
        <v>37</v>
      </c>
      <c r="F8" s="16"/>
      <c r="G8" s="16"/>
      <c r="H8" s="16"/>
      <c r="I8" s="16"/>
      <c r="J8" s="5">
        <f>J7-GETPIVOTDATA("NET",$B$23,"ACC","FY24")</f>
        <v>1.6370904631912708E-11</v>
      </c>
      <c r="L8" s="20" t="s">
        <v>189</v>
      </c>
      <c r="N8" s="1">
        <f t="shared" si="0"/>
        <v>-35</v>
      </c>
    </row>
    <row r="9" spans="1:14" x14ac:dyDescent="0.25">
      <c r="A9" s="3" t="s">
        <v>195</v>
      </c>
      <c r="B9" s="15">
        <v>-494.89</v>
      </c>
      <c r="C9" s="4"/>
      <c r="D9" t="s">
        <v>36</v>
      </c>
      <c r="F9" s="1"/>
      <c r="G9" s="1"/>
      <c r="H9" s="1"/>
      <c r="I9" s="1"/>
      <c r="N9" s="1">
        <f t="shared" si="0"/>
        <v>0</v>
      </c>
    </row>
    <row r="10" spans="1:14" x14ac:dyDescent="0.25">
      <c r="A10" s="3" t="s">
        <v>19</v>
      </c>
      <c r="B10" s="15">
        <v>-1108.0800000000002</v>
      </c>
      <c r="C10" s="4"/>
      <c r="D10" t="s">
        <v>36</v>
      </c>
      <c r="F10" s="1"/>
      <c r="G10" s="1"/>
      <c r="H10" s="1"/>
      <c r="I10" s="1"/>
      <c r="J10" s="1"/>
      <c r="N10" s="1">
        <f t="shared" si="0"/>
        <v>0</v>
      </c>
    </row>
    <row r="11" spans="1:14" x14ac:dyDescent="0.25">
      <c r="A11" s="3" t="s">
        <v>17</v>
      </c>
      <c r="B11" s="15">
        <v>87491.97</v>
      </c>
      <c r="C11" s="4"/>
      <c r="D11" t="s">
        <v>36</v>
      </c>
      <c r="F11" s="1"/>
      <c r="G11" s="1"/>
      <c r="H11" s="1"/>
      <c r="I11" s="1"/>
      <c r="J11" s="1"/>
      <c r="N11" s="1">
        <f t="shared" si="0"/>
        <v>0</v>
      </c>
    </row>
    <row r="12" spans="1:14" x14ac:dyDescent="0.25">
      <c r="A12" s="3" t="s">
        <v>20</v>
      </c>
      <c r="B12" s="15">
        <v>-21.04</v>
      </c>
      <c r="C12" s="4"/>
      <c r="D12" t="s">
        <v>36</v>
      </c>
      <c r="F12" s="1"/>
      <c r="G12" s="1"/>
      <c r="H12" s="1"/>
      <c r="I12" s="1"/>
      <c r="L12" s="20" t="s">
        <v>22</v>
      </c>
      <c r="N12" s="1">
        <f t="shared" si="0"/>
        <v>-101.39999999999993</v>
      </c>
    </row>
    <row r="13" spans="1:14" x14ac:dyDescent="0.25">
      <c r="A13" s="3" t="s">
        <v>21</v>
      </c>
      <c r="B13" s="15">
        <v>-300.8</v>
      </c>
      <c r="C13" s="4"/>
      <c r="D13" t="s">
        <v>36</v>
      </c>
      <c r="L13" s="20" t="s">
        <v>20</v>
      </c>
      <c r="N13" s="1">
        <f t="shared" si="0"/>
        <v>-21.04</v>
      </c>
    </row>
    <row r="14" spans="1:14" x14ac:dyDescent="0.25">
      <c r="A14" s="3" t="s">
        <v>25</v>
      </c>
      <c r="B14" s="15">
        <v>-720</v>
      </c>
      <c r="C14" s="4"/>
      <c r="D14" t="s">
        <v>36</v>
      </c>
      <c r="L14" s="20" t="s">
        <v>225</v>
      </c>
      <c r="N14" s="1">
        <f t="shared" si="0"/>
        <v>-150</v>
      </c>
    </row>
    <row r="15" spans="1:14" x14ac:dyDescent="0.25">
      <c r="A15" s="3" t="s">
        <v>24</v>
      </c>
      <c r="B15" s="15">
        <v>-306.90000000000003</v>
      </c>
      <c r="C15" s="4"/>
      <c r="D15" t="s">
        <v>36</v>
      </c>
      <c r="L15" s="20" t="s">
        <v>194</v>
      </c>
      <c r="N15" s="1">
        <f t="shared" si="0"/>
        <v>-54.449999999999996</v>
      </c>
    </row>
    <row r="16" spans="1:14" x14ac:dyDescent="0.25">
      <c r="A16" s="3" t="s">
        <v>190</v>
      </c>
      <c r="B16" s="15">
        <v>-405</v>
      </c>
      <c r="C16" s="4"/>
      <c r="D16" t="s">
        <v>36</v>
      </c>
      <c r="L16" s="20" t="s">
        <v>224</v>
      </c>
      <c r="N16" s="1">
        <f t="shared" si="0"/>
        <v>-70</v>
      </c>
    </row>
    <row r="17" spans="1:14" x14ac:dyDescent="0.25">
      <c r="A17" s="3" t="s">
        <v>27</v>
      </c>
      <c r="B17" s="15">
        <v>-266.39</v>
      </c>
      <c r="C17" s="4"/>
      <c r="D17" t="s">
        <v>36</v>
      </c>
      <c r="L17" s="20" t="s">
        <v>21</v>
      </c>
      <c r="N17" s="1">
        <f t="shared" si="0"/>
        <v>-300.8</v>
      </c>
    </row>
    <row r="18" spans="1:14" x14ac:dyDescent="0.25">
      <c r="A18" s="3" t="s">
        <v>22</v>
      </c>
      <c r="B18" s="15">
        <v>-101.39999999999993</v>
      </c>
      <c r="C18" s="4"/>
      <c r="D18" t="s">
        <v>36</v>
      </c>
      <c r="L18" s="20" t="s">
        <v>19</v>
      </c>
      <c r="N18" s="1">
        <f t="shared" si="0"/>
        <v>-1108.0800000000002</v>
      </c>
    </row>
    <row r="19" spans="1:14" x14ac:dyDescent="0.25">
      <c r="A19" s="3" t="s">
        <v>189</v>
      </c>
      <c r="B19" s="15">
        <v>-35</v>
      </c>
      <c r="C19" s="4"/>
      <c r="D19" t="s">
        <v>36</v>
      </c>
      <c r="L19" s="1" t="s">
        <v>38</v>
      </c>
      <c r="N19" s="1">
        <f t="shared" si="0"/>
        <v>0</v>
      </c>
    </row>
    <row r="20" spans="1:14" x14ac:dyDescent="0.25">
      <c r="A20" s="3" t="s">
        <v>223</v>
      </c>
      <c r="B20" s="4">
        <v>-195.28</v>
      </c>
      <c r="C20" s="4"/>
      <c r="D20" t="s">
        <v>36</v>
      </c>
      <c r="L20" s="20"/>
      <c r="N20" s="1">
        <f t="shared" si="0"/>
        <v>0</v>
      </c>
    </row>
    <row r="21" spans="1:14" x14ac:dyDescent="0.25">
      <c r="A21" s="3" t="s">
        <v>39</v>
      </c>
      <c r="B21" s="4">
        <v>-76.28</v>
      </c>
      <c r="C21" s="4"/>
      <c r="D21" t="s">
        <v>37</v>
      </c>
      <c r="L21" s="20" t="s">
        <v>221</v>
      </c>
      <c r="N21" s="1">
        <f t="shared" si="0"/>
        <v>0</v>
      </c>
    </row>
    <row r="22" spans="1:14" x14ac:dyDescent="0.25">
      <c r="A22" s="3" t="s">
        <v>224</v>
      </c>
      <c r="B22" s="4">
        <v>-70</v>
      </c>
      <c r="C22" s="4"/>
      <c r="D22" t="s">
        <v>36</v>
      </c>
      <c r="L22" s="20"/>
      <c r="N22" s="1">
        <f t="shared" si="0"/>
        <v>0</v>
      </c>
    </row>
    <row r="23" spans="1:14" x14ac:dyDescent="0.25">
      <c r="A23" s="3" t="s">
        <v>225</v>
      </c>
      <c r="B23" s="4">
        <v>-150</v>
      </c>
      <c r="C23" s="4"/>
      <c r="D23" t="s">
        <v>36</v>
      </c>
      <c r="L23" s="20"/>
      <c r="N23" s="1">
        <f t="shared" si="0"/>
        <v>0</v>
      </c>
    </row>
    <row r="24" spans="1:14" x14ac:dyDescent="0.25">
      <c r="A24" s="3" t="s">
        <v>227</v>
      </c>
      <c r="B24" s="4">
        <v>-52.72</v>
      </c>
      <c r="C24" s="4"/>
      <c r="D24" t="s">
        <v>36</v>
      </c>
      <c r="G24" s="16"/>
      <c r="H24" s="16"/>
      <c r="I24" s="16"/>
      <c r="L24" s="20" t="s">
        <v>226</v>
      </c>
      <c r="N24" s="1">
        <f t="shared" si="0"/>
        <v>0</v>
      </c>
    </row>
    <row r="25" spans="1:14" x14ac:dyDescent="0.25">
      <c r="A25" s="3" t="s">
        <v>4</v>
      </c>
      <c r="B25" s="4">
        <v>14154.139999999998</v>
      </c>
      <c r="C25" s="4">
        <v>-5000</v>
      </c>
      <c r="F25" s="16"/>
      <c r="L25" s="20" t="s">
        <v>25</v>
      </c>
      <c r="N25" s="1">
        <f t="shared" si="0"/>
        <v>-720</v>
      </c>
    </row>
    <row r="26" spans="1:14" x14ac:dyDescent="0.25">
      <c r="L26" s="20" t="s">
        <v>191</v>
      </c>
      <c r="N26" s="1">
        <f t="shared" si="0"/>
        <v>-25.199999999999996</v>
      </c>
    </row>
    <row r="27" spans="1:14" x14ac:dyDescent="0.25">
      <c r="L27" s="20" t="s">
        <v>227</v>
      </c>
      <c r="N27" s="1">
        <f t="shared" si="0"/>
        <v>-52.72</v>
      </c>
    </row>
    <row r="28" spans="1:14" x14ac:dyDescent="0.25">
      <c r="L28" s="20" t="s">
        <v>223</v>
      </c>
      <c r="N28" s="1">
        <f t="shared" si="0"/>
        <v>-195.28</v>
      </c>
    </row>
    <row r="29" spans="1:14" x14ac:dyDescent="0.25">
      <c r="L29" s="20" t="s">
        <v>27</v>
      </c>
      <c r="N29" s="1">
        <f t="shared" si="0"/>
        <v>-266.39</v>
      </c>
    </row>
    <row r="30" spans="1:14" x14ac:dyDescent="0.25">
      <c r="N30" s="1">
        <f t="shared" si="0"/>
        <v>0</v>
      </c>
    </row>
    <row r="31" spans="1:14" x14ac:dyDescent="0.25">
      <c r="L31" s="20" t="s">
        <v>192</v>
      </c>
      <c r="N31" s="1">
        <f t="shared" si="0"/>
        <v>-613</v>
      </c>
    </row>
    <row r="32" spans="1:14" x14ac:dyDescent="0.25">
      <c r="L32" s="20" t="s">
        <v>24</v>
      </c>
      <c r="N32" s="1">
        <f t="shared" si="0"/>
        <v>-306.90000000000003</v>
      </c>
    </row>
    <row r="33" spans="10:14" x14ac:dyDescent="0.25">
      <c r="L33" s="20" t="s">
        <v>190</v>
      </c>
      <c r="N33" s="1">
        <f t="shared" si="0"/>
        <v>-405</v>
      </c>
    </row>
    <row r="34" spans="10:14" x14ac:dyDescent="0.25">
      <c r="J34" s="16"/>
    </row>
    <row r="35" spans="10:14" x14ac:dyDescent="0.25">
      <c r="J35" s="3"/>
    </row>
    <row r="36" spans="10:14" x14ac:dyDescent="0.25">
      <c r="N36" s="18">
        <f>SUM(N4:N34)</f>
        <v>82571.820000000022</v>
      </c>
    </row>
    <row r="38" spans="10:14" x14ac:dyDescent="0.25">
      <c r="N38" s="5">
        <f>N36-J4</f>
        <v>0</v>
      </c>
    </row>
    <row r="43" spans="10:14" x14ac:dyDescent="0.25">
      <c r="J43" s="14" t="s">
        <v>196</v>
      </c>
      <c r="L43" s="1">
        <v>1</v>
      </c>
      <c r="N43" s="1">
        <f t="shared" ref="N43:N49" si="1">SUM(L43:M43)</f>
        <v>1</v>
      </c>
    </row>
    <row r="44" spans="10:14" x14ac:dyDescent="0.25">
      <c r="J44" s="14" t="s">
        <v>197</v>
      </c>
      <c r="L44" s="1">
        <v>12390</v>
      </c>
      <c r="M44" s="1">
        <f>GETPIVOTDATA("NET",$A$2,"ACC","FY24")</f>
        <v>14154.139999999998</v>
      </c>
      <c r="N44" s="1">
        <f t="shared" si="1"/>
        <v>26544.14</v>
      </c>
    </row>
    <row r="45" spans="10:14" x14ac:dyDescent="0.25">
      <c r="J45" s="14" t="s">
        <v>198</v>
      </c>
      <c r="L45" s="1">
        <f>-8287</f>
        <v>-8287</v>
      </c>
      <c r="M45" s="1">
        <f>-GETPIVOTDATA("NET",$A$2,"ACC","FY24","UC category","HMRC-CT")</f>
        <v>8287.99</v>
      </c>
      <c r="N45" s="1">
        <f t="shared" si="1"/>
        <v>0.98999999999978172</v>
      </c>
    </row>
    <row r="46" spans="10:14" x14ac:dyDescent="0.25">
      <c r="J46" s="14" t="s">
        <v>199</v>
      </c>
      <c r="L46" s="1">
        <f>-3490</f>
        <v>-3490</v>
      </c>
      <c r="N46" s="1">
        <f t="shared" si="1"/>
        <v>-3490</v>
      </c>
    </row>
    <row r="47" spans="10:14" x14ac:dyDescent="0.25">
      <c r="J47" s="14" t="s">
        <v>200</v>
      </c>
      <c r="L47" s="1">
        <f>-613</f>
        <v>-613</v>
      </c>
      <c r="N47" s="1">
        <f t="shared" si="1"/>
        <v>-613</v>
      </c>
    </row>
    <row r="48" spans="10:14" x14ac:dyDescent="0.25">
      <c r="J48" s="14" t="s">
        <v>39</v>
      </c>
      <c r="M48" s="1">
        <f>-GETPIVOTDATA("NET",$A$2,"ACC","FY24","UC category","DLA")</f>
        <v>76.28</v>
      </c>
      <c r="N48" s="1">
        <f t="shared" si="1"/>
        <v>76.28</v>
      </c>
    </row>
    <row r="49" spans="10:14" x14ac:dyDescent="0.25">
      <c r="J49" s="3" t="s">
        <v>195</v>
      </c>
      <c r="N49" s="1">
        <f t="shared" si="1"/>
        <v>0</v>
      </c>
    </row>
    <row r="50" spans="10:14" x14ac:dyDescent="0.25">
      <c r="J50" s="14" t="s">
        <v>23</v>
      </c>
    </row>
    <row r="52" spans="10:14" x14ac:dyDescent="0.25">
      <c r="L52" s="18">
        <f>SUM(L43:L49)</f>
        <v>1</v>
      </c>
      <c r="M52" s="18"/>
      <c r="N52" s="18">
        <f>SUM(N43:N51)</f>
        <v>22519.409999999996</v>
      </c>
    </row>
    <row r="55" spans="10:14" x14ac:dyDescent="0.25">
      <c r="J55" s="14" t="s">
        <v>201</v>
      </c>
      <c r="L55" s="1">
        <f>-1</f>
        <v>-1</v>
      </c>
      <c r="N55" s="1">
        <f>SUM(L55:M55)</f>
        <v>-1</v>
      </c>
    </row>
    <row r="56" spans="10:14" x14ac:dyDescent="0.25">
      <c r="J56" s="14" t="s">
        <v>202</v>
      </c>
      <c r="L56" s="1">
        <v>35334</v>
      </c>
      <c r="N56" s="1">
        <f>L56+L57</f>
        <v>0</v>
      </c>
    </row>
    <row r="57" spans="10:14" x14ac:dyDescent="0.25">
      <c r="J57" s="1" t="s">
        <v>203</v>
      </c>
      <c r="L57" s="1">
        <f>-35334</f>
        <v>-35334</v>
      </c>
    </row>
    <row r="58" spans="10:14" x14ac:dyDescent="0.25">
      <c r="J58" s="1" t="s">
        <v>204</v>
      </c>
      <c r="M58" s="1">
        <f>-N36</f>
        <v>-82571.820000000022</v>
      </c>
      <c r="N58" s="1">
        <f t="shared" ref="N58:N60" si="2">SUM(L58:M58)</f>
        <v>-82571.820000000022</v>
      </c>
    </row>
    <row r="59" spans="10:14" x14ac:dyDescent="0.25">
      <c r="J59" s="1" t="s">
        <v>205</v>
      </c>
      <c r="M59" s="1">
        <f>-GETPIVOTDATA("NET",$A$2,"ACC","FY24","UC category","Dividend")</f>
        <v>60053.41</v>
      </c>
      <c r="N59" s="1">
        <f t="shared" si="2"/>
        <v>60053.41</v>
      </c>
    </row>
    <row r="60" spans="10:14" x14ac:dyDescent="0.25">
      <c r="J60" s="1" t="s">
        <v>220</v>
      </c>
      <c r="N60" s="1">
        <f t="shared" si="2"/>
        <v>0</v>
      </c>
    </row>
    <row r="63" spans="10:14" x14ac:dyDescent="0.25">
      <c r="L63" s="18">
        <f>SUM(L55:L59)</f>
        <v>-1</v>
      </c>
      <c r="M63" s="18"/>
      <c r="N63" s="18">
        <f>SUM(N55:N60)</f>
        <v>-22519.410000000018</v>
      </c>
    </row>
    <row r="65" spans="7:14" x14ac:dyDescent="0.25">
      <c r="G65" s="22"/>
    </row>
    <row r="66" spans="7:14" x14ac:dyDescent="0.25">
      <c r="L66" s="5">
        <f>L52+L63</f>
        <v>0</v>
      </c>
      <c r="N66" s="1">
        <f>N52+N63</f>
        <v>0</v>
      </c>
    </row>
    <row r="67" spans="7:14" x14ac:dyDescent="0.25">
      <c r="G67" s="22"/>
    </row>
    <row r="68" spans="7:14" x14ac:dyDescent="0.25">
      <c r="G68" s="22"/>
    </row>
    <row r="69" spans="7:14" x14ac:dyDescent="0.25">
      <c r="G69" s="22"/>
    </row>
    <row r="70" spans="7:14" x14ac:dyDescent="0.25">
      <c r="G70" s="22"/>
    </row>
    <row r="71" spans="7:14" x14ac:dyDescent="0.25">
      <c r="G71" s="22"/>
    </row>
    <row r="72" spans="7:14" x14ac:dyDescent="0.25">
      <c r="G72" s="22"/>
    </row>
    <row r="73" spans="7:14" x14ac:dyDescent="0.25">
      <c r="G73" s="22"/>
    </row>
    <row r="74" spans="7:14" x14ac:dyDescent="0.25">
      <c r="G74" s="22"/>
    </row>
    <row r="75" spans="7:14" x14ac:dyDescent="0.25">
      <c r="G75" s="22"/>
    </row>
    <row r="76" spans="7:14" x14ac:dyDescent="0.25">
      <c r="G76" s="22"/>
    </row>
    <row r="78" spans="7:14" x14ac:dyDescent="0.25">
      <c r="G78" s="22"/>
    </row>
    <row r="79" spans="7:14" x14ac:dyDescent="0.25">
      <c r="G79" s="22"/>
    </row>
    <row r="80" spans="7:14" x14ac:dyDescent="0.25">
      <c r="G80" s="22"/>
    </row>
    <row r="82" spans="7:8" x14ac:dyDescent="0.25">
      <c r="G82" s="22"/>
    </row>
    <row r="83" spans="7:8" x14ac:dyDescent="0.25">
      <c r="G83" s="22"/>
    </row>
    <row r="84" spans="7:8" x14ac:dyDescent="0.25">
      <c r="G84" s="22"/>
    </row>
    <row r="85" spans="7:8" x14ac:dyDescent="0.25">
      <c r="G85" s="22"/>
    </row>
    <row r="86" spans="7:8" x14ac:dyDescent="0.25">
      <c r="G86" s="22"/>
    </row>
    <row r="87" spans="7:8" x14ac:dyDescent="0.25">
      <c r="G87" s="22"/>
    </row>
    <row r="88" spans="7:8" x14ac:dyDescent="0.25">
      <c r="G88" s="22"/>
    </row>
    <row r="92" spans="7:8" x14ac:dyDescent="0.25">
      <c r="G92" s="1"/>
      <c r="H92" s="1"/>
    </row>
    <row r="93" spans="7:8" x14ac:dyDescent="0.25">
      <c r="G93" s="9"/>
      <c r="H93" s="1"/>
    </row>
    <row r="94" spans="7:8" x14ac:dyDescent="0.25">
      <c r="G94" s="9"/>
      <c r="H94" s="1"/>
    </row>
    <row r="95" spans="7:8" x14ac:dyDescent="0.25">
      <c r="G95" s="9"/>
      <c r="H95" s="1"/>
    </row>
    <row r="96" spans="7:8" x14ac:dyDescent="0.25">
      <c r="G96" s="9"/>
      <c r="H96" s="1"/>
    </row>
    <row r="97" spans="7:8" x14ac:dyDescent="0.25">
      <c r="G97" s="9"/>
      <c r="H97" s="1"/>
    </row>
    <row r="98" spans="7:8" x14ac:dyDescent="0.25">
      <c r="G98" s="9"/>
      <c r="H98" s="1"/>
    </row>
    <row r="99" spans="7:8" x14ac:dyDescent="0.25">
      <c r="G99" s="9"/>
      <c r="H99" s="1"/>
    </row>
    <row r="100" spans="7:8" x14ac:dyDescent="0.25">
      <c r="G100" s="9"/>
      <c r="H100" s="1"/>
    </row>
    <row r="101" spans="7:8" x14ac:dyDescent="0.25">
      <c r="G101" s="9"/>
      <c r="H101" s="1"/>
    </row>
    <row r="102" spans="7:8" x14ac:dyDescent="0.25">
      <c r="G102" s="9"/>
      <c r="H102" s="1"/>
    </row>
    <row r="103" spans="7:8" x14ac:dyDescent="0.25">
      <c r="G103" s="9"/>
      <c r="H103" s="1"/>
    </row>
    <row r="104" spans="7:8" x14ac:dyDescent="0.25">
      <c r="G104" s="9"/>
      <c r="H104" s="1"/>
    </row>
    <row r="105" spans="7:8" x14ac:dyDescent="0.25">
      <c r="G105" s="9"/>
      <c r="H105" s="1"/>
    </row>
    <row r="106" spans="7:8" x14ac:dyDescent="0.25">
      <c r="G106" s="9"/>
      <c r="H106" s="1"/>
    </row>
    <row r="107" spans="7:8" x14ac:dyDescent="0.25">
      <c r="G107" s="9"/>
      <c r="H107" s="1"/>
    </row>
    <row r="108" spans="7:8" x14ac:dyDescent="0.25">
      <c r="G108" s="9"/>
      <c r="H108" s="1"/>
    </row>
    <row r="109" spans="7:8" x14ac:dyDescent="0.25">
      <c r="G109" s="9"/>
      <c r="H109" s="1"/>
    </row>
    <row r="110" spans="7:8" x14ac:dyDescent="0.25">
      <c r="G110" s="9"/>
      <c r="H110" s="1"/>
    </row>
    <row r="111" spans="7:8" x14ac:dyDescent="0.25">
      <c r="G111" s="9"/>
      <c r="H111" s="1"/>
    </row>
    <row r="112" spans="7:8" x14ac:dyDescent="0.25">
      <c r="G112" s="9"/>
      <c r="H112" s="1"/>
    </row>
    <row r="113" spans="7:8" x14ac:dyDescent="0.25">
      <c r="G113" s="9"/>
      <c r="H113" s="1"/>
    </row>
    <row r="114" spans="7:8" x14ac:dyDescent="0.25">
      <c r="G114" s="9"/>
      <c r="H114" s="1"/>
    </row>
    <row r="115" spans="7:8" x14ac:dyDescent="0.25">
      <c r="G115" s="9"/>
      <c r="H115" s="1"/>
    </row>
    <row r="116" spans="7:8" x14ac:dyDescent="0.25">
      <c r="G116" s="9"/>
      <c r="H116" s="1"/>
    </row>
    <row r="117" spans="7:8" x14ac:dyDescent="0.25">
      <c r="G117" s="9"/>
      <c r="H117" s="1"/>
    </row>
    <row r="118" spans="7:8" x14ac:dyDescent="0.25">
      <c r="G118" s="9"/>
      <c r="H118" s="1"/>
    </row>
    <row r="119" spans="7:8" x14ac:dyDescent="0.25">
      <c r="G119" s="9"/>
      <c r="H119" s="1"/>
    </row>
    <row r="120" spans="7:8" x14ac:dyDescent="0.25">
      <c r="H120" s="1"/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24</vt:lpstr>
      <vt:lpstr>Analysis 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Umair Chaudhry</dc:creator>
  <cp:keywords/>
  <dc:description/>
  <cp:lastModifiedBy>Ahmed Alam</cp:lastModifiedBy>
  <cp:revision/>
  <dcterms:created xsi:type="dcterms:W3CDTF">2015-06-05T18:17:20Z</dcterms:created>
  <dcterms:modified xsi:type="dcterms:W3CDTF">2026-07-01T20:19:47Z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175f8ac-0ac0-4491-aeb5-8acadf90044f_Enabled">
    <vt:lpwstr>true</vt:lpwstr>
  </property>
  <property fmtid="{D5CDD505-2E9C-101B-9397-08002B2CF9AE}" pid="5" name="MSIP_Label_b175f8ac-0ac0-4491-aeb5-8acadf90044f_SetDate">
    <vt:lpwstr>2023-12-15T10:52:39Z</vt:lpwstr>
  </property>
  <property fmtid="{D5CDD505-2E9C-101B-9397-08002B2CF9AE}" pid="6" name="MSIP_Label_b175f8ac-0ac0-4491-aeb5-8acadf90044f_Method">
    <vt:lpwstr>Privileged</vt:lpwstr>
  </property>
  <property fmtid="{D5CDD505-2E9C-101B-9397-08002B2CF9AE}" pid="7" name="MSIP_Label_b175f8ac-0ac0-4491-aeb5-8acadf90044f_Name">
    <vt:lpwstr>Internal - Prod</vt:lpwstr>
  </property>
  <property fmtid="{D5CDD505-2E9C-101B-9397-08002B2CF9AE}" pid="8" name="MSIP_Label_b175f8ac-0ac0-4491-aeb5-8acadf90044f_SiteId">
    <vt:lpwstr>5b2d121f-48c2-42b5-abd2-286c96656636</vt:lpwstr>
  </property>
  <property fmtid="{D5CDD505-2E9C-101B-9397-08002B2CF9AE}" pid="9" name="MSIP_Label_b175f8ac-0ac0-4491-aeb5-8acadf90044f_ActionId">
    <vt:lpwstr>9a84c12f-35d7-463c-933f-a77b1a6b91db</vt:lpwstr>
  </property>
  <property fmtid="{D5CDD505-2E9C-101B-9397-08002B2CF9AE}" pid="10" name="MSIP_Label_b175f8ac-0ac0-4491-aeb5-8acadf90044f_ContentBits">
    <vt:lpwstr>1</vt:lpwstr>
  </property>
</Properties>
</file>