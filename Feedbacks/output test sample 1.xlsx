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chaudhry\Downloads\"/>
    </mc:Choice>
  </mc:AlternateContent>
  <xr:revisionPtr revIDLastSave="0" documentId="13_ncr:1_{3D33CD2E-ADC2-4690-A7EF-64422CCBDB3F}" xr6:coauthVersionLast="47" xr6:coauthVersionMax="47" xr10:uidLastSave="{00000000-0000-0000-0000-000000000000}"/>
  <bookViews>
    <workbookView xWindow="-16845" yWindow="-16320" windowWidth="29040" windowHeight="15720" xr2:uid="{00000000-000D-0000-FFFF-FFFF00000000}"/>
  </bookViews>
  <sheets>
    <sheet name="RAW 2025" sheetId="1" r:id="rId1"/>
    <sheet name="Analysis" sheetId="2" r:id="rId2"/>
  </sheets>
  <definedNames>
    <definedName name="_xlnm._FilterDatabase" localSheetId="0" hidden="1">'RAW 2025'!$A$161:$S$307</definedName>
  </definedNames>
  <calcPr calcId="191029"/>
  <pivotCaches>
    <pivotCache cacheId="9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" i="1" l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162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C6" i="2" s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C17" i="2" s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C30" i="2" s="1"/>
  <c r="L185" i="1"/>
  <c r="L184" i="1"/>
  <c r="L183" i="1"/>
  <c r="C8" i="2" s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J161" i="1"/>
  <c r="L161" i="1" s="1"/>
  <c r="M161" i="1" s="1"/>
  <c r="N161" i="1" s="1"/>
  <c r="I160" i="1"/>
  <c r="L160" i="1" s="1"/>
  <c r="M160" i="1" s="1"/>
  <c r="N160" i="1" s="1"/>
  <c r="J159" i="1"/>
  <c r="L159" i="1" s="1"/>
  <c r="M159" i="1" s="1"/>
  <c r="N159" i="1" s="1"/>
  <c r="I158" i="1"/>
  <c r="L158" i="1" s="1"/>
  <c r="M158" i="1" s="1"/>
  <c r="N158" i="1" s="1"/>
  <c r="L157" i="1"/>
  <c r="M157" i="1" s="1"/>
  <c r="N157" i="1" s="1"/>
  <c r="J157" i="1"/>
  <c r="I156" i="1"/>
  <c r="L156" i="1" s="1"/>
  <c r="M156" i="1" s="1"/>
  <c r="N156" i="1" s="1"/>
  <c r="I155" i="1"/>
  <c r="L155" i="1" s="1"/>
  <c r="M155" i="1" s="1"/>
  <c r="N155" i="1" s="1"/>
  <c r="J154" i="1"/>
  <c r="L154" i="1" s="1"/>
  <c r="M154" i="1" s="1"/>
  <c r="N154" i="1" s="1"/>
  <c r="J153" i="1"/>
  <c r="L153" i="1" s="1"/>
  <c r="M153" i="1" s="1"/>
  <c r="N153" i="1" s="1"/>
  <c r="J152" i="1"/>
  <c r="L152" i="1" s="1"/>
  <c r="M152" i="1" s="1"/>
  <c r="N152" i="1" s="1"/>
  <c r="L151" i="1"/>
  <c r="M151" i="1" s="1"/>
  <c r="N151" i="1" s="1"/>
  <c r="J151" i="1"/>
  <c r="I150" i="1"/>
  <c r="L150" i="1" s="1"/>
  <c r="M150" i="1" s="1"/>
  <c r="N150" i="1" s="1"/>
  <c r="J149" i="1"/>
  <c r="L149" i="1" s="1"/>
  <c r="M149" i="1" s="1"/>
  <c r="N149" i="1" s="1"/>
  <c r="I148" i="1"/>
  <c r="L148" i="1" s="1"/>
  <c r="M148" i="1" s="1"/>
  <c r="N148" i="1" s="1"/>
  <c r="I147" i="1"/>
  <c r="L147" i="1" s="1"/>
  <c r="M147" i="1" s="1"/>
  <c r="N147" i="1" s="1"/>
  <c r="I146" i="1"/>
  <c r="L146" i="1" s="1"/>
  <c r="M146" i="1" s="1"/>
  <c r="N146" i="1" s="1"/>
  <c r="J145" i="1"/>
  <c r="L145" i="1" s="1"/>
  <c r="M145" i="1" s="1"/>
  <c r="N145" i="1" s="1"/>
  <c r="J144" i="1"/>
  <c r="L144" i="1" s="1"/>
  <c r="M144" i="1" s="1"/>
  <c r="N144" i="1" s="1"/>
  <c r="J143" i="1"/>
  <c r="L143" i="1" s="1"/>
  <c r="M143" i="1" s="1"/>
  <c r="N143" i="1" s="1"/>
  <c r="J142" i="1"/>
  <c r="L142" i="1" s="1"/>
  <c r="M142" i="1" s="1"/>
  <c r="N142" i="1" s="1"/>
  <c r="J140" i="1"/>
  <c r="L140" i="1" s="1"/>
  <c r="M140" i="1" s="1"/>
  <c r="N140" i="1" s="1"/>
  <c r="I141" i="1"/>
  <c r="L141" i="1" s="1"/>
  <c r="M141" i="1" s="1"/>
  <c r="N141" i="1" s="1"/>
  <c r="J139" i="1"/>
  <c r="L139" i="1" s="1"/>
  <c r="M139" i="1" s="1"/>
  <c r="N139" i="1" s="1"/>
  <c r="I138" i="1"/>
  <c r="L138" i="1" s="1"/>
  <c r="M138" i="1" s="1"/>
  <c r="N138" i="1" s="1"/>
  <c r="J137" i="1"/>
  <c r="L137" i="1" s="1"/>
  <c r="M137" i="1" s="1"/>
  <c r="N137" i="1" s="1"/>
  <c r="J136" i="1"/>
  <c r="L136" i="1" s="1"/>
  <c r="M136" i="1" s="1"/>
  <c r="N136" i="1" s="1"/>
  <c r="I135" i="1"/>
  <c r="L135" i="1" s="1"/>
  <c r="M135" i="1" s="1"/>
  <c r="N135" i="1" s="1"/>
  <c r="J134" i="1"/>
  <c r="L134" i="1" s="1"/>
  <c r="M134" i="1" s="1"/>
  <c r="N134" i="1" s="1"/>
  <c r="J133" i="1"/>
  <c r="L133" i="1" s="1"/>
  <c r="M133" i="1" s="1"/>
  <c r="N133" i="1" s="1"/>
  <c r="I132" i="1"/>
  <c r="L132" i="1" s="1"/>
  <c r="M132" i="1" s="1"/>
  <c r="N132" i="1" s="1"/>
  <c r="L131" i="1"/>
  <c r="M131" i="1" s="1"/>
  <c r="N131" i="1" s="1"/>
  <c r="J131" i="1"/>
  <c r="J130" i="1"/>
  <c r="L130" i="1" s="1"/>
  <c r="M130" i="1" s="1"/>
  <c r="N130" i="1" s="1"/>
  <c r="J129" i="1"/>
  <c r="L129" i="1" s="1"/>
  <c r="M129" i="1" s="1"/>
  <c r="N129" i="1" s="1"/>
  <c r="I128" i="1"/>
  <c r="L128" i="1" s="1"/>
  <c r="J127" i="1"/>
  <c r="L127" i="1" s="1"/>
  <c r="M127" i="1" s="1"/>
  <c r="N127" i="1" s="1"/>
  <c r="J126" i="1"/>
  <c r="L126" i="1" s="1"/>
  <c r="M126" i="1" s="1"/>
  <c r="N126" i="1" s="1"/>
  <c r="J125" i="1"/>
  <c r="L125" i="1" s="1"/>
  <c r="J124" i="1"/>
  <c r="L124" i="1" s="1"/>
  <c r="M124" i="1" s="1"/>
  <c r="N124" i="1" s="1"/>
  <c r="J123" i="1"/>
  <c r="L123" i="1" s="1"/>
  <c r="M123" i="1" s="1"/>
  <c r="N123" i="1" s="1"/>
  <c r="J122" i="1"/>
  <c r="L122" i="1" s="1"/>
  <c r="M122" i="1" s="1"/>
  <c r="N122" i="1" s="1"/>
  <c r="J121" i="1"/>
  <c r="L121" i="1" s="1"/>
  <c r="M121" i="1" s="1"/>
  <c r="N121" i="1" s="1"/>
  <c r="M119" i="1"/>
  <c r="N119" i="1" s="1"/>
  <c r="J119" i="1"/>
  <c r="L119" i="1" s="1"/>
  <c r="I120" i="1"/>
  <c r="L120" i="1" s="1"/>
  <c r="M120" i="1" s="1"/>
  <c r="N120" i="1" s="1"/>
  <c r="J118" i="1"/>
  <c r="L118" i="1" s="1"/>
  <c r="I117" i="1"/>
  <c r="L117" i="1" s="1"/>
  <c r="M117" i="1" s="1"/>
  <c r="N117" i="1" s="1"/>
  <c r="I116" i="1"/>
  <c r="L116" i="1" s="1"/>
  <c r="M116" i="1" s="1"/>
  <c r="N116" i="1" s="1"/>
  <c r="L115" i="1"/>
  <c r="M115" i="1" s="1"/>
  <c r="N115" i="1" s="1"/>
  <c r="I115" i="1"/>
  <c r="J114" i="1"/>
  <c r="L114" i="1" s="1"/>
  <c r="M114" i="1" s="1"/>
  <c r="N114" i="1" s="1"/>
  <c r="J113" i="1"/>
  <c r="L113" i="1" s="1"/>
  <c r="M113" i="1" s="1"/>
  <c r="N113" i="1" s="1"/>
  <c r="L112" i="1"/>
  <c r="M112" i="1" s="1"/>
  <c r="N112" i="1" s="1"/>
  <c r="J112" i="1"/>
  <c r="I111" i="1"/>
  <c r="L111" i="1" s="1"/>
  <c r="M111" i="1" s="1"/>
  <c r="N111" i="1" s="1"/>
  <c r="J110" i="1"/>
  <c r="L110" i="1" s="1"/>
  <c r="M110" i="1" s="1"/>
  <c r="N110" i="1" s="1"/>
  <c r="J109" i="1"/>
  <c r="L109" i="1" s="1"/>
  <c r="M109" i="1" s="1"/>
  <c r="N109" i="1" s="1"/>
  <c r="J108" i="1"/>
  <c r="L108" i="1" s="1"/>
  <c r="M108" i="1" s="1"/>
  <c r="N108" i="1" s="1"/>
  <c r="L107" i="1"/>
  <c r="M107" i="1" s="1"/>
  <c r="N107" i="1" s="1"/>
  <c r="I107" i="1"/>
  <c r="J106" i="1"/>
  <c r="L106" i="1" s="1"/>
  <c r="M106" i="1" s="1"/>
  <c r="N106" i="1" s="1"/>
  <c r="I105" i="1"/>
  <c r="L105" i="1" s="1"/>
  <c r="M105" i="1" s="1"/>
  <c r="N105" i="1" s="1"/>
  <c r="I104" i="1"/>
  <c r="L104" i="1" s="1"/>
  <c r="M104" i="1" s="1"/>
  <c r="N104" i="1" s="1"/>
  <c r="L103" i="1"/>
  <c r="M103" i="1" s="1"/>
  <c r="N103" i="1" s="1"/>
  <c r="J103" i="1"/>
  <c r="J101" i="1"/>
  <c r="L101" i="1" s="1"/>
  <c r="M101" i="1" s="1"/>
  <c r="N101" i="1" s="1"/>
  <c r="I102" i="1"/>
  <c r="L102" i="1" s="1"/>
  <c r="M102" i="1" s="1"/>
  <c r="N102" i="1" s="1"/>
  <c r="J100" i="1"/>
  <c r="L100" i="1" s="1"/>
  <c r="M100" i="1" s="1"/>
  <c r="N100" i="1" s="1"/>
  <c r="J99" i="1"/>
  <c r="L99" i="1" s="1"/>
  <c r="M99" i="1" s="1"/>
  <c r="N99" i="1" s="1"/>
  <c r="J98" i="1"/>
  <c r="L98" i="1" s="1"/>
  <c r="I97" i="1"/>
  <c r="L97" i="1" s="1"/>
  <c r="M97" i="1" s="1"/>
  <c r="N97" i="1" s="1"/>
  <c r="I96" i="1"/>
  <c r="L96" i="1" s="1"/>
  <c r="M96" i="1" s="1"/>
  <c r="N96" i="1" s="1"/>
  <c r="I94" i="1"/>
  <c r="L94" i="1" s="1"/>
  <c r="M94" i="1" s="1"/>
  <c r="N94" i="1" s="1"/>
  <c r="J95" i="1"/>
  <c r="L95" i="1" s="1"/>
  <c r="M95" i="1" s="1"/>
  <c r="N95" i="1" s="1"/>
  <c r="J93" i="1"/>
  <c r="L93" i="1" s="1"/>
  <c r="M93" i="1" s="1"/>
  <c r="N93" i="1" s="1"/>
  <c r="J92" i="1"/>
  <c r="L92" i="1" s="1"/>
  <c r="M92" i="1" s="1"/>
  <c r="N92" i="1" s="1"/>
  <c r="J91" i="1"/>
  <c r="L91" i="1" s="1"/>
  <c r="M91" i="1" s="1"/>
  <c r="N91" i="1" s="1"/>
  <c r="J90" i="1"/>
  <c r="L90" i="1" s="1"/>
  <c r="M90" i="1" s="1"/>
  <c r="N90" i="1" s="1"/>
  <c r="J89" i="1"/>
  <c r="L89" i="1" s="1"/>
  <c r="M89" i="1" s="1"/>
  <c r="N89" i="1" s="1"/>
  <c r="L88" i="1"/>
  <c r="M88" i="1" s="1"/>
  <c r="N88" i="1" s="1"/>
  <c r="J88" i="1"/>
  <c r="J87" i="1"/>
  <c r="L87" i="1" s="1"/>
  <c r="M87" i="1" s="1"/>
  <c r="N87" i="1" s="1"/>
  <c r="I86" i="1"/>
  <c r="L86" i="1" s="1"/>
  <c r="M86" i="1" s="1"/>
  <c r="N86" i="1" s="1"/>
  <c r="J85" i="1"/>
  <c r="L85" i="1" s="1"/>
  <c r="M85" i="1" s="1"/>
  <c r="N85" i="1" s="1"/>
  <c r="N84" i="1"/>
  <c r="J84" i="1"/>
  <c r="L84" i="1" s="1"/>
  <c r="M84" i="1" s="1"/>
  <c r="J83" i="1"/>
  <c r="L83" i="1" s="1"/>
  <c r="M83" i="1" s="1"/>
  <c r="N83" i="1" s="1"/>
  <c r="J82" i="1"/>
  <c r="L82" i="1" s="1"/>
  <c r="M82" i="1" s="1"/>
  <c r="N82" i="1" s="1"/>
  <c r="I81" i="1"/>
  <c r="L81" i="1" s="1"/>
  <c r="M81" i="1" s="1"/>
  <c r="N81" i="1" s="1"/>
  <c r="I80" i="1"/>
  <c r="L80" i="1" s="1"/>
  <c r="M80" i="1" s="1"/>
  <c r="N80" i="1" s="1"/>
  <c r="I79" i="1"/>
  <c r="L79" i="1" s="1"/>
  <c r="M79" i="1" s="1"/>
  <c r="N79" i="1" s="1"/>
  <c r="J78" i="1"/>
  <c r="L78" i="1" s="1"/>
  <c r="M78" i="1" s="1"/>
  <c r="N78" i="1" s="1"/>
  <c r="J77" i="1"/>
  <c r="L77" i="1" s="1"/>
  <c r="M77" i="1" s="1"/>
  <c r="N77" i="1" s="1"/>
  <c r="I76" i="1"/>
  <c r="L76" i="1" s="1"/>
  <c r="M76" i="1" s="1"/>
  <c r="N76" i="1" s="1"/>
  <c r="J75" i="1"/>
  <c r="L75" i="1" s="1"/>
  <c r="M75" i="1" s="1"/>
  <c r="N75" i="1" s="1"/>
  <c r="J74" i="1"/>
  <c r="L74" i="1" s="1"/>
  <c r="M74" i="1" s="1"/>
  <c r="N74" i="1" s="1"/>
  <c r="J73" i="1"/>
  <c r="L73" i="1" s="1"/>
  <c r="M73" i="1" s="1"/>
  <c r="N73" i="1" s="1"/>
  <c r="J72" i="1"/>
  <c r="L72" i="1" s="1"/>
  <c r="M72" i="1" s="1"/>
  <c r="N72" i="1" s="1"/>
  <c r="L71" i="1"/>
  <c r="M71" i="1" s="1"/>
  <c r="N71" i="1" s="1"/>
  <c r="J71" i="1"/>
  <c r="I70" i="1"/>
  <c r="L70" i="1" s="1"/>
  <c r="M70" i="1" s="1"/>
  <c r="N70" i="1" s="1"/>
  <c r="J69" i="1"/>
  <c r="L69" i="1" s="1"/>
  <c r="M69" i="1" s="1"/>
  <c r="N69" i="1" s="1"/>
  <c r="J68" i="1"/>
  <c r="L68" i="1" s="1"/>
  <c r="M68" i="1" s="1"/>
  <c r="N68" i="1" s="1"/>
  <c r="J67" i="1"/>
  <c r="L67" i="1" s="1"/>
  <c r="M67" i="1" s="1"/>
  <c r="N67" i="1" s="1"/>
  <c r="J66" i="1"/>
  <c r="L66" i="1" s="1"/>
  <c r="M66" i="1" s="1"/>
  <c r="N66" i="1" s="1"/>
  <c r="J65" i="1"/>
  <c r="L65" i="1" s="1"/>
  <c r="M65" i="1" s="1"/>
  <c r="N65" i="1" s="1"/>
  <c r="J64" i="1"/>
  <c r="L64" i="1" s="1"/>
  <c r="M64" i="1" s="1"/>
  <c r="N64" i="1" s="1"/>
  <c r="J63" i="1"/>
  <c r="L63" i="1" s="1"/>
  <c r="M63" i="1" s="1"/>
  <c r="N63" i="1" s="1"/>
  <c r="I62" i="1"/>
  <c r="L62" i="1" s="1"/>
  <c r="M62" i="1" s="1"/>
  <c r="N62" i="1" s="1"/>
  <c r="I61" i="1"/>
  <c r="L61" i="1" s="1"/>
  <c r="M61" i="1" s="1"/>
  <c r="N61" i="1" s="1"/>
  <c r="I60" i="1"/>
  <c r="L60" i="1" s="1"/>
  <c r="M60" i="1" s="1"/>
  <c r="N60" i="1" s="1"/>
  <c r="J59" i="1"/>
  <c r="L59" i="1" s="1"/>
  <c r="M59" i="1" s="1"/>
  <c r="N59" i="1" s="1"/>
  <c r="I58" i="1"/>
  <c r="L58" i="1" s="1"/>
  <c r="M58" i="1" s="1"/>
  <c r="N58" i="1" s="1"/>
  <c r="M57" i="1"/>
  <c r="N57" i="1" s="1"/>
  <c r="J57" i="1"/>
  <c r="L57" i="1" s="1"/>
  <c r="J56" i="1"/>
  <c r="L56" i="1" s="1"/>
  <c r="M56" i="1" s="1"/>
  <c r="N56" i="1" s="1"/>
  <c r="J55" i="1"/>
  <c r="L55" i="1" s="1"/>
  <c r="M55" i="1" s="1"/>
  <c r="N55" i="1" s="1"/>
  <c r="M54" i="1"/>
  <c r="N54" i="1" s="1"/>
  <c r="I54" i="1"/>
  <c r="L54" i="1" s="1"/>
  <c r="J53" i="1"/>
  <c r="L53" i="1" s="1"/>
  <c r="M53" i="1" s="1"/>
  <c r="N53" i="1" s="1"/>
  <c r="J52" i="1"/>
  <c r="L52" i="1" s="1"/>
  <c r="J51" i="1"/>
  <c r="L51" i="1" s="1"/>
  <c r="M51" i="1" s="1"/>
  <c r="N51" i="1" s="1"/>
  <c r="I50" i="1"/>
  <c r="L50" i="1" s="1"/>
  <c r="M50" i="1" s="1"/>
  <c r="N50" i="1" s="1"/>
  <c r="J49" i="1"/>
  <c r="L49" i="1" s="1"/>
  <c r="M49" i="1" s="1"/>
  <c r="N49" i="1" s="1"/>
  <c r="I47" i="1"/>
  <c r="L47" i="1" s="1"/>
  <c r="M47" i="1" s="1"/>
  <c r="N47" i="1" s="1"/>
  <c r="J48" i="1"/>
  <c r="L48" i="1" s="1"/>
  <c r="M48" i="1" s="1"/>
  <c r="N48" i="1" s="1"/>
  <c r="I46" i="1"/>
  <c r="L46" i="1" s="1"/>
  <c r="M46" i="1" s="1"/>
  <c r="N46" i="1" s="1"/>
  <c r="J45" i="1"/>
  <c r="L45" i="1" s="1"/>
  <c r="M45" i="1" s="1"/>
  <c r="N45" i="1" s="1"/>
  <c r="J44" i="1"/>
  <c r="L44" i="1" s="1"/>
  <c r="M44" i="1" s="1"/>
  <c r="N44" i="1" s="1"/>
  <c r="J43" i="1"/>
  <c r="L43" i="1" s="1"/>
  <c r="J42" i="1"/>
  <c r="L42" i="1" s="1"/>
  <c r="M42" i="1" s="1"/>
  <c r="N42" i="1" s="1"/>
  <c r="I41" i="1"/>
  <c r="L41" i="1" s="1"/>
  <c r="M41" i="1" s="1"/>
  <c r="N41" i="1" s="1"/>
  <c r="J40" i="1"/>
  <c r="L40" i="1" s="1"/>
  <c r="M40" i="1" s="1"/>
  <c r="N40" i="1" s="1"/>
  <c r="I39" i="1"/>
  <c r="L39" i="1" s="1"/>
  <c r="M39" i="1" s="1"/>
  <c r="N39" i="1" s="1"/>
  <c r="J38" i="1"/>
  <c r="L38" i="1" s="1"/>
  <c r="M38" i="1" s="1"/>
  <c r="N38" i="1" s="1"/>
  <c r="J37" i="1"/>
  <c r="L37" i="1" s="1"/>
  <c r="M37" i="1" s="1"/>
  <c r="N37" i="1" s="1"/>
  <c r="J36" i="1"/>
  <c r="L36" i="1" s="1"/>
  <c r="M36" i="1" s="1"/>
  <c r="N36" i="1" s="1"/>
  <c r="J35" i="1"/>
  <c r="L35" i="1" s="1"/>
  <c r="M35" i="1" s="1"/>
  <c r="N35" i="1" s="1"/>
  <c r="I34" i="1"/>
  <c r="L34" i="1" s="1"/>
  <c r="M34" i="1" s="1"/>
  <c r="N34" i="1" s="1"/>
  <c r="J33" i="1"/>
  <c r="L33" i="1" s="1"/>
  <c r="J32" i="1"/>
  <c r="L32" i="1" s="1"/>
  <c r="M32" i="1" s="1"/>
  <c r="N32" i="1" s="1"/>
  <c r="J31" i="1"/>
  <c r="L31" i="1" s="1"/>
  <c r="M31" i="1" s="1"/>
  <c r="N31" i="1" s="1"/>
  <c r="J30" i="1"/>
  <c r="L30" i="1" s="1"/>
  <c r="M30" i="1" s="1"/>
  <c r="N30" i="1" s="1"/>
  <c r="J29" i="1"/>
  <c r="L29" i="1" s="1"/>
  <c r="M29" i="1" s="1"/>
  <c r="N29" i="1" s="1"/>
  <c r="L28" i="1"/>
  <c r="M28" i="1" s="1"/>
  <c r="N28" i="1" s="1"/>
  <c r="I28" i="1"/>
  <c r="J27" i="1"/>
  <c r="L27" i="1" s="1"/>
  <c r="M27" i="1" s="1"/>
  <c r="N27" i="1" s="1"/>
  <c r="J26" i="1"/>
  <c r="L26" i="1" s="1"/>
  <c r="M26" i="1" s="1"/>
  <c r="N26" i="1" s="1"/>
  <c r="I25" i="1"/>
  <c r="L25" i="1" s="1"/>
  <c r="M25" i="1" s="1"/>
  <c r="N25" i="1" s="1"/>
  <c r="I24" i="1"/>
  <c r="L24" i="1" s="1"/>
  <c r="M24" i="1" s="1"/>
  <c r="N24" i="1" s="1"/>
  <c r="J23" i="1"/>
  <c r="L23" i="1" s="1"/>
  <c r="M23" i="1" s="1"/>
  <c r="N23" i="1" s="1"/>
  <c r="I22" i="1"/>
  <c r="L22" i="1" s="1"/>
  <c r="M22" i="1" s="1"/>
  <c r="N22" i="1" s="1"/>
  <c r="J21" i="1"/>
  <c r="L21" i="1" s="1"/>
  <c r="M21" i="1" s="1"/>
  <c r="N21" i="1" s="1"/>
  <c r="J20" i="1"/>
  <c r="L20" i="1" s="1"/>
  <c r="M20" i="1" s="1"/>
  <c r="N20" i="1" s="1"/>
  <c r="J19" i="1"/>
  <c r="L19" i="1" s="1"/>
  <c r="J18" i="1"/>
  <c r="L18" i="1" s="1"/>
  <c r="M18" i="1" s="1"/>
  <c r="N18" i="1" s="1"/>
  <c r="I17" i="1"/>
  <c r="L17" i="1" s="1"/>
  <c r="M17" i="1" s="1"/>
  <c r="N17" i="1" s="1"/>
  <c r="J16" i="1"/>
  <c r="L16" i="1" s="1"/>
  <c r="L15" i="1"/>
  <c r="M15" i="1" s="1"/>
  <c r="N15" i="1" s="1"/>
  <c r="J15" i="1"/>
  <c r="J14" i="1"/>
  <c r="L14" i="1" s="1"/>
  <c r="M14" i="1" s="1"/>
  <c r="N14" i="1" s="1"/>
  <c r="J13" i="1"/>
  <c r="L13" i="1" s="1"/>
  <c r="M13" i="1" s="1"/>
  <c r="N13" i="1" s="1"/>
  <c r="I12" i="1"/>
  <c r="L12" i="1" s="1"/>
  <c r="M12" i="1" s="1"/>
  <c r="N12" i="1" s="1"/>
  <c r="I11" i="1"/>
  <c r="L11" i="1" s="1"/>
  <c r="M11" i="1" s="1"/>
  <c r="N11" i="1" s="1"/>
  <c r="J10" i="1"/>
  <c r="L10" i="1" s="1"/>
  <c r="I9" i="1"/>
  <c r="L9" i="1" s="1"/>
  <c r="M9" i="1" s="1"/>
  <c r="N9" i="1" s="1"/>
  <c r="J8" i="1"/>
  <c r="L8" i="1" s="1"/>
  <c r="I7" i="1"/>
  <c r="L7" i="1" s="1"/>
  <c r="M7" i="1" s="1"/>
  <c r="N7" i="1" s="1"/>
  <c r="J6" i="1"/>
  <c r="L6" i="1" s="1"/>
  <c r="M6" i="1" s="1"/>
  <c r="N6" i="1" s="1"/>
  <c r="J5" i="1"/>
  <c r="L5" i="1" s="1"/>
  <c r="J4" i="1"/>
  <c r="L4" i="1" s="1"/>
  <c r="L3" i="1"/>
  <c r="M3" i="1" s="1"/>
  <c r="N3" i="1" s="1"/>
  <c r="J3" i="1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C20" i="2"/>
  <c r="B20" i="2"/>
  <c r="B19" i="2"/>
  <c r="B18" i="2"/>
  <c r="B17" i="2"/>
  <c r="B16" i="2"/>
  <c r="B15" i="2"/>
  <c r="B14" i="2"/>
  <c r="B13" i="2"/>
  <c r="B12" i="2"/>
  <c r="B11" i="2"/>
  <c r="C10" i="2"/>
  <c r="B10" i="2"/>
  <c r="B9" i="2"/>
  <c r="B8" i="2"/>
  <c r="B7" i="2"/>
  <c r="B6" i="2"/>
  <c r="B5" i="2"/>
  <c r="C19" i="2" l="1"/>
  <c r="C26" i="2"/>
  <c r="C14" i="2"/>
  <c r="C16" i="2"/>
  <c r="M118" i="1"/>
  <c r="N118" i="1" s="1"/>
  <c r="C29" i="2"/>
  <c r="C12" i="2"/>
  <c r="C13" i="2"/>
  <c r="C9" i="2"/>
  <c r="C18" i="2"/>
  <c r="C32" i="2"/>
  <c r="M16" i="1"/>
  <c r="N16" i="1" s="1"/>
  <c r="C27" i="2"/>
  <c r="M43" i="1"/>
  <c r="N43" i="1" s="1"/>
  <c r="C33" i="2"/>
  <c r="M52" i="1"/>
  <c r="N52" i="1" s="1"/>
  <c r="C22" i="2"/>
  <c r="M10" i="1"/>
  <c r="N10" i="1" s="1"/>
  <c r="M128" i="1"/>
  <c r="N128" i="1" s="1"/>
  <c r="C31" i="2"/>
  <c r="C7" i="2"/>
  <c r="M4" i="1"/>
  <c r="N4" i="1" s="1"/>
  <c r="C11" i="2"/>
  <c r="M98" i="1"/>
  <c r="N98" i="1" s="1"/>
  <c r="M19" i="1"/>
  <c r="N19" i="1" s="1"/>
  <c r="B34" i="2"/>
  <c r="C5" i="2"/>
  <c r="M5" i="1"/>
  <c r="N5" i="1" s="1"/>
  <c r="C28" i="2"/>
  <c r="C24" i="2"/>
  <c r="M125" i="1"/>
  <c r="N125" i="1" s="1"/>
  <c r="C25" i="2"/>
  <c r="M33" i="1"/>
  <c r="N33" i="1" s="1"/>
  <c r="C21" i="2"/>
  <c r="C15" i="2"/>
  <c r="M8" i="1"/>
  <c r="N8" i="1" s="1"/>
  <c r="C23" i="2"/>
  <c r="C34" i="2" l="1"/>
  <c r="M162" i="1" l="1"/>
  <c r="M163" i="1" s="1"/>
  <c r="N163" i="1" s="1"/>
  <c r="N162" i="1" l="1"/>
  <c r="M164" i="1" l="1"/>
  <c r="M165" i="1" s="1"/>
  <c r="M166" i="1" l="1"/>
  <c r="N165" i="1"/>
  <c r="N164" i="1"/>
  <c r="M167" i="1" l="1"/>
  <c r="N166" i="1"/>
  <c r="N167" i="1" l="1"/>
  <c r="M168" i="1"/>
  <c r="N168" i="1" s="1"/>
  <c r="M169" i="1" l="1"/>
  <c r="M170" i="1" s="1"/>
  <c r="N170" i="1" s="1"/>
  <c r="N169" i="1" l="1"/>
  <c r="M171" i="1"/>
  <c r="M172" i="1" s="1"/>
  <c r="N172" i="1" l="1"/>
  <c r="M173" i="1"/>
  <c r="N171" i="1"/>
  <c r="N173" i="1" l="1"/>
  <c r="M174" i="1"/>
  <c r="N174" i="1" l="1"/>
  <c r="M175" i="1"/>
  <c r="M176" i="1" l="1"/>
  <c r="N175" i="1"/>
  <c r="N176" i="1" l="1"/>
  <c r="M177" i="1"/>
  <c r="M178" i="1" l="1"/>
  <c r="N177" i="1"/>
  <c r="N178" i="1" l="1"/>
  <c r="M179" i="1"/>
  <c r="N179" i="1" l="1"/>
  <c r="M180" i="1"/>
  <c r="N180" i="1" l="1"/>
  <c r="M181" i="1"/>
  <c r="N181" i="1" l="1"/>
  <c r="M182" i="1"/>
  <c r="M183" i="1" l="1"/>
  <c r="N182" i="1"/>
  <c r="N183" i="1" l="1"/>
  <c r="M184" i="1"/>
  <c r="M185" i="1" l="1"/>
  <c r="N184" i="1"/>
  <c r="N185" i="1" l="1"/>
  <c r="M186" i="1"/>
  <c r="M187" i="1" l="1"/>
  <c r="N186" i="1"/>
  <c r="M188" i="1" l="1"/>
  <c r="N187" i="1"/>
  <c r="N188" i="1" l="1"/>
  <c r="M189" i="1"/>
  <c r="M190" i="1" l="1"/>
  <c r="N189" i="1"/>
  <c r="M191" i="1" l="1"/>
  <c r="N190" i="1"/>
  <c r="N191" i="1" l="1"/>
  <c r="M192" i="1"/>
  <c r="M193" i="1" l="1"/>
  <c r="N192" i="1"/>
  <c r="M194" i="1" l="1"/>
  <c r="N193" i="1"/>
  <c r="N194" i="1" l="1"/>
  <c r="M195" i="1"/>
  <c r="M196" i="1" l="1"/>
  <c r="N195" i="1"/>
  <c r="N196" i="1" l="1"/>
  <c r="M197" i="1"/>
  <c r="N197" i="1" l="1"/>
  <c r="M198" i="1"/>
  <c r="N198" i="1" l="1"/>
  <c r="M199" i="1"/>
  <c r="N199" i="1" l="1"/>
  <c r="M200" i="1"/>
  <c r="N200" i="1" l="1"/>
  <c r="M201" i="1"/>
  <c r="M202" i="1" l="1"/>
  <c r="N201" i="1"/>
  <c r="N202" i="1" l="1"/>
  <c r="M203" i="1"/>
  <c r="N203" i="1" l="1"/>
  <c r="M204" i="1"/>
  <c r="M205" i="1" l="1"/>
  <c r="N204" i="1"/>
  <c r="M206" i="1" l="1"/>
  <c r="N205" i="1"/>
  <c r="M207" i="1" l="1"/>
  <c r="N206" i="1"/>
  <c r="N207" i="1" l="1"/>
  <c r="M208" i="1"/>
  <c r="N208" i="1" l="1"/>
  <c r="M209" i="1"/>
  <c r="M210" i="1" l="1"/>
  <c r="N209" i="1"/>
  <c r="M211" i="1" l="1"/>
  <c r="N210" i="1"/>
  <c r="N211" i="1" l="1"/>
  <c r="M212" i="1"/>
  <c r="M213" i="1" l="1"/>
  <c r="N212" i="1"/>
  <c r="M214" i="1" l="1"/>
  <c r="N213" i="1"/>
  <c r="N214" i="1" l="1"/>
  <c r="M215" i="1"/>
  <c r="N215" i="1" l="1"/>
  <c r="M216" i="1"/>
  <c r="M217" i="1" l="1"/>
  <c r="N216" i="1"/>
  <c r="N217" i="1" l="1"/>
  <c r="M218" i="1"/>
  <c r="M219" i="1" l="1"/>
  <c r="N218" i="1"/>
  <c r="M220" i="1" l="1"/>
  <c r="N219" i="1"/>
  <c r="N220" i="1" l="1"/>
  <c r="M221" i="1"/>
  <c r="N221" i="1" l="1"/>
  <c r="M222" i="1"/>
  <c r="M223" i="1" l="1"/>
  <c r="N222" i="1"/>
  <c r="M224" i="1" l="1"/>
  <c r="N223" i="1"/>
  <c r="N224" i="1" l="1"/>
  <c r="M225" i="1"/>
  <c r="M226" i="1" l="1"/>
  <c r="N225" i="1"/>
  <c r="N226" i="1" l="1"/>
  <c r="M227" i="1"/>
  <c r="M228" i="1" l="1"/>
  <c r="N227" i="1"/>
  <c r="N228" i="1" l="1"/>
  <c r="M229" i="1"/>
  <c r="N229" i="1" l="1"/>
  <c r="M230" i="1"/>
  <c r="M231" i="1" l="1"/>
  <c r="N230" i="1"/>
  <c r="M232" i="1" l="1"/>
  <c r="N231" i="1"/>
  <c r="M233" i="1" l="1"/>
  <c r="N232" i="1"/>
  <c r="N233" i="1" l="1"/>
  <c r="M234" i="1"/>
  <c r="M235" i="1" l="1"/>
  <c r="N234" i="1"/>
  <c r="M236" i="1" l="1"/>
  <c r="N235" i="1"/>
  <c r="N236" i="1" l="1"/>
  <c r="M237" i="1"/>
  <c r="N237" i="1" l="1"/>
  <c r="M238" i="1"/>
  <c r="M239" i="1" l="1"/>
  <c r="N238" i="1"/>
  <c r="N239" i="1" l="1"/>
  <c r="M240" i="1"/>
  <c r="M241" i="1" l="1"/>
  <c r="N240" i="1"/>
  <c r="M242" i="1" l="1"/>
  <c r="N241" i="1"/>
  <c r="N242" i="1" l="1"/>
  <c r="M243" i="1"/>
  <c r="N243" i="1" l="1"/>
  <c r="M244" i="1"/>
  <c r="N244" i="1" l="1"/>
  <c r="M245" i="1"/>
  <c r="M246" i="1" l="1"/>
  <c r="N245" i="1"/>
  <c r="M247" i="1" l="1"/>
  <c r="N246" i="1"/>
  <c r="N247" i="1" l="1"/>
  <c r="M248" i="1"/>
  <c r="N248" i="1" l="1"/>
  <c r="M249" i="1"/>
  <c r="N249" i="1" l="1"/>
  <c r="M250" i="1"/>
  <c r="M251" i="1" l="1"/>
  <c r="N250" i="1"/>
  <c r="N251" i="1" l="1"/>
  <c r="M252" i="1"/>
  <c r="N252" i="1" l="1"/>
  <c r="M253" i="1"/>
  <c r="M254" i="1" l="1"/>
  <c r="N253" i="1"/>
  <c r="N254" i="1" l="1"/>
  <c r="M255" i="1"/>
  <c r="N255" i="1" l="1"/>
  <c r="M256" i="1"/>
  <c r="N256" i="1" l="1"/>
  <c r="M257" i="1"/>
  <c r="N257" i="1" l="1"/>
  <c r="M258" i="1"/>
  <c r="M259" i="1" l="1"/>
  <c r="N258" i="1"/>
  <c r="M260" i="1" l="1"/>
  <c r="N259" i="1"/>
  <c r="M261" i="1" l="1"/>
  <c r="N260" i="1"/>
  <c r="N261" i="1" l="1"/>
  <c r="M262" i="1"/>
  <c r="N262" i="1" l="1"/>
  <c r="M263" i="1"/>
  <c r="M264" i="1" l="1"/>
  <c r="N263" i="1"/>
  <c r="N264" i="1" l="1"/>
  <c r="M265" i="1"/>
  <c r="N265" i="1" l="1"/>
  <c r="M266" i="1"/>
  <c r="M267" i="1" l="1"/>
  <c r="N266" i="1"/>
  <c r="M268" i="1" l="1"/>
  <c r="N267" i="1"/>
  <c r="N268" i="1" l="1"/>
  <c r="M269" i="1"/>
  <c r="N269" i="1" l="1"/>
  <c r="M270" i="1"/>
  <c r="M271" i="1" l="1"/>
  <c r="N270" i="1"/>
  <c r="N271" i="1" l="1"/>
  <c r="M272" i="1"/>
  <c r="M273" i="1" l="1"/>
  <c r="N272" i="1"/>
  <c r="N273" i="1" l="1"/>
  <c r="M274" i="1"/>
  <c r="N274" i="1" l="1"/>
  <c r="M275" i="1"/>
  <c r="M276" i="1" l="1"/>
  <c r="N275" i="1"/>
  <c r="N276" i="1" l="1"/>
  <c r="M277" i="1"/>
  <c r="M278" i="1" l="1"/>
  <c r="N277" i="1"/>
  <c r="N278" i="1" l="1"/>
  <c r="M279" i="1"/>
  <c r="N279" i="1" l="1"/>
  <c r="M280" i="1"/>
  <c r="M281" i="1" l="1"/>
  <c r="N280" i="1"/>
  <c r="M282" i="1" l="1"/>
  <c r="N281" i="1"/>
  <c r="N282" i="1" l="1"/>
  <c r="M283" i="1"/>
  <c r="M284" i="1" l="1"/>
  <c r="N283" i="1"/>
  <c r="N284" i="1" l="1"/>
  <c r="M285" i="1"/>
  <c r="M286" i="1" l="1"/>
  <c r="N285" i="1"/>
  <c r="N286" i="1" l="1"/>
  <c r="M287" i="1"/>
  <c r="M288" i="1" l="1"/>
  <c r="N287" i="1"/>
  <c r="M289" i="1" l="1"/>
  <c r="N288" i="1"/>
  <c r="N289" i="1" l="1"/>
  <c r="M290" i="1"/>
  <c r="M291" i="1" l="1"/>
  <c r="N290" i="1"/>
  <c r="N291" i="1" l="1"/>
  <c r="M292" i="1"/>
  <c r="N292" i="1" l="1"/>
  <c r="M293" i="1"/>
  <c r="M294" i="1" l="1"/>
  <c r="N293" i="1"/>
  <c r="N294" i="1" l="1"/>
  <c r="M295" i="1"/>
  <c r="M296" i="1" l="1"/>
  <c r="N295" i="1"/>
  <c r="N296" i="1" l="1"/>
  <c r="M297" i="1"/>
  <c r="M298" i="1" l="1"/>
  <c r="N297" i="1"/>
  <c r="M299" i="1" l="1"/>
  <c r="N298" i="1"/>
  <c r="N299" i="1" l="1"/>
  <c r="M300" i="1"/>
  <c r="N300" i="1" l="1"/>
  <c r="M301" i="1"/>
  <c r="N301" i="1" l="1"/>
  <c r="M302" i="1"/>
  <c r="M303" i="1" l="1"/>
  <c r="N302" i="1"/>
  <c r="M304" i="1" l="1"/>
  <c r="N303" i="1"/>
  <c r="M305" i="1" l="1"/>
  <c r="N304" i="1"/>
  <c r="N305" i="1" l="1"/>
  <c r="M306" i="1"/>
  <c r="M307" i="1" l="1"/>
  <c r="N307" i="1" s="1"/>
  <c r="N306" i="1"/>
</calcChain>
</file>

<file path=xl/sharedStrings.xml><?xml version="1.0" encoding="utf-8"?>
<sst xmlns="http://schemas.openxmlformats.org/spreadsheetml/2006/main" count="2322" uniqueCount="186">
  <si>
    <t>Sum of NET</t>
  </si>
  <si>
    <t>Column Labels</t>
  </si>
  <si>
    <t>Row Labels</t>
  </si>
  <si>
    <t>FY24</t>
  </si>
  <si>
    <t>FY25</t>
  </si>
  <si>
    <t>AOP</t>
  </si>
  <si>
    <t>Accountancy</t>
  </si>
  <si>
    <t>Accountancy fee</t>
  </si>
  <si>
    <t>Car insurance</t>
  </si>
  <si>
    <t>College</t>
  </si>
  <si>
    <t>DBS</t>
  </si>
  <si>
    <t>DLA</t>
  </si>
  <si>
    <t>Dinner</t>
  </si>
  <si>
    <t>Director's Salary</t>
  </si>
  <si>
    <t>Directors salary</t>
  </si>
  <si>
    <t>Dividends</t>
  </si>
  <si>
    <t>Entertainment</t>
  </si>
  <si>
    <t>Food</t>
  </si>
  <si>
    <t>GOC</t>
  </si>
  <si>
    <t>HMRC</t>
  </si>
  <si>
    <t>HMRC-CT</t>
  </si>
  <si>
    <t>Income</t>
  </si>
  <si>
    <t>Lunch</t>
  </si>
  <si>
    <t>Parking</t>
  </si>
  <si>
    <t>Professional Fee</t>
  </si>
  <si>
    <t>Professional fee</t>
  </si>
  <si>
    <t>Professional fees - College</t>
  </si>
  <si>
    <t>SIPP</t>
  </si>
  <si>
    <t>Staff Salary</t>
  </si>
  <si>
    <t>Staff benefits</t>
  </si>
  <si>
    <t>Train</t>
  </si>
  <si>
    <t>Training course</t>
  </si>
  <si>
    <t>Travel</t>
  </si>
  <si>
    <t>Univerisity fee?</t>
  </si>
  <si>
    <t>Grand Total</t>
  </si>
  <si>
    <t>No</t>
  </si>
  <si>
    <t>SA</t>
  </si>
  <si>
    <t>FY</t>
  </si>
  <si>
    <t>Date</t>
  </si>
  <si>
    <t>Counter Party</t>
  </si>
  <si>
    <t>Reference</t>
  </si>
  <si>
    <t>Type</t>
  </si>
  <si>
    <t>Amount (GBP)</t>
  </si>
  <si>
    <t>IN</t>
  </si>
  <si>
    <t>OUT</t>
  </si>
  <si>
    <t>Balance (GBP)</t>
  </si>
  <si>
    <t>Net</t>
  </si>
  <si>
    <t>Balance UC</t>
  </si>
  <si>
    <t>Check</t>
  </si>
  <si>
    <t>Spending Category</t>
  </si>
  <si>
    <t>UC Category</t>
  </si>
  <si>
    <t>SA24/25</t>
  </si>
  <si>
    <t>Barclays Current</t>
  </si>
  <si>
    <t>208813 93228126</t>
  </si>
  <si>
    <t>FASTER PAYMENT</t>
  </si>
  <si>
    <t>DIRECTORS_WAGES</t>
  </si>
  <si>
    <t>M Carlin</t>
  </si>
  <si>
    <t>ACCOUNTS</t>
  </si>
  <si>
    <t>OTHER</t>
  </si>
  <si>
    <t>Association Of Optometrists</t>
  </si>
  <si>
    <t>DIRECT DEBIT</t>
  </si>
  <si>
    <t>PROFESSIONAL_SERVICES</t>
  </si>
  <si>
    <t>Lser Connect Ecom</t>
  </si>
  <si>
    <t>LSER CONNECT ECOM</t>
  </si>
  <si>
    <t>APPLE PAY</t>
  </si>
  <si>
    <t>TRAVEL</t>
  </si>
  <si>
    <t>Specsavers</t>
  </si>
  <si>
    <t>SPECSAVERS SEP COM</t>
  </si>
  <si>
    <t>DIRECT CREDIT</t>
  </si>
  <si>
    <t>REVENUE</t>
  </si>
  <si>
    <t>Dividend</t>
  </si>
  <si>
    <t>DIVIDENDS</t>
  </si>
  <si>
    <t>Finch House Cafe</t>
  </si>
  <si>
    <t>FOOD_AND_DRINK</t>
  </si>
  <si>
    <t>Redwood</t>
  </si>
  <si>
    <t>REDWOOD</t>
  </si>
  <si>
    <t>TfL</t>
  </si>
  <si>
    <t>TFL TRAVEL CH</t>
  </si>
  <si>
    <t>Bexley Ringo Ecom</t>
  </si>
  <si>
    <t>BEXLEY RINGO ECOM</t>
  </si>
  <si>
    <t>LOOKING GOOD OPTICIANS LIMITED T AS</t>
  </si>
  <si>
    <t>wadhurst</t>
  </si>
  <si>
    <t>RingGo</t>
  </si>
  <si>
    <t>RINGGO PARKING</t>
  </si>
  <si>
    <t>Tmchartered Limited</t>
  </si>
  <si>
    <t>Accounts</t>
  </si>
  <si>
    <t>MiPermit</t>
  </si>
  <si>
    <t>MIPERMIT LTD</t>
  </si>
  <si>
    <t>The College Of Optometrists</t>
  </si>
  <si>
    <t>DD003133</t>
  </si>
  <si>
    <t>Accounts MF</t>
  </si>
  <si>
    <t>Hl</t>
  </si>
  <si>
    <t>WWW.HL.CO.UK</t>
  </si>
  <si>
    <t>ONLINE PAYMENT</t>
  </si>
  <si>
    <t>STAFF</t>
  </si>
  <si>
    <t>WILKINSON LTD   ZZ</t>
  </si>
  <si>
    <t>WILK SEV</t>
  </si>
  <si>
    <t>Abbeyfield Ve Limi</t>
  </si>
  <si>
    <t>RG05570000565224</t>
  </si>
  <si>
    <t>Uh Ecommerce Pay360</t>
  </si>
  <si>
    <t>UNI OF HERTFORDSHIRE</t>
  </si>
  <si>
    <t>RG05570000805124</t>
  </si>
  <si>
    <t>The AA</t>
  </si>
  <si>
    <t>AA MOTOR INSURANCE</t>
  </si>
  <si>
    <t>VEHICLES</t>
  </si>
  <si>
    <t>Nando's</t>
  </si>
  <si>
    <t>NANDOS.CO.UK</t>
  </si>
  <si>
    <t>Matthew Ferris</t>
  </si>
  <si>
    <t>Salary</t>
  </si>
  <si>
    <t>Premier Inn</t>
  </si>
  <si>
    <t>Sun Do</t>
  </si>
  <si>
    <t>SUN DO</t>
  </si>
  <si>
    <t>Companies House</t>
  </si>
  <si>
    <t>COMPANIESHOUSE CHS - G</t>
  </si>
  <si>
    <t>eBay</t>
  </si>
  <si>
    <t>eBay O*10-12496-14000</t>
  </si>
  <si>
    <t>EQUIPMENT</t>
  </si>
  <si>
    <t>Disclosure &amp; Barring Service</t>
  </si>
  <si>
    <t>DISCLOSURE &amp; BARRING</t>
  </si>
  <si>
    <t>CARD PAYMENT</t>
  </si>
  <si>
    <t>HMRC Shipley</t>
  </si>
  <si>
    <t>1451222302A00113A</t>
  </si>
  <si>
    <t>CORPORATION_TAX</t>
  </si>
  <si>
    <t>DVLA</t>
  </si>
  <si>
    <t>DVLA VEHICLE TAX</t>
  </si>
  <si>
    <t>Uoh College Lane</t>
  </si>
  <si>
    <t>UOH COLLEGE LANE</t>
  </si>
  <si>
    <t>DIVIDENDS Pension</t>
  </si>
  <si>
    <t>WJW TON</t>
  </si>
  <si>
    <t>Optical</t>
  </si>
  <si>
    <t xml:space="preserve">WWW.OPTICAL.ORG       </t>
  </si>
  <si>
    <t>87201</t>
  </si>
  <si>
    <t>SA25/26</t>
  </si>
  <si>
    <t>APCOA</t>
  </si>
  <si>
    <t>APCOA SCAN PAY</t>
  </si>
  <si>
    <t>WILKINSON LTD ZZ</t>
  </si>
  <si>
    <t>Edney &amp; Edney Limi</t>
  </si>
  <si>
    <t>EDNEY AND EDNEY</t>
  </si>
  <si>
    <t>Hargreaves Lansdown</t>
  </si>
  <si>
    <t>Southeastern Railway</t>
  </si>
  <si>
    <t>SE SEVENOAKS SST</t>
  </si>
  <si>
    <t>Maidstone And Tunbridg</t>
  </si>
  <si>
    <t>SABA PARK SERVICES UK</t>
  </si>
  <si>
    <t>Ls Deckhouse Sevenoaks</t>
  </si>
  <si>
    <t>LS Deckhouse Sevenoaks</t>
  </si>
  <si>
    <t>Tayyabs</t>
  </si>
  <si>
    <t>Saba Park Services Uk</t>
  </si>
  <si>
    <t>MAIDSTONE</t>
  </si>
  <si>
    <t>Marks&amp;spencer</t>
  </si>
  <si>
    <t>MARKS&amp;SPENCER PLC</t>
  </si>
  <si>
    <t>Orderyoyo</t>
  </si>
  <si>
    <t>ORDERYOYO LTD</t>
  </si>
  <si>
    <t>Gov.uk</t>
  </si>
  <si>
    <t>WWW.GOV.UK/PAY-DARTFOR</t>
  </si>
  <si>
    <t>CARD SUBSCRIPTION</t>
  </si>
  <si>
    <t>Maidstone Hospital</t>
  </si>
  <si>
    <t>MAIDSTONE HOSPITAL</t>
  </si>
  <si>
    <t>Din Tai Fung</t>
  </si>
  <si>
    <t>TST-Din Tai Fung - Cov</t>
  </si>
  <si>
    <t>CONTACTLESS</t>
  </si>
  <si>
    <t>Hattusa</t>
  </si>
  <si>
    <t>HATTUSA SEVENOAKS SHOP</t>
  </si>
  <si>
    <t>Maidstone Smart Market</t>
  </si>
  <si>
    <t>MAIDSTONE SMART MARKET</t>
  </si>
  <si>
    <t>PARTNERSHIP OF DAY</t>
  </si>
  <si>
    <t>DLO</t>
  </si>
  <si>
    <t>120PR016248092606</t>
  </si>
  <si>
    <t>PAYE_AND_NI</t>
  </si>
  <si>
    <t>120PR016248092607</t>
  </si>
  <si>
    <t>1451222302A00114A</t>
  </si>
  <si>
    <t>120PR016248092608</t>
  </si>
  <si>
    <t>NONE</t>
  </si>
  <si>
    <t>College Of Optometrists</t>
  </si>
  <si>
    <t>THE COLLEGE OF OPT</t>
  </si>
  <si>
    <t>120PR016248092609</t>
  </si>
  <si>
    <t>Mo Accountant</t>
  </si>
  <si>
    <t>Invoice 00136</t>
  </si>
  <si>
    <t>General Optical Council</t>
  </si>
  <si>
    <t>WWW.OPTICAL.ORG</t>
  </si>
  <si>
    <t>PayPal</t>
  </si>
  <si>
    <t>PAYPAL *OUTOFTHEBOX</t>
  </si>
  <si>
    <t>LOCUM INVOICES GB</t>
  </si>
  <si>
    <t>PAYPAL *GENERALOPTI</t>
  </si>
  <si>
    <t>Trivial Benefits</t>
  </si>
  <si>
    <t>HMRC-PAYE</t>
  </si>
  <si>
    <t>CPD -grant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</si>
</sst>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43" fontId="0" fillId="0" borderId="0" xfId="1" applyFont="1"/>
    <xf numFmtId="43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3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3.972602893518" createdVersion="6" refreshedVersion="6" minRefreshableVersion="3" recordCount="159" xr:uid="{00000000-000A-0000-FFFF-FFFF00000000}">
  <cacheSource type="worksheet">
    <worksheetSource ref="A1:P161" sheet="RAW 2025"/>
  </cacheSource>
  <cacheFields count="16">
    <cacheField name="No" numFmtId="0">
      <sharedItems containsSemiMixedTypes="0" containsString="0" containsNumber="1" containsInteger="1" minValue="1" maxValue="159"/>
    </cacheField>
    <cacheField name="SA" numFmtId="0">
      <sharedItems/>
    </cacheField>
    <cacheField name="FY" numFmtId="0">
      <sharedItems count="1">
        <s v="FY25"/>
      </sharedItems>
    </cacheField>
    <cacheField name="Date" numFmtId="14">
      <sharedItems containsSemiMixedTypes="0" containsNonDate="0" containsDate="1" containsString="0" minDate="2024-04-02T00:00:00" maxDate="2025-03-29T00:00:00"/>
    </cacheField>
    <cacheField name="Counter Party" numFmtId="0">
      <sharedItems/>
    </cacheField>
    <cacheField name="Reference" numFmtId="0">
      <sharedItems containsMixedTypes="1" containsNumber="1" containsInteger="1" minValue="87201" maxValue="87201"/>
    </cacheField>
    <cacheField name="Type" numFmtId="0">
      <sharedItems/>
    </cacheField>
    <cacheField name="Amount (GBP)" numFmtId="0">
      <sharedItems containsSemiMixedTypes="0" containsString="0" containsNumber="1" minValue="-9231.15" maxValue="5450"/>
    </cacheField>
    <cacheField name="IN" numFmtId="0">
      <sharedItems containsString="0" containsBlank="1" containsNumber="1" containsInteger="1" minValue="5" maxValue="5450"/>
    </cacheField>
    <cacheField name="OUT" numFmtId="0">
      <sharedItems containsString="0" containsBlank="1" containsNumber="1" minValue="-9231.15" maxValue="-1"/>
    </cacheField>
    <cacheField name="Balance (GBP)" numFmtId="0">
      <sharedItems containsSemiMixedTypes="0" containsString="0" containsNumber="1" minValue="9843.61" maxValue="33581.1"/>
    </cacheField>
    <cacheField name="Net" numFmtId="0">
      <sharedItems containsSemiMixedTypes="0" containsString="0" containsNumber="1" minValue="-9231.15" maxValue="5450"/>
    </cacheField>
    <cacheField name="Balance UC" numFmtId="0">
      <sharedItems containsSemiMixedTypes="0" containsString="0" containsNumber="1" minValue="9843.61" maxValue="33581.100000000042"/>
    </cacheField>
    <cacheField name="Check" numFmtId="43">
      <sharedItems containsSemiMixedTypes="0" containsString="0" containsNumber="1" minValue="-5.0931703299283981E-11" maxValue="0"/>
    </cacheField>
    <cacheField name="Spending Category" numFmtId="0">
      <sharedItems/>
    </cacheField>
    <cacheField name="UC Category" numFmtId="0">
      <sharedItems count="23">
        <s v="Directors salary"/>
        <s v="Accountancy fee"/>
        <s v="AOP"/>
        <s v="Travel"/>
        <s v="Income"/>
        <s v="Dividends"/>
        <s v="Lunch"/>
        <s v="College"/>
        <s v="SIPP"/>
        <s v="Univerisity fee?"/>
        <s v="DLA"/>
        <s v="Entertainment"/>
        <s v="Professional fee"/>
        <s v="Training course"/>
        <s v="HMRC-CT"/>
        <s v="GOC"/>
        <s v="Dividends-Pension" u="1"/>
        <s v="Equipment?" u="1"/>
        <s v="Lunch?" u="1"/>
        <s v="Professional fee?" u="1"/>
        <s v="car insurance?" u="1"/>
        <s v="unknown" u="1"/>
        <s v="Training fe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59">
  <r>
    <n v="1"/>
    <s v="SA24/25"/>
    <x v="0"/>
    <d v="2024-04-02T00:00:00"/>
    <s v="Barclays Current"/>
    <s v="208813 93228126"/>
    <s v="FASTER PAYMENT"/>
    <n v="-700"/>
    <m/>
    <n v="-700"/>
    <n v="12612.51"/>
    <n v="-700"/>
    <n v="12612.51"/>
    <n v="0"/>
    <s v="DIRECTORS_WAGES"/>
    <x v="0"/>
  </r>
  <r>
    <n v="2"/>
    <s v="SA24/25"/>
    <x v="0"/>
    <d v="2024-04-02T00:00:00"/>
    <s v="M Carlin"/>
    <s v="ACCOUNTS"/>
    <s v="FASTER PAYMENT"/>
    <n v="-40"/>
    <m/>
    <n v="-40"/>
    <n v="12572.51"/>
    <n v="-40"/>
    <n v="12572.51"/>
    <n v="0"/>
    <s v="OTHER"/>
    <x v="1"/>
  </r>
  <r>
    <n v="3"/>
    <s v="SA24/25"/>
    <x v="0"/>
    <d v="2024-04-03T00:00:00"/>
    <s v="Association Of Optometrists"/>
    <n v="87201"/>
    <s v="DIRECT DEBIT"/>
    <n v="-72"/>
    <m/>
    <n v="-72"/>
    <n v="12500.51"/>
    <n v="-72"/>
    <n v="12500.51"/>
    <n v="0"/>
    <s v="PROFESSIONAL_SERVICES"/>
    <x v="2"/>
  </r>
  <r>
    <n v="4"/>
    <s v="SA24/25"/>
    <x v="0"/>
    <d v="2024-04-04T00:00:00"/>
    <s v="Lser Connect Ecom"/>
    <s v="LSER CONNECT ECOM"/>
    <s v="APPLE PAY"/>
    <n v="-6.9"/>
    <m/>
    <n v="-6.9"/>
    <n v="12493.61"/>
    <n v="-6.9"/>
    <n v="12493.61"/>
    <n v="0"/>
    <s v="TRAVEL"/>
    <x v="3"/>
  </r>
  <r>
    <n v="5"/>
    <s v="SA24/25"/>
    <x v="0"/>
    <d v="2024-04-05T00:00:00"/>
    <s v="Specsavers"/>
    <s v="SPECSAVERS SEP COM"/>
    <s v="DIRECT CREDIT"/>
    <n v="850"/>
    <n v="850"/>
    <m/>
    <n v="13343.61"/>
    <n v="850"/>
    <n v="13343.61"/>
    <n v="0"/>
    <s v="REVENUE"/>
    <x v="4"/>
  </r>
  <r>
    <n v="6"/>
    <s v="SA24/25"/>
    <x v="0"/>
    <d v="2024-04-08T00:00:00"/>
    <s v="Barclays Current"/>
    <s v="Dividend"/>
    <s v="FASTER PAYMENT"/>
    <n v="-3500"/>
    <m/>
    <n v="-3500"/>
    <n v="9843.610000000001"/>
    <n v="-3500"/>
    <n v="9843.610000000001"/>
    <n v="0"/>
    <s v="DIVIDENDS"/>
    <x v="5"/>
  </r>
  <r>
    <n v="7"/>
    <s v="SA24/25"/>
    <x v="0"/>
    <d v="2024-04-10T00:00:00"/>
    <s v="Specsavers"/>
    <s v="SPECSAVERS SEP COM"/>
    <s v="DIRECT CREDIT"/>
    <n v="2825"/>
    <n v="2825"/>
    <m/>
    <n v="12668.61"/>
    <n v="2825"/>
    <n v="12668.61"/>
    <n v="0"/>
    <s v="REVENUE"/>
    <x v="4"/>
  </r>
  <r>
    <n v="8"/>
    <s v="SA24/25"/>
    <x v="0"/>
    <d v="2024-04-12T00:00:00"/>
    <s v="Finch House Cafe"/>
    <s v="Finch House Cafe"/>
    <s v="APPLE PAY"/>
    <n v="-11.15"/>
    <m/>
    <n v="-11.15"/>
    <n v="12657.46"/>
    <n v="-11.15"/>
    <n v="12657.46"/>
    <n v="0"/>
    <s v="FOOD_AND_DRINK"/>
    <x v="6"/>
  </r>
  <r>
    <n v="9"/>
    <s v="SA24/25"/>
    <x v="0"/>
    <d v="2024-04-17T00:00:00"/>
    <s v="Specsavers"/>
    <s v="SPECSAVERS SEP COM"/>
    <s v="DIRECT CREDIT"/>
    <n v="2550"/>
    <n v="2550"/>
    <m/>
    <n v="15207.46"/>
    <n v="2550"/>
    <n v="15207.46"/>
    <n v="0"/>
    <s v="REVENUE"/>
    <x v="4"/>
  </r>
  <r>
    <n v="10"/>
    <s v="SA24/25"/>
    <x v="0"/>
    <d v="2024-04-24T00:00:00"/>
    <s v="Specsavers"/>
    <s v="SPECSAVERS SEP COM"/>
    <s v="DIRECT CREDIT"/>
    <n v="425"/>
    <n v="425"/>
    <m/>
    <n v="15632.46"/>
    <n v="425"/>
    <n v="15632.46"/>
    <n v="0"/>
    <s v="REVENUE"/>
    <x v="4"/>
  </r>
  <r>
    <n v="11"/>
    <s v="SA24/25"/>
    <x v="0"/>
    <d v="2024-04-25T00:00:00"/>
    <s v="Redwood"/>
    <s v="REDWOOD"/>
    <s v="APPLE PAY"/>
    <n v="-13.8"/>
    <m/>
    <n v="-13.8"/>
    <n v="15618.66"/>
    <n v="-13.8"/>
    <n v="15618.66"/>
    <n v="0"/>
    <s v="FOOD_AND_DRINK"/>
    <x v="6"/>
  </r>
  <r>
    <n v="12"/>
    <s v="SA24/25"/>
    <x v="0"/>
    <d v="2024-04-25T00:00:00"/>
    <s v="Redwood"/>
    <s v="REDWOOD"/>
    <s v="APPLE PAY"/>
    <n v="-6.9"/>
    <m/>
    <n v="-6.9"/>
    <n v="15611.76"/>
    <n v="-6.9"/>
    <n v="15611.76"/>
    <n v="0"/>
    <s v="FOOD_AND_DRINK"/>
    <x v="6"/>
  </r>
  <r>
    <n v="13"/>
    <s v="SA24/25"/>
    <x v="0"/>
    <d v="2024-04-25T00:00:00"/>
    <s v="TfL"/>
    <s v="TFL TRAVEL CH"/>
    <s v="APPLE PAY"/>
    <n v="-8.4"/>
    <m/>
    <n v="-8.4"/>
    <n v="15603.36"/>
    <n v="-8.4"/>
    <n v="15603.36"/>
    <n v="0"/>
    <s v="TRAVEL"/>
    <x v="3"/>
  </r>
  <r>
    <n v="14"/>
    <s v="SA24/25"/>
    <x v="0"/>
    <d v="2024-04-26T00:00:00"/>
    <s v="Bexley Ringo Ecom"/>
    <s v="BEXLEY RINGO ECOM"/>
    <s v="APPLE PAY"/>
    <n v="-1.7"/>
    <m/>
    <n v="-1.7"/>
    <n v="15601.66"/>
    <n v="-1.7"/>
    <n v="15601.66"/>
    <n v="0"/>
    <s v="TRAVEL"/>
    <x v="3"/>
  </r>
  <r>
    <n v="15"/>
    <s v="SA24/25"/>
    <x v="0"/>
    <d v="2024-04-27T00:00:00"/>
    <s v="LOOKING GOOD OPTICIANS LIMITED T AS"/>
    <s v="wadhurst"/>
    <s v="FASTER PAYMENT"/>
    <n v="700"/>
    <n v="700"/>
    <m/>
    <n v="16301.66"/>
    <n v="700"/>
    <n v="16301.66"/>
    <n v="0"/>
    <s v="REVENUE"/>
    <x v="4"/>
  </r>
  <r>
    <n v="16"/>
    <s v="SA24/25"/>
    <x v="0"/>
    <d v="2024-05-01T00:00:00"/>
    <s v="Association Of Optometrists"/>
    <n v="87201"/>
    <s v="DIRECT DEBIT"/>
    <n v="-72"/>
    <m/>
    <n v="-72"/>
    <n v="16229.66"/>
    <n v="-72"/>
    <n v="16229.66"/>
    <n v="0"/>
    <s v="PROFESSIONAL_SERVICES"/>
    <x v="2"/>
  </r>
  <r>
    <n v="17"/>
    <s v="SA24/25"/>
    <x v="0"/>
    <d v="2024-05-01T00:00:00"/>
    <s v="Barclays Current"/>
    <s v="208813 93228126"/>
    <s v="FASTER PAYMENT"/>
    <n v="-700"/>
    <m/>
    <n v="-700"/>
    <n v="15529.66"/>
    <n v="-700"/>
    <n v="15529.66"/>
    <n v="0"/>
    <s v="DIRECTORS_WAGES"/>
    <x v="0"/>
  </r>
  <r>
    <n v="18"/>
    <s v="SA24/25"/>
    <x v="0"/>
    <d v="2024-05-01T00:00:00"/>
    <s v="M Carlin"/>
    <s v="ACCOUNTS"/>
    <s v="FASTER PAYMENT"/>
    <n v="-40"/>
    <m/>
    <n v="-40"/>
    <n v="15489.66"/>
    <n v="-40"/>
    <n v="15489.66"/>
    <n v="0"/>
    <s v="PROFESSIONAL_SERVICES"/>
    <x v="1"/>
  </r>
  <r>
    <n v="19"/>
    <s v="SA24/25"/>
    <x v="0"/>
    <d v="2024-05-07T00:00:00"/>
    <s v="Barclays Current"/>
    <s v="Dividend"/>
    <s v="FASTER PAYMENT"/>
    <n v="-4000"/>
    <m/>
    <n v="-4000"/>
    <n v="11489.66"/>
    <n v="-4000"/>
    <n v="11489.66"/>
    <n v="0"/>
    <s v="DIVIDENDS"/>
    <x v="5"/>
  </r>
  <r>
    <n v="20"/>
    <s v="SA24/25"/>
    <x v="0"/>
    <d v="2024-05-10T00:00:00"/>
    <s v="Specsavers"/>
    <s v="SPECSAVERS SEP COM"/>
    <s v="DIRECT CREDIT"/>
    <n v="1225"/>
    <n v="1225"/>
    <m/>
    <n v="12714.66"/>
    <n v="1225"/>
    <n v="12714.66"/>
    <n v="0"/>
    <s v="REVENUE"/>
    <x v="4"/>
  </r>
  <r>
    <n v="21"/>
    <s v="SA24/25"/>
    <x v="0"/>
    <d v="2024-05-14T00:00:00"/>
    <s v="RingGo"/>
    <s v="RINGGO PARKING"/>
    <s v="APPLE PAY"/>
    <n v="-7"/>
    <m/>
    <n v="-7"/>
    <n v="12707.66"/>
    <n v="-7"/>
    <n v="12707.66"/>
    <n v="0"/>
    <s v="TRAVEL"/>
    <x v="3"/>
  </r>
  <r>
    <n v="22"/>
    <s v="SA24/25"/>
    <x v="0"/>
    <d v="2024-05-15T00:00:00"/>
    <s v="Specsavers"/>
    <s v="SPECSAVERS SEP COM"/>
    <s v="DIRECT CREDIT"/>
    <n v="5450"/>
    <n v="5450"/>
    <m/>
    <n v="18157.66"/>
    <n v="5450"/>
    <n v="18157.66"/>
    <n v="0"/>
    <s v="REVENUE"/>
    <x v="4"/>
  </r>
  <r>
    <n v="23"/>
    <s v="SA24/25"/>
    <x v="0"/>
    <d v="2024-05-22T00:00:00"/>
    <s v="Specsavers"/>
    <s v="SPECSAVERS SEP COM"/>
    <s v="DIRECT CREDIT"/>
    <n v="500"/>
    <n v="500"/>
    <m/>
    <n v="18657.66"/>
    <n v="500"/>
    <n v="18657.66"/>
    <n v="0"/>
    <s v="REVENUE"/>
    <x v="4"/>
  </r>
  <r>
    <n v="24"/>
    <s v="SA24/25"/>
    <x v="0"/>
    <d v="2024-05-23T00:00:00"/>
    <s v="Tmchartered Limited"/>
    <s v="ACCOUNTS"/>
    <s v="FASTER PAYMENT"/>
    <n v="-300"/>
    <m/>
    <n v="-300"/>
    <n v="18357.66"/>
    <n v="-300"/>
    <n v="18357.66"/>
    <n v="0"/>
    <s v="PROFESSIONAL_SERVICES"/>
    <x v="1"/>
  </r>
  <r>
    <n v="25"/>
    <s v="SA24/25"/>
    <x v="0"/>
    <d v="2024-05-27T00:00:00"/>
    <s v="RingGo"/>
    <s v="RINGGO PARKING"/>
    <s v="APPLE PAY"/>
    <n v="-2.1"/>
    <m/>
    <n v="-2.1"/>
    <n v="18355.56"/>
    <n v="-2.1"/>
    <n v="18355.56"/>
    <n v="0"/>
    <s v="TRAVEL"/>
    <x v="3"/>
  </r>
  <r>
    <n v="26"/>
    <s v="SA24/25"/>
    <x v="0"/>
    <d v="2024-05-29T00:00:00"/>
    <s v="LOOKING GOOD OPTICIANS LIMITED T AS"/>
    <s v="wadhurst"/>
    <s v="FASTER PAYMENT"/>
    <n v="200"/>
    <n v="200"/>
    <m/>
    <n v="18555.56"/>
    <n v="200"/>
    <n v="18555.56"/>
    <n v="0"/>
    <s v="REVENUE"/>
    <x v="4"/>
  </r>
  <r>
    <n v="27"/>
    <s v="SA24/25"/>
    <x v="0"/>
    <d v="2024-05-31T00:00:00"/>
    <s v="MiPermit"/>
    <s v="MIPERMIT LTD"/>
    <s v="APPLE PAY"/>
    <n v="-1.1"/>
    <m/>
    <n v="-1.1"/>
    <n v="18554.46"/>
    <n v="-1.1"/>
    <n v="18554.46000000001"/>
    <n v="0"/>
    <s v="TRAVEL"/>
    <x v="3"/>
  </r>
  <r>
    <n v="28"/>
    <s v="SA24/25"/>
    <x v="0"/>
    <d v="2024-05-31T00:00:00"/>
    <s v="MiPermit"/>
    <s v="MIPERMIT LTD"/>
    <s v="APPLE PAY"/>
    <n v="-1"/>
    <m/>
    <n v="-1"/>
    <n v="18553.46"/>
    <n v="-1"/>
    <n v="18553.46000000001"/>
    <n v="0"/>
    <s v="TRAVEL"/>
    <x v="3"/>
  </r>
  <r>
    <n v="29"/>
    <s v="SA24/25"/>
    <x v="0"/>
    <d v="2024-06-03T00:00:00"/>
    <s v="Barclays Current"/>
    <s v="208813 93228126"/>
    <s v="FASTER PAYMENT"/>
    <n v="-700"/>
    <m/>
    <n v="-700"/>
    <n v="17853.46"/>
    <n v="-700"/>
    <n v="17853.46000000001"/>
    <n v="0"/>
    <s v="DIRECTORS_WAGES"/>
    <x v="0"/>
  </r>
  <r>
    <n v="30"/>
    <s v="SA24/25"/>
    <x v="0"/>
    <d v="2024-06-03T00:00:00"/>
    <s v="Association Of Optometrists"/>
    <n v="87201"/>
    <s v="DIRECT DEBIT"/>
    <n v="-72"/>
    <m/>
    <n v="-72"/>
    <n v="17781.46"/>
    <n v="-72"/>
    <n v="17781.46000000001"/>
    <n v="0"/>
    <s v="PROFESSIONAL_SERVICES"/>
    <x v="2"/>
  </r>
  <r>
    <n v="31"/>
    <s v="SA24/25"/>
    <x v="0"/>
    <d v="2024-06-03T00:00:00"/>
    <s v="The College Of Optometrists"/>
    <s v="DD003133"/>
    <s v="DIRECT DEBIT"/>
    <n v="-127.09"/>
    <m/>
    <n v="-127.09"/>
    <n v="17654.37"/>
    <n v="-127.09"/>
    <n v="17654.37000000001"/>
    <n v="0"/>
    <s v="PROFESSIONAL_SERVICES"/>
    <x v="7"/>
  </r>
  <r>
    <n v="32"/>
    <s v="SA24/25"/>
    <x v="0"/>
    <d v="2024-06-07T00:00:00"/>
    <s v="Specsavers"/>
    <s v="SPECSAVERS SEP COM"/>
    <s v="DIRECT CREDIT"/>
    <n v="3400"/>
    <n v="3400"/>
    <m/>
    <n v="21054.37"/>
    <n v="3400"/>
    <n v="21054.37000000001"/>
    <n v="0"/>
    <s v="REVENUE"/>
    <x v="4"/>
  </r>
  <r>
    <n v="33"/>
    <s v="SA24/25"/>
    <x v="0"/>
    <d v="2024-06-08T00:00:00"/>
    <s v="MiPermit"/>
    <s v="MIPERMIT LTD"/>
    <s v="APPLE PAY"/>
    <n v="-1.1"/>
    <m/>
    <n v="-1.1"/>
    <n v="21053.27"/>
    <n v="-1.1"/>
    <n v="21053.27000000001"/>
    <n v="0"/>
    <s v="TRAVEL"/>
    <x v="3"/>
  </r>
  <r>
    <n v="34"/>
    <s v="SA24/25"/>
    <x v="0"/>
    <d v="2024-06-08T00:00:00"/>
    <s v="MiPermit"/>
    <s v="MIPERMIT LTD"/>
    <s v="APPLE PAY"/>
    <n v="-1"/>
    <m/>
    <n v="-1"/>
    <n v="21052.27"/>
    <n v="-1"/>
    <n v="21052.27000000001"/>
    <n v="0"/>
    <s v="TRAVEL"/>
    <x v="3"/>
  </r>
  <r>
    <n v="35"/>
    <s v="SA24/25"/>
    <x v="0"/>
    <d v="2024-06-08T00:00:00"/>
    <s v="MiPermit"/>
    <s v="MIPERMIT LTD"/>
    <s v="APPLE PAY"/>
    <n v="-1.1"/>
    <m/>
    <n v="-1.1"/>
    <n v="21051.17"/>
    <n v="-1.1"/>
    <n v="21051.17000000001"/>
    <n v="0"/>
    <s v="TRAVEL"/>
    <x v="3"/>
  </r>
  <r>
    <n v="36"/>
    <s v="SA24/25"/>
    <x v="0"/>
    <d v="2024-06-08T00:00:00"/>
    <s v="MiPermit"/>
    <s v="MIPERMIT LTD"/>
    <s v="APPLE PAY"/>
    <n v="-1.1"/>
    <m/>
    <n v="-1.1"/>
    <n v="21050.07"/>
    <n v="-1.1"/>
    <n v="21050.07000000001"/>
    <n v="0"/>
    <s v="TRAVEL"/>
    <x v="3"/>
  </r>
  <r>
    <n v="37"/>
    <s v="SA24/25"/>
    <x v="0"/>
    <d v="2024-06-12T00:00:00"/>
    <s v="Specsavers"/>
    <s v="SPECSAVERS SEP COM"/>
    <s v="DIRECT CREDIT"/>
    <n v="3300"/>
    <n v="3300"/>
    <m/>
    <n v="24350.07"/>
    <n v="3300"/>
    <n v="24350.07000000001"/>
    <n v="0"/>
    <s v="REVENUE"/>
    <x v="4"/>
  </r>
  <r>
    <n v="38"/>
    <s v="SA24/25"/>
    <x v="0"/>
    <d v="2024-06-18T00:00:00"/>
    <s v="Tmchartered Limited"/>
    <s v="Accounts MF"/>
    <s v="FASTER PAYMENT"/>
    <n v="-300"/>
    <m/>
    <n v="-300"/>
    <n v="24050.07"/>
    <n v="-300"/>
    <n v="24050.07000000001"/>
    <n v="0"/>
    <s v="PROFESSIONAL_SERVICES"/>
    <x v="1"/>
  </r>
  <r>
    <n v="39"/>
    <s v="SA24/25"/>
    <x v="0"/>
    <d v="2024-06-27T00:00:00"/>
    <s v="LOOKING GOOD OPTICIANS LIMITED T AS"/>
    <s v="wadhurst"/>
    <s v="FASTER PAYMENT"/>
    <n v="700"/>
    <n v="700"/>
    <m/>
    <n v="24750.07"/>
    <n v="700"/>
    <n v="24750.07000000001"/>
    <n v="0"/>
    <s v="REVENUE"/>
    <x v="4"/>
  </r>
  <r>
    <n v="40"/>
    <s v="SA24/25"/>
    <x v="0"/>
    <d v="2024-06-28T00:00:00"/>
    <s v="Barclays Current"/>
    <s v="Dividend"/>
    <s v="FASTER PAYMENT"/>
    <n v="-4000"/>
    <m/>
    <n v="-4000"/>
    <n v="20750.07"/>
    <n v="-4000"/>
    <n v="20750.07000000001"/>
    <n v="0"/>
    <s v="DIVIDENDS"/>
    <x v="5"/>
  </r>
  <r>
    <n v="41"/>
    <s v="SA24/25"/>
    <x v="0"/>
    <d v="2024-06-30T00:00:00"/>
    <s v="Hl"/>
    <s v="WWW.HL.CO.UK"/>
    <s v="ONLINE PAYMENT"/>
    <n v="-750"/>
    <m/>
    <n v="-750"/>
    <n v="20000.07"/>
    <n v="-750"/>
    <n v="20000.07000000001"/>
    <n v="0"/>
    <s v="STAFF"/>
    <x v="8"/>
  </r>
  <r>
    <n v="42"/>
    <s v="SA24/25"/>
    <x v="0"/>
    <d v="2024-07-01T00:00:00"/>
    <s v="Association Of Optometrists"/>
    <n v="87201"/>
    <s v="DIRECT DEBIT"/>
    <n v="-72"/>
    <m/>
    <n v="-72"/>
    <n v="19928.07"/>
    <n v="-72"/>
    <n v="19928.07000000001"/>
    <n v="0"/>
    <s v="PROFESSIONAL_SERVICES"/>
    <x v="2"/>
  </r>
  <r>
    <n v="43"/>
    <s v="SA24/25"/>
    <x v="0"/>
    <d v="2024-07-01T00:00:00"/>
    <s v="Barclays Current"/>
    <s v="208813 93228126"/>
    <s v="FASTER PAYMENT"/>
    <n v="-1000"/>
    <m/>
    <n v="-1000"/>
    <n v="18928.07"/>
    <n v="-1000"/>
    <n v="18928.07000000001"/>
    <n v="0"/>
    <s v="DIRECTORS_WAGES"/>
    <x v="0"/>
  </r>
  <r>
    <n v="44"/>
    <s v="SA24/25"/>
    <x v="0"/>
    <d v="2024-07-04T00:00:00"/>
    <s v="WILKINSON LTD   ZZ"/>
    <s v="WILK SEV"/>
    <s v="FASTER PAYMENT"/>
    <n v="450"/>
    <n v="450"/>
    <m/>
    <n v="19378.07"/>
    <n v="450"/>
    <n v="19378.07000000001"/>
    <n v="0"/>
    <s v="REVENUE"/>
    <x v="4"/>
  </r>
  <r>
    <n v="45"/>
    <s v="SA24/25"/>
    <x v="0"/>
    <d v="2024-07-05T00:00:00"/>
    <s v="Specsavers"/>
    <s v="SPECSAVERS SEP COM"/>
    <s v="DIRECT CREDIT"/>
    <n v="5043"/>
    <n v="5043"/>
    <m/>
    <n v="24421.07"/>
    <n v="5043"/>
    <n v="24421.07000000001"/>
    <n v="0"/>
    <s v="REVENUE"/>
    <x v="4"/>
  </r>
  <r>
    <n v="46"/>
    <s v="SA24/25"/>
    <x v="0"/>
    <d v="2024-07-05T00:00:00"/>
    <s v="Barclays Current"/>
    <s v="Dividend"/>
    <s v="FASTER PAYMENT"/>
    <n v="-2000"/>
    <m/>
    <n v="-2000"/>
    <n v="22421.07"/>
    <n v="-2000"/>
    <n v="22421.07000000001"/>
    <n v="0"/>
    <s v="DIVIDENDS"/>
    <x v="5"/>
  </r>
  <r>
    <n v="47"/>
    <s v="SA24/25"/>
    <x v="0"/>
    <d v="2024-07-07T00:00:00"/>
    <s v="MiPermit"/>
    <s v="MIPERMIT LTD"/>
    <s v="APPLE PAY"/>
    <n v="-1.1"/>
    <m/>
    <n v="-1.1"/>
    <n v="22419.97"/>
    <n v="-1.1"/>
    <n v="22419.97000000001"/>
    <n v="0"/>
    <s v="TRAVEL"/>
    <x v="3"/>
  </r>
  <r>
    <n v="48"/>
    <s v="SA24/25"/>
    <x v="0"/>
    <d v="2024-07-12T00:00:00"/>
    <s v="Abbeyfield Ve Limi"/>
    <s v="RG05570000565224"/>
    <s v="DIRECT CREDIT"/>
    <n v="375"/>
    <n v="375"/>
    <m/>
    <n v="22794.97"/>
    <n v="375"/>
    <n v="22794.97000000001"/>
    <n v="0"/>
    <s v="REVENUE"/>
    <x v="4"/>
  </r>
  <r>
    <n v="49"/>
    <s v="SA24/25"/>
    <x v="0"/>
    <d v="2024-07-17T00:00:00"/>
    <s v="MiPermit"/>
    <s v="MIPERMIT LTD"/>
    <s v="APPLE PAY"/>
    <n v="-1.1"/>
    <m/>
    <n v="-1.1"/>
    <n v="22793.87"/>
    <n v="-1.1"/>
    <n v="22793.87000000001"/>
    <n v="0"/>
    <s v="TRAVEL"/>
    <x v="3"/>
  </r>
  <r>
    <n v="50"/>
    <s v="SA24/25"/>
    <x v="0"/>
    <d v="2024-07-18T00:00:00"/>
    <s v="Uh Ecommerce Pay360"/>
    <s v="UNI OF HERTFORDSHIRE"/>
    <s v="ONLINE PAYMENT"/>
    <n v="-1400"/>
    <m/>
    <n v="-1400"/>
    <n v="21393.87"/>
    <n v="-1400"/>
    <n v="21393.87000000001"/>
    <n v="0"/>
    <s v="PROFESSIONAL_SERVICES"/>
    <x v="9"/>
  </r>
  <r>
    <n v="51"/>
    <s v="SA24/25"/>
    <x v="0"/>
    <d v="2024-07-18T00:00:00"/>
    <s v="MiPermit"/>
    <s v="MIPERMIT LTD"/>
    <s v="APPLE PAY"/>
    <n v="-1.1"/>
    <m/>
    <n v="-1.1"/>
    <n v="21392.77"/>
    <n v="-1.1"/>
    <n v="21392.77000000001"/>
    <n v="0"/>
    <s v="TRAVEL"/>
    <x v="3"/>
  </r>
  <r>
    <n v="52"/>
    <s v="SA24/25"/>
    <x v="0"/>
    <d v="2024-07-20T00:00:00"/>
    <s v="LOOKING GOOD OPTICIANS LIMITED T AS"/>
    <s v="wadhurst"/>
    <s v="FASTER PAYMENT"/>
    <n v="1100"/>
    <n v="1100"/>
    <m/>
    <n v="22492.77"/>
    <n v="1100"/>
    <n v="22492.77000000001"/>
    <n v="0"/>
    <s v="REVENUE"/>
    <x v="4"/>
  </r>
  <r>
    <n v="53"/>
    <s v="SA24/25"/>
    <x v="0"/>
    <d v="2024-07-24T00:00:00"/>
    <s v="Barclays Current"/>
    <s v="Dividend"/>
    <s v="FASTER PAYMENT"/>
    <n v="-7500"/>
    <m/>
    <n v="-7500"/>
    <n v="14992.77"/>
    <n v="-7500"/>
    <n v="14992.77000000001"/>
    <n v="-1.455191522836685e-11"/>
    <s v="DIVIDENDS"/>
    <x v="5"/>
  </r>
  <r>
    <n v="54"/>
    <s v="SA24/25"/>
    <x v="0"/>
    <d v="2024-08-01T00:00:00"/>
    <s v="Barclays Current"/>
    <s v="208813 93228126"/>
    <s v="FASTER PAYMENT"/>
    <n v="-1000"/>
    <m/>
    <n v="-1000"/>
    <n v="13992.77"/>
    <n v="-1000"/>
    <n v="13992.77000000001"/>
    <n v="-1.455191522836685e-11"/>
    <s v="DIRECTORS_WAGES"/>
    <x v="0"/>
  </r>
  <r>
    <n v="55"/>
    <s v="SA24/25"/>
    <x v="0"/>
    <d v="2024-08-01T00:00:00"/>
    <s v="Association Of Optometrists"/>
    <n v="87201"/>
    <s v="DIRECT DEBIT"/>
    <n v="-72"/>
    <m/>
    <n v="-72"/>
    <n v="13920.77"/>
    <n v="-72"/>
    <n v="13920.77000000001"/>
    <n v="-1.455191522836685e-11"/>
    <s v="PROFESSIONAL_SERVICES"/>
    <x v="2"/>
  </r>
  <r>
    <n v="56"/>
    <s v="SA24/25"/>
    <x v="0"/>
    <d v="2024-08-07T00:00:00"/>
    <s v="Specsavers"/>
    <s v="SPECSAVERS SEP COM"/>
    <s v="DIRECT CREDIT"/>
    <n v="2350"/>
    <n v="2350"/>
    <m/>
    <n v="16270.77"/>
    <n v="2350"/>
    <n v="16270.77000000001"/>
    <n v="-1.455191522836685e-11"/>
    <s v="REVENUE"/>
    <x v="4"/>
  </r>
  <r>
    <n v="57"/>
    <s v="SA24/25"/>
    <x v="0"/>
    <d v="2024-08-08T00:00:00"/>
    <s v="RingGo"/>
    <s v="RINGGO PARKING"/>
    <s v="APPLE PAY"/>
    <n v="-7"/>
    <m/>
    <n v="-7"/>
    <n v="16263.77"/>
    <n v="-7"/>
    <n v="16263.77000000001"/>
    <n v="-1.455191522836685e-11"/>
    <s v="TRAVEL"/>
    <x v="3"/>
  </r>
  <r>
    <n v="58"/>
    <s v="SA24/25"/>
    <x v="0"/>
    <d v="2024-08-09T00:00:00"/>
    <s v="Specsavers"/>
    <s v="SPECSAVERS SEP COM"/>
    <s v="DIRECT CREDIT"/>
    <n v="2125"/>
    <n v="2125"/>
    <m/>
    <n v="18388.77"/>
    <n v="2125"/>
    <n v="18388.77000000001"/>
    <n v="0"/>
    <s v="REVENUE"/>
    <x v="4"/>
  </r>
  <r>
    <n v="59"/>
    <s v="SA24/25"/>
    <x v="0"/>
    <d v="2024-08-12T00:00:00"/>
    <s v="WILKINSON LTD   ZZ"/>
    <s v="WILK SEV"/>
    <s v="FASTER PAYMENT"/>
    <n v="900"/>
    <n v="900"/>
    <m/>
    <n v="19288.77"/>
    <n v="900"/>
    <n v="19288.77000000001"/>
    <n v="0"/>
    <s v="REVENUE"/>
    <x v="4"/>
  </r>
  <r>
    <n v="60"/>
    <s v="SA24/25"/>
    <x v="0"/>
    <d v="2024-08-16T00:00:00"/>
    <s v="Specsavers"/>
    <s v="SPECSAVERS SEP COM"/>
    <s v="DIRECT CREDIT"/>
    <n v="430"/>
    <n v="430"/>
    <m/>
    <n v="19718.77"/>
    <n v="430"/>
    <n v="19718.77000000001"/>
    <n v="0"/>
    <s v="REVENUE"/>
    <x v="4"/>
  </r>
  <r>
    <n v="61"/>
    <s v="SA24/25"/>
    <x v="0"/>
    <d v="2024-08-18T00:00:00"/>
    <s v="MiPermit"/>
    <s v="MIPERMIT LTD"/>
    <s v="APPLE PAY"/>
    <n v="-5.6"/>
    <m/>
    <n v="-5.6"/>
    <n v="19713.17"/>
    <n v="-5.6"/>
    <n v="19713.17000000002"/>
    <n v="0"/>
    <s v="TRAVEL"/>
    <x v="3"/>
  </r>
  <r>
    <n v="62"/>
    <s v="SA24/25"/>
    <x v="0"/>
    <d v="2024-08-19T00:00:00"/>
    <s v="MiPermit"/>
    <s v="MIPERMIT LTD"/>
    <s v="APPLE PAY"/>
    <n v="-5.6"/>
    <m/>
    <n v="-5.6"/>
    <n v="19707.57"/>
    <n v="-5.6"/>
    <n v="19707.57000000002"/>
    <n v="0"/>
    <s v="TRAVEL"/>
    <x v="3"/>
  </r>
  <r>
    <n v="63"/>
    <s v="SA24/25"/>
    <x v="0"/>
    <d v="2024-08-21T00:00:00"/>
    <s v="MiPermit"/>
    <s v="MIPERMIT LTD"/>
    <s v="APPLE PAY"/>
    <n v="-5.6"/>
    <m/>
    <n v="-5.6"/>
    <n v="19701.97"/>
    <n v="-5.6"/>
    <n v="19701.97000000002"/>
    <n v="0"/>
    <s v="TRAVEL"/>
    <x v="3"/>
  </r>
  <r>
    <n v="64"/>
    <s v="SA24/25"/>
    <x v="0"/>
    <d v="2024-08-22T00:00:00"/>
    <s v="Hl"/>
    <s v="WWW.HL.CO.UK"/>
    <s v="ONLINE PAYMENT"/>
    <n v="-750"/>
    <m/>
    <n v="-750"/>
    <n v="18951.97"/>
    <n v="-750"/>
    <n v="18951.97000000002"/>
    <n v="0"/>
    <s v="STAFF"/>
    <x v="8"/>
  </r>
  <r>
    <n v="65"/>
    <s v="SA24/25"/>
    <x v="0"/>
    <d v="2024-08-22T00:00:00"/>
    <s v="MiPermit"/>
    <s v="MIPERMIT LTD"/>
    <s v="APPLE PAY"/>
    <n v="-5.6"/>
    <m/>
    <n v="-5.6"/>
    <n v="18946.37"/>
    <n v="-5.6"/>
    <n v="18946.37000000002"/>
    <n v="0"/>
    <s v="TRAVEL"/>
    <x v="3"/>
  </r>
  <r>
    <n v="66"/>
    <s v="SA24/25"/>
    <x v="0"/>
    <d v="2024-08-25T00:00:00"/>
    <s v="MiPermit"/>
    <s v="MIPERMIT LTD"/>
    <s v="APPLE PAY"/>
    <n v="-5.6"/>
    <m/>
    <n v="-5.6"/>
    <n v="18940.77"/>
    <n v="-5.6"/>
    <n v="18940.77000000002"/>
    <n v="0"/>
    <s v="TRAVEL"/>
    <x v="3"/>
  </r>
  <r>
    <n v="67"/>
    <s v="SA24/25"/>
    <x v="0"/>
    <d v="2024-08-26T00:00:00"/>
    <s v="MiPermit"/>
    <s v="MIPERMIT LTD"/>
    <s v="APPLE PAY"/>
    <n v="-5.1"/>
    <m/>
    <n v="-5.1"/>
    <n v="18935.67"/>
    <n v="-5.1"/>
    <n v="18935.67000000002"/>
    <n v="0"/>
    <s v="TRAVEL"/>
    <x v="3"/>
  </r>
  <r>
    <n v="68"/>
    <s v="SA24/25"/>
    <x v="0"/>
    <d v="2024-08-29T00:00:00"/>
    <s v="LOOKING GOOD OPTICIANS LIMITED T AS"/>
    <s v="wadhurst"/>
    <s v="FASTER PAYMENT"/>
    <n v="1200"/>
    <n v="1200"/>
    <m/>
    <n v="20135.67"/>
    <n v="1200"/>
    <n v="20135.67000000002"/>
    <n v="0"/>
    <s v="REVENUE"/>
    <x v="4"/>
  </r>
  <r>
    <n v="69"/>
    <s v="SA24/25"/>
    <x v="0"/>
    <d v="2024-08-29T00:00:00"/>
    <s v="Barclays Current"/>
    <s v="Dividend"/>
    <s v="FASTER PAYMENT"/>
    <n v="-2000"/>
    <m/>
    <n v="-2000"/>
    <n v="18135.67"/>
    <n v="-2000"/>
    <n v="18135.67000000002"/>
    <n v="0"/>
    <s v="DIVIDENDS"/>
    <x v="5"/>
  </r>
  <r>
    <n v="70"/>
    <s v="SA24/25"/>
    <x v="0"/>
    <d v="2024-09-02T00:00:00"/>
    <s v="Barclays Current"/>
    <s v="208813 93228126"/>
    <s v="FASTER PAYMENT"/>
    <n v="-1000"/>
    <m/>
    <n v="-1000"/>
    <n v="17135.67"/>
    <n v="-1000"/>
    <n v="17135.67000000002"/>
    <n v="0"/>
    <s v="DIRECTORS_WAGES"/>
    <x v="0"/>
  </r>
  <r>
    <n v="71"/>
    <s v="SA24/25"/>
    <x v="0"/>
    <d v="2024-09-02T00:00:00"/>
    <s v="Association Of Optometrists"/>
    <n v="87201"/>
    <s v="DIRECT DEBIT"/>
    <n v="-72"/>
    <m/>
    <n v="-72"/>
    <n v="17063.67"/>
    <n v="-72"/>
    <n v="17063.67000000002"/>
    <n v="0"/>
    <s v="PROFESSIONAL_SERVICES"/>
    <x v="2"/>
  </r>
  <r>
    <n v="72"/>
    <s v="SA24/25"/>
    <x v="0"/>
    <d v="2024-09-05T00:00:00"/>
    <s v="Lser Connect Ecom"/>
    <s v="LSER CONNECT ECOM"/>
    <s v="APPLE PAY"/>
    <n v="-7"/>
    <m/>
    <n v="-7"/>
    <n v="17056.67"/>
    <n v="-7"/>
    <n v="17056.67000000002"/>
    <n v="0"/>
    <s v="TRAVEL"/>
    <x v="3"/>
  </r>
  <r>
    <n v="73"/>
    <s v="SA24/25"/>
    <x v="0"/>
    <d v="2024-09-05T00:00:00"/>
    <s v="MiPermit"/>
    <s v="MIPERMIT LTD"/>
    <s v="APPLE PAY"/>
    <n v="-2.1"/>
    <m/>
    <n v="-2.1"/>
    <n v="17054.57"/>
    <n v="-2.1"/>
    <n v="17054.57000000003"/>
    <n v="0"/>
    <s v="TRAVEL"/>
    <x v="3"/>
  </r>
  <r>
    <n v="74"/>
    <s v="SA24/25"/>
    <x v="0"/>
    <d v="2024-09-06T00:00:00"/>
    <s v="Specsavers"/>
    <s v="SPECSAVERS SEP COM"/>
    <s v="DIRECT CREDIT"/>
    <n v="3825"/>
    <n v="3825"/>
    <m/>
    <n v="20879.57"/>
    <n v="3825"/>
    <n v="20879.57000000003"/>
    <n v="0"/>
    <s v="REVENUE"/>
    <x v="4"/>
  </r>
  <r>
    <n v="75"/>
    <s v="SA24/25"/>
    <x v="0"/>
    <d v="2024-09-08T00:00:00"/>
    <s v="MiPermit"/>
    <s v="MIPERMIT LTD"/>
    <s v="APPLE PAY"/>
    <n v="-4.1"/>
    <m/>
    <n v="-4.1"/>
    <n v="20875.47"/>
    <n v="-4.1"/>
    <n v="20875.47000000003"/>
    <n v="0"/>
    <s v="TRAVEL"/>
    <x v="3"/>
  </r>
  <r>
    <n v="76"/>
    <s v="SA24/25"/>
    <x v="0"/>
    <d v="2024-09-08T00:00:00"/>
    <s v="MiPermit"/>
    <s v="MIPERMIT LTD"/>
    <s v="APPLE PAY"/>
    <n v="-5.1"/>
    <m/>
    <n v="-5.1"/>
    <n v="20870.37"/>
    <n v="-5.1"/>
    <n v="20870.37000000003"/>
    <n v="-2.91038304567337e-11"/>
    <s v="TRAVEL"/>
    <x v="3"/>
  </r>
  <r>
    <n v="77"/>
    <s v="SA24/25"/>
    <x v="0"/>
    <d v="2024-09-09T00:00:00"/>
    <s v="WILKINSON LTD   ZZ"/>
    <s v="WILK SEV"/>
    <s v="FASTER PAYMENT"/>
    <n v="900"/>
    <n v="900"/>
    <m/>
    <n v="21770.37"/>
    <n v="900"/>
    <n v="21770.37000000003"/>
    <n v="-2.91038304567337e-11"/>
    <s v="REVENUE"/>
    <x v="4"/>
  </r>
  <r>
    <n v="78"/>
    <s v="SA24/25"/>
    <x v="0"/>
    <d v="2024-09-11T00:00:00"/>
    <s v="Specsavers"/>
    <s v="SPECSAVERS SEP COM"/>
    <s v="DIRECT CREDIT"/>
    <n v="1826"/>
    <n v="1826"/>
    <m/>
    <n v="23596.37"/>
    <n v="1826"/>
    <n v="23596.37000000003"/>
    <n v="-2.91038304567337e-11"/>
    <s v="REVENUE"/>
    <x v="4"/>
  </r>
  <r>
    <n v="79"/>
    <s v="SA24/25"/>
    <x v="0"/>
    <d v="2024-09-13T00:00:00"/>
    <s v="Abbeyfield Ve Limi"/>
    <s v="RG05570000805124"/>
    <s v="DIRECT CREDIT"/>
    <n v="375"/>
    <n v="375"/>
    <m/>
    <n v="23971.37"/>
    <n v="375"/>
    <n v="23971.37000000003"/>
    <n v="-2.91038304567337e-11"/>
    <s v="REVENUE"/>
    <x v="4"/>
  </r>
  <r>
    <n v="80"/>
    <s v="SA24/25"/>
    <x v="0"/>
    <d v="2024-09-13T00:00:00"/>
    <s v="MiPermit"/>
    <s v="MIPERMIT LTD"/>
    <s v="APPLE PAY"/>
    <n v="-5.6"/>
    <m/>
    <n v="-5.6"/>
    <n v="23965.77"/>
    <n v="-5.6"/>
    <n v="23965.77000000003"/>
    <n v="-2.91038304567337e-11"/>
    <s v="TRAVEL"/>
    <x v="3"/>
  </r>
  <r>
    <n v="81"/>
    <s v="SA24/25"/>
    <x v="0"/>
    <d v="2024-09-16T00:00:00"/>
    <s v="MiPermit"/>
    <s v="MIPERMIT LTD"/>
    <s v="APPLE PAY"/>
    <n v="-4.1"/>
    <m/>
    <n v="-4.1"/>
    <n v="23961.67"/>
    <n v="-4.1"/>
    <n v="23961.67000000003"/>
    <n v="-3.274180926382542e-11"/>
    <s v="TRAVEL"/>
    <x v="3"/>
  </r>
  <r>
    <n v="82"/>
    <s v="SA24/25"/>
    <x v="0"/>
    <d v="2024-09-16T00:00:00"/>
    <s v="MiPermit"/>
    <s v="MIPERMIT LTD"/>
    <s v="APPLE PAY"/>
    <n v="-5.1"/>
    <m/>
    <n v="-5.1"/>
    <n v="23956.57"/>
    <n v="-5.1"/>
    <n v="23956.57000000003"/>
    <n v="-3.274180926382542e-11"/>
    <s v="TRAVEL"/>
    <x v="3"/>
  </r>
  <r>
    <n v="83"/>
    <s v="SA24/25"/>
    <x v="0"/>
    <d v="2024-09-20T00:00:00"/>
    <s v="MiPermit"/>
    <s v="MIPERMIT LTD"/>
    <s v="APPLE PAY"/>
    <n v="-1.6"/>
    <m/>
    <n v="-1.6"/>
    <n v="23954.97"/>
    <n v="-1.6"/>
    <n v="23954.97000000003"/>
    <n v="-3.274180926382542e-11"/>
    <s v="TRAVEL"/>
    <x v="3"/>
  </r>
  <r>
    <n v="84"/>
    <s v="SA24/25"/>
    <x v="0"/>
    <d v="2024-09-24T00:00:00"/>
    <s v="LOOKING GOOD OPTICIANS LIMITED T AS"/>
    <s v="wadhurst"/>
    <s v="FASTER PAYMENT"/>
    <n v="200"/>
    <n v="200"/>
    <m/>
    <n v="24154.97"/>
    <n v="200"/>
    <n v="24154.97000000003"/>
    <n v="-3.274180926382542e-11"/>
    <s v="REVENUE"/>
    <x v="4"/>
  </r>
  <r>
    <n v="85"/>
    <s v="SA24/25"/>
    <x v="0"/>
    <d v="2024-09-28T00:00:00"/>
    <s v="Tmchartered Limited"/>
    <s v="Accounts MF"/>
    <s v="FASTER PAYMENT"/>
    <n v="-48"/>
    <m/>
    <n v="-48"/>
    <n v="24106.97"/>
    <n v="-48"/>
    <n v="24106.97000000003"/>
    <n v="-3.274180926382542e-11"/>
    <s v="PROFESSIONAL_SERVICES"/>
    <x v="1"/>
  </r>
  <r>
    <n v="86"/>
    <s v="SA24/25"/>
    <x v="0"/>
    <d v="2024-09-28T00:00:00"/>
    <s v="Hl"/>
    <s v="WWW.HL.CO.UK"/>
    <s v="ONLINE PAYMENT"/>
    <n v="-1500"/>
    <m/>
    <n v="-1500"/>
    <n v="22606.97"/>
    <n v="-1500"/>
    <n v="22606.97000000003"/>
    <n v="-3.274180926382542e-11"/>
    <s v="STAFF"/>
    <x v="8"/>
  </r>
  <r>
    <n v="87"/>
    <s v="SA24/25"/>
    <x v="0"/>
    <d v="2024-09-30T00:00:00"/>
    <s v="MiPermit"/>
    <s v="MIPERMIT LTD"/>
    <s v="APPLE PAY"/>
    <n v="-5.6"/>
    <m/>
    <n v="-5.6"/>
    <n v="22601.37"/>
    <n v="-5.6"/>
    <n v="22601.37000000004"/>
    <n v="-3.637978807091713e-11"/>
    <s v="TRAVEL"/>
    <x v="3"/>
  </r>
  <r>
    <n v="88"/>
    <s v="SA24/25"/>
    <x v="0"/>
    <d v="2024-10-01T00:00:00"/>
    <s v="The College Of Optometrists"/>
    <s v="DD003133"/>
    <s v="DIRECT DEBIT"/>
    <n v="-316"/>
    <m/>
    <n v="-316"/>
    <n v="22285.37"/>
    <n v="-316"/>
    <n v="22285.37000000004"/>
    <n v="-3.637978807091713e-11"/>
    <s v="PROFESSIONAL_SERVICES"/>
    <x v="7"/>
  </r>
  <r>
    <n v="89"/>
    <s v="SA24/25"/>
    <x v="0"/>
    <d v="2024-10-01T00:00:00"/>
    <s v="Association Of Optometrists"/>
    <n v="87201"/>
    <s v="DIRECT DEBIT"/>
    <n v="-72"/>
    <m/>
    <n v="-72"/>
    <n v="22213.37"/>
    <n v="-72"/>
    <n v="22213.37000000004"/>
    <n v="-3.637978807091713e-11"/>
    <s v="PROFESSIONAL_SERVICES"/>
    <x v="2"/>
  </r>
  <r>
    <n v="90"/>
    <s v="SA24/25"/>
    <x v="0"/>
    <d v="2024-10-01T00:00:00"/>
    <s v="Barclays Current"/>
    <s v="208813 93228126"/>
    <s v="FASTER PAYMENT"/>
    <n v="-1000"/>
    <m/>
    <n v="-1000"/>
    <n v="21213.37"/>
    <n v="-1000"/>
    <n v="21213.37000000004"/>
    <n v="-3.637978807091713e-11"/>
    <s v="DIRECTORS_WAGES"/>
    <x v="0"/>
  </r>
  <r>
    <n v="91"/>
    <s v="SA24/25"/>
    <x v="0"/>
    <d v="2024-10-08T00:00:00"/>
    <s v="MiPermit"/>
    <s v="MIPERMIT LTD"/>
    <s v="APPLE PAY"/>
    <n v="-2.1"/>
    <m/>
    <n v="-2.1"/>
    <n v="21211.27"/>
    <n v="-2.1"/>
    <n v="21211.27000000004"/>
    <n v="-3.637978807091713e-11"/>
    <s v="TRAVEL"/>
    <x v="3"/>
  </r>
  <r>
    <n v="92"/>
    <s v="SA24/25"/>
    <x v="0"/>
    <d v="2024-10-09T00:00:00"/>
    <s v="Specsavers"/>
    <s v="SPECSAVERS SEP COM"/>
    <s v="DIRECT CREDIT"/>
    <n v="3400"/>
    <n v="3400"/>
    <m/>
    <n v="24611.27"/>
    <n v="3400"/>
    <n v="24611.27000000004"/>
    <n v="-3.637978807091713e-11"/>
    <s v="REVENUE"/>
    <x v="4"/>
  </r>
  <r>
    <n v="93"/>
    <s v="SA24/25"/>
    <x v="0"/>
    <d v="2024-10-09T00:00:00"/>
    <s v="Barclays Current"/>
    <s v="Dividend"/>
    <s v="FASTER PAYMENT"/>
    <n v="-3000"/>
    <m/>
    <n v="-3000"/>
    <n v="21611.27"/>
    <n v="-3000"/>
    <n v="21611.27000000004"/>
    <n v="-3.637978807091713e-11"/>
    <s v="DIVIDENDS"/>
    <x v="5"/>
  </r>
  <r>
    <n v="94"/>
    <s v="SA24/25"/>
    <x v="0"/>
    <d v="2024-10-14T00:00:00"/>
    <s v="Specsavers"/>
    <s v="SPECSAVERS SEP COM"/>
    <s v="DIRECT CREDIT"/>
    <n v="1275"/>
    <n v="1275"/>
    <m/>
    <n v="22886.27"/>
    <n v="1275"/>
    <n v="22886.27000000004"/>
    <n v="-3.637978807091713e-11"/>
    <s v="REVENUE"/>
    <x v="4"/>
  </r>
  <r>
    <n v="95"/>
    <s v="SA24/25"/>
    <x v="0"/>
    <d v="2024-10-14T00:00:00"/>
    <s v="WILKINSON LTD   ZZ"/>
    <s v="WILK SEV"/>
    <s v="FASTER PAYMENT"/>
    <n v="900"/>
    <n v="900"/>
    <m/>
    <n v="23786.27"/>
    <n v="900"/>
    <n v="23786.27000000004"/>
    <n v="-3.637978807091713e-11"/>
    <s v="REVENUE"/>
    <x v="4"/>
  </r>
  <r>
    <n v="96"/>
    <s v="SA24/25"/>
    <x v="0"/>
    <d v="2024-10-15T00:00:00"/>
    <s v="The AA"/>
    <s v="AA MOTOR INSURANCE"/>
    <s v="ONLINE PAYMENT"/>
    <n v="-428.77"/>
    <m/>
    <n v="-428.77"/>
    <n v="23357.5"/>
    <n v="-428.77"/>
    <n v="23357.50000000004"/>
    <n v="-3.637978807091713e-11"/>
    <s v="VEHICLES"/>
    <x v="10"/>
  </r>
  <r>
    <n v="97"/>
    <s v="SA24/25"/>
    <x v="0"/>
    <d v="2024-10-16T00:00:00"/>
    <s v="Nando's"/>
    <s v="NANDOS.CO.UK"/>
    <s v="APPLE PAY"/>
    <n v="-16.2"/>
    <m/>
    <n v="-16.2"/>
    <n v="23341.3"/>
    <n v="-16.2"/>
    <n v="23341.30000000004"/>
    <n v="-3.637978807091713e-11"/>
    <s v="FOOD_AND_DRINK"/>
    <x v="6"/>
  </r>
  <r>
    <n v="98"/>
    <s v="SA24/25"/>
    <x v="0"/>
    <d v="2024-10-17T00:00:00"/>
    <s v="MiPermit"/>
    <s v="MIPERMIT LTD"/>
    <s v="APPLE PAY"/>
    <n v="-6.1"/>
    <m/>
    <n v="-6.1"/>
    <n v="23335.2"/>
    <n v="-6.1"/>
    <n v="23335.20000000004"/>
    <n v="-3.637978807091713e-11"/>
    <s v="TRAVEL"/>
    <x v="3"/>
  </r>
  <r>
    <n v="99"/>
    <s v="SA24/25"/>
    <x v="0"/>
    <d v="2024-10-28T00:00:00"/>
    <s v="Tmchartered Limited"/>
    <s v="Accounts MF"/>
    <s v="FASTER PAYMENT"/>
    <n v="-48"/>
    <m/>
    <n v="-48"/>
    <n v="23287.2"/>
    <n v="-48"/>
    <n v="23287.20000000004"/>
    <n v="-3.637978807091713e-11"/>
    <s v="PROFESSIONAL_SERVICES"/>
    <x v="1"/>
  </r>
  <r>
    <n v="100"/>
    <s v="SA24/25"/>
    <x v="0"/>
    <d v="2024-10-28T00:00:00"/>
    <s v="LOOKING GOOD OPTICIANS LIMITED T AS"/>
    <s v="wadhurst"/>
    <s v="FASTER PAYMENT"/>
    <n v="600"/>
    <n v="600"/>
    <m/>
    <n v="23887.2"/>
    <n v="600"/>
    <n v="23887.20000000004"/>
    <n v="-3.637978807091713e-11"/>
    <s v="REVENUE"/>
    <x v="4"/>
  </r>
  <r>
    <n v="101"/>
    <s v="SA24/25"/>
    <x v="0"/>
    <d v="2024-11-01T00:00:00"/>
    <s v="Barclays Current"/>
    <s v="208813 93228126"/>
    <s v="FASTER PAYMENT"/>
    <n v="-1000"/>
    <m/>
    <n v="-1000"/>
    <n v="22887.2"/>
    <n v="-1000"/>
    <n v="22887.20000000004"/>
    <n v="-3.637978807091713e-11"/>
    <s v="DIRECTORS_WAGES"/>
    <x v="0"/>
  </r>
  <r>
    <n v="102"/>
    <s v="SA24/25"/>
    <x v="0"/>
    <d v="2024-11-06T00:00:00"/>
    <s v="Specsavers"/>
    <s v="SPECSAVERS SEP COM"/>
    <s v="DIRECT CREDIT"/>
    <n v="5100"/>
    <n v="5100"/>
    <m/>
    <n v="27987.2"/>
    <n v="5100"/>
    <n v="27987.20000000004"/>
    <n v="-3.637978807091713e-11"/>
    <s v="REVENUE"/>
    <x v="4"/>
  </r>
  <r>
    <n v="103"/>
    <s v="SA24/25"/>
    <x v="0"/>
    <d v="2024-11-22T00:00:00"/>
    <s v="Specsavers"/>
    <s v="SPECSAVERS SEP COM"/>
    <s v="DIRECT CREDIT"/>
    <n v="1700"/>
    <n v="1700"/>
    <m/>
    <n v="29687.2"/>
    <n v="1700"/>
    <n v="29687.20000000004"/>
    <n v="-3.637978807091713e-11"/>
    <s v="REVENUE"/>
    <x v="4"/>
  </r>
  <r>
    <n v="104"/>
    <s v="SA24/25"/>
    <x v="0"/>
    <d v="2024-11-24T00:00:00"/>
    <s v="MiPermit"/>
    <s v="MIPERMIT LTD"/>
    <s v="APPLE PAY"/>
    <n v="-2.1"/>
    <m/>
    <n v="-2.1"/>
    <n v="29685.1"/>
    <n v="-2.1"/>
    <n v="29685.10000000004"/>
    <n v="-4.001776687800884e-11"/>
    <s v="TRAVEL"/>
    <x v="3"/>
  </r>
  <r>
    <n v="105"/>
    <s v="SA24/25"/>
    <x v="0"/>
    <d v="2024-11-26T00:00:00"/>
    <s v="LOOKING GOOD OPTICIANS LIMITED T AS"/>
    <s v="wadhurst"/>
    <s v="FASTER PAYMENT"/>
    <n v="600"/>
    <n v="600"/>
    <m/>
    <n v="30285.1"/>
    <n v="600"/>
    <n v="30285.10000000004"/>
    <n v="-4.001776687800884e-11"/>
    <s v="REVENUE"/>
    <x v="4"/>
  </r>
  <r>
    <n v="106"/>
    <s v="SA24/25"/>
    <x v="0"/>
    <d v="2024-11-26T00:00:00"/>
    <s v="Matthew Ferris"/>
    <s v="Dividend"/>
    <s v="FASTER PAYMENT"/>
    <n v="-1500"/>
    <m/>
    <n v="-1500"/>
    <n v="28785.1"/>
    <n v="-1500"/>
    <n v="28785.10000000004"/>
    <n v="-4.001776687800884e-11"/>
    <s v="DIVIDENDS"/>
    <x v="5"/>
  </r>
  <r>
    <n v="107"/>
    <s v="SA24/25"/>
    <x v="0"/>
    <d v="2024-11-27T00:00:00"/>
    <s v="Barclays Current"/>
    <s v="Dividend"/>
    <s v="FASTER PAYMENT"/>
    <n v="-1500"/>
    <m/>
    <n v="-1500"/>
    <n v="27285.1"/>
    <n v="-1500"/>
    <n v="27285.10000000004"/>
    <n v="-4.001776687800884e-11"/>
    <s v="DIVIDENDS"/>
    <x v="5"/>
  </r>
  <r>
    <n v="108"/>
    <s v="SA24/25"/>
    <x v="0"/>
    <d v="2024-11-28T00:00:00"/>
    <s v="Tmchartered Limited"/>
    <s v="Accounts MF"/>
    <s v="FASTER PAYMENT"/>
    <n v="-48"/>
    <m/>
    <n v="-48"/>
    <n v="27237.1"/>
    <n v="-48"/>
    <n v="27237.10000000004"/>
    <n v="-4.001776687800884e-11"/>
    <s v="PROFESSIONAL_SERVICES"/>
    <x v="1"/>
  </r>
  <r>
    <n v="109"/>
    <s v="SA24/25"/>
    <x v="0"/>
    <d v="2024-11-28T00:00:00"/>
    <s v="WILKINSON LTD   ZZ"/>
    <s v="WILK SEV"/>
    <s v="FASTER PAYMENT"/>
    <n v="900"/>
    <n v="900"/>
    <m/>
    <n v="28137.1"/>
    <n v="900"/>
    <n v="28137.10000000004"/>
    <n v="-4.001776687800884e-11"/>
    <s v="REVENUE"/>
    <x v="4"/>
  </r>
  <r>
    <n v="110"/>
    <s v="SA24/25"/>
    <x v="0"/>
    <d v="2024-12-01T00:00:00"/>
    <s v="Matthew Ferris"/>
    <s v="Salary"/>
    <s v="FASTER PAYMENT"/>
    <n v="-1000"/>
    <m/>
    <n v="-1000"/>
    <n v="27137.1"/>
    <n v="-1000"/>
    <n v="27137.10000000004"/>
    <n v="-4.001776687800884e-11"/>
    <s v="DIRECTORS_WAGES"/>
    <x v="0"/>
  </r>
  <r>
    <n v="111"/>
    <s v="SA24/25"/>
    <x v="0"/>
    <d v="2024-12-02T00:00:00"/>
    <s v="Premier Inn"/>
    <s v="Premier Inn"/>
    <s v="ONLINE PAYMENT"/>
    <n v="-59"/>
    <m/>
    <n v="-59"/>
    <n v="27078.1"/>
    <n v="-59"/>
    <n v="27078.10000000004"/>
    <n v="-4.001776687800884e-11"/>
    <s v="TRAVEL"/>
    <x v="3"/>
  </r>
  <r>
    <n v="112"/>
    <s v="SA24/25"/>
    <x v="0"/>
    <d v="2024-12-09T00:00:00"/>
    <s v="MiPermit"/>
    <s v="MIPERMIT LTD"/>
    <s v="APPLE PAY"/>
    <n v="-5.6"/>
    <m/>
    <n v="-5.6"/>
    <n v="27072.5"/>
    <n v="-5.6"/>
    <n v="27072.50000000004"/>
    <n v="-4.001776687800884e-11"/>
    <s v="TRAVEL"/>
    <x v="3"/>
  </r>
  <r>
    <n v="113"/>
    <s v="SA24/25"/>
    <x v="0"/>
    <d v="2024-12-11T00:00:00"/>
    <s v="Specsavers"/>
    <s v="SPECSAVERS SEP COM"/>
    <s v="DIRECT CREDIT"/>
    <n v="3825"/>
    <n v="3825"/>
    <m/>
    <n v="30897.5"/>
    <n v="3825"/>
    <n v="30897.50000000004"/>
    <n v="-4.001776687800884e-11"/>
    <s v="REVENUE"/>
    <x v="4"/>
  </r>
  <r>
    <n v="114"/>
    <s v="SA24/25"/>
    <x v="0"/>
    <d v="2024-12-12T00:00:00"/>
    <s v="WILKINSON LTD   ZZ"/>
    <s v="WILK SEV"/>
    <s v="FASTER PAYMENT"/>
    <n v="900"/>
    <n v="900"/>
    <m/>
    <n v="31797.5"/>
    <n v="900"/>
    <n v="31797.50000000004"/>
    <n v="-4.001776687800884e-11"/>
    <s v="REVENUE"/>
    <x v="4"/>
  </r>
  <r>
    <n v="115"/>
    <s v="SA24/25"/>
    <x v="0"/>
    <d v="2024-12-13T00:00:00"/>
    <s v="Specsavers"/>
    <s v="SPECSAVERS SEP COM"/>
    <s v="DIRECT CREDIT"/>
    <n v="1275"/>
    <n v="1275"/>
    <m/>
    <n v="33072.5"/>
    <n v="1275"/>
    <n v="33072.50000000004"/>
    <n v="0"/>
    <s v="REVENUE"/>
    <x v="4"/>
  </r>
  <r>
    <n v="116"/>
    <s v="SA24/25"/>
    <x v="0"/>
    <d v="2024-12-14T00:00:00"/>
    <s v="Sun Do"/>
    <s v="SUN DO"/>
    <s v="APPLE PAY"/>
    <n v="-57.4"/>
    <m/>
    <n v="-57.4"/>
    <n v="33015.1"/>
    <n v="-57.4"/>
    <n v="33015.10000000004"/>
    <n v="0"/>
    <s v="FOOD_AND_DRINK"/>
    <x v="11"/>
  </r>
  <r>
    <n v="117"/>
    <s v="SA24/25"/>
    <x v="0"/>
    <d v="2024-12-19T00:00:00"/>
    <s v="Companies House"/>
    <s v="COMPANIESHOUSE CHS - G"/>
    <s v="ONLINE PAYMENT"/>
    <n v="-34"/>
    <m/>
    <n v="-34"/>
    <n v="32981.1"/>
    <n v="-34"/>
    <n v="32981.10000000004"/>
    <n v="0"/>
    <s v="PROFESSIONAL_SERVICES"/>
    <x v="12"/>
  </r>
  <r>
    <n v="118"/>
    <s v="SA24/25"/>
    <x v="0"/>
    <d v="2024-12-19T00:00:00"/>
    <s v="LOOKING GOOD OPTICIANS LIMITED T AS"/>
    <s v="wadhurst"/>
    <s v="FASTER PAYMENT"/>
    <n v="600"/>
    <n v="600"/>
    <m/>
    <n v="33581.1"/>
    <n v="600"/>
    <n v="33581.10000000004"/>
    <n v="0"/>
    <s v="REVENUE"/>
    <x v="4"/>
  </r>
  <r>
    <n v="119"/>
    <s v="SA24/25"/>
    <x v="0"/>
    <d v="2024-12-20T00:00:00"/>
    <s v="MiPermit"/>
    <s v="MIPERMIT LTD"/>
    <s v="APPLE PAY"/>
    <n v="-1.1"/>
    <m/>
    <n v="-1.1"/>
    <n v="33580"/>
    <n v="-1.1"/>
    <n v="33580.00000000004"/>
    <n v="0"/>
    <s v="TRAVEL"/>
    <x v="3"/>
  </r>
  <r>
    <n v="120"/>
    <s v="SA24/25"/>
    <x v="0"/>
    <d v="2024-12-20T00:00:00"/>
    <s v="MiPermit"/>
    <s v="MIPERMIT LTD"/>
    <s v="APPLE PAY"/>
    <n v="-1.6"/>
    <m/>
    <n v="-1.6"/>
    <n v="33578.4"/>
    <n v="-1.6"/>
    <n v="33578.40000000005"/>
    <n v="0"/>
    <s v="TRAVEL"/>
    <x v="3"/>
  </r>
  <r>
    <n v="121"/>
    <s v="SA24/25"/>
    <x v="0"/>
    <d v="2024-12-22T00:00:00"/>
    <s v="Hl"/>
    <s v="WWW.HL.CO.UK"/>
    <s v="ONLINE PAYMENT"/>
    <n v="-1500"/>
    <m/>
    <n v="-1500"/>
    <n v="32078.4"/>
    <n v="-1500"/>
    <n v="32078.40000000005"/>
    <n v="-4.365574568510056e-11"/>
    <s v="STAFF"/>
    <x v="8"/>
  </r>
  <r>
    <n v="122"/>
    <s v="SA24/25"/>
    <x v="0"/>
    <d v="2024-12-24T00:00:00"/>
    <s v="eBay"/>
    <s v="eBay O*10-12496-14000"/>
    <s v="ONLINE PAYMENT"/>
    <n v="-17.2"/>
    <m/>
    <n v="-17.2"/>
    <n v="32061.2"/>
    <n v="-17.2"/>
    <n v="32061.20000000004"/>
    <n v="-4.365574568510056e-11"/>
    <s v="EQUIPMENT"/>
    <x v="13"/>
  </r>
  <r>
    <n v="123"/>
    <s v="SA24/25"/>
    <x v="0"/>
    <d v="2024-12-27T00:00:00"/>
    <s v="Disclosure &amp; Barring Service"/>
    <s v="DISCLOSURE &amp; BARRING"/>
    <s v="CARD PAYMENT"/>
    <n v="-16"/>
    <m/>
    <n v="-16"/>
    <n v="32045.2"/>
    <n v="-16"/>
    <n v="32045.20000000004"/>
    <n v="-4.365574568510056e-11"/>
    <s v="PROFESSIONAL_SERVICES"/>
    <x v="12"/>
  </r>
  <r>
    <n v="124"/>
    <s v="SA24/25"/>
    <x v="0"/>
    <d v="2024-12-28T00:00:00"/>
    <s v="Tmchartered Limited"/>
    <s v="Accounts MF"/>
    <s v="FASTER PAYMENT"/>
    <n v="-48"/>
    <m/>
    <n v="-48"/>
    <n v="31997.2"/>
    <n v="-48"/>
    <n v="31997.20000000004"/>
    <n v="-4.365574568510056e-11"/>
    <s v="PROFESSIONAL_SERVICES"/>
    <x v="1"/>
  </r>
  <r>
    <n v="125"/>
    <s v="SA24/25"/>
    <x v="0"/>
    <d v="2024-12-29T00:00:00"/>
    <s v="Matthew Ferris"/>
    <s v="Dividend"/>
    <s v="FASTER PAYMENT"/>
    <n v="-4000"/>
    <m/>
    <n v="-4000"/>
    <n v="27997.2"/>
    <n v="-4000"/>
    <n v="27997.20000000004"/>
    <n v="-4.365574568510056e-11"/>
    <s v="DIVIDENDS"/>
    <x v="5"/>
  </r>
  <r>
    <n v="126"/>
    <s v="SA24/25"/>
    <x v="0"/>
    <d v="2024-12-31T00:00:00"/>
    <s v="eBay"/>
    <s v="eBay O*10-12496-14000"/>
    <s v="ONLINE PAYMENT"/>
    <n v="5"/>
    <n v="5"/>
    <m/>
    <n v="28002.2"/>
    <n v="5"/>
    <n v="28002.20000000004"/>
    <n v="-4.365574568510056e-11"/>
    <s v="EQUIPMENT"/>
    <x v="13"/>
  </r>
  <r>
    <n v="127"/>
    <s v="SA24/25"/>
    <x v="0"/>
    <d v="2024-12-31T00:00:00"/>
    <s v="HMRC Shipley"/>
    <s v="1451222302A00113A"/>
    <s v="FASTER PAYMENT"/>
    <n v="-9231.15"/>
    <m/>
    <n v="-9231.15"/>
    <n v="18771.05"/>
    <n v="-9231.15"/>
    <n v="18771.05000000005"/>
    <n v="-4.729372449219227e-11"/>
    <s v="CORPORATION_TAX"/>
    <x v="14"/>
  </r>
  <r>
    <n v="128"/>
    <s v="SA24/25"/>
    <x v="0"/>
    <d v="2025-01-01T00:00:00"/>
    <s v="Matthew Ferris"/>
    <s v="Salary"/>
    <s v="FASTER PAYMENT"/>
    <n v="-1000"/>
    <m/>
    <n v="-1000"/>
    <n v="17771.05"/>
    <n v="-1000"/>
    <n v="17771.05000000005"/>
    <n v="-4.729372449219227e-11"/>
    <s v="DIRECTORS_WAGES"/>
    <x v="0"/>
  </r>
  <r>
    <n v="129"/>
    <s v="SA24/25"/>
    <x v="0"/>
    <d v="2025-01-02T00:00:00"/>
    <s v="Association Of Optometrists"/>
    <n v="87201"/>
    <s v="DIRECT DEBIT"/>
    <n v="-73"/>
    <m/>
    <n v="-73"/>
    <n v="17698.05"/>
    <n v="-73"/>
    <n v="17698.05000000005"/>
    <n v="-4.729372449219227e-11"/>
    <s v="PROFESSIONAL_SERVICES"/>
    <x v="2"/>
  </r>
  <r>
    <n v="130"/>
    <s v="SA24/25"/>
    <x v="0"/>
    <d v="2025-01-08T00:00:00"/>
    <s v="Specsavers"/>
    <s v="SPECSAVERS SEP COM"/>
    <s v="DIRECT CREDIT"/>
    <n v="4050"/>
    <n v="4050"/>
    <m/>
    <n v="21748.05"/>
    <n v="4050"/>
    <n v="21748.05000000005"/>
    <n v="-4.729372449219227e-11"/>
    <s v="REVENUE"/>
    <x v="4"/>
  </r>
  <r>
    <n v="131"/>
    <s v="SA24/25"/>
    <x v="0"/>
    <d v="2025-01-10T00:00:00"/>
    <s v="MiPermit"/>
    <s v="MIPERMIT LTD"/>
    <s v="APPLE PAY"/>
    <n v="-1.1"/>
    <m/>
    <n v="-1.1"/>
    <n v="21746.95"/>
    <n v="-1.1"/>
    <n v="21746.95000000005"/>
    <n v="-4.729372449219227e-11"/>
    <s v="TRAVEL"/>
    <x v="3"/>
  </r>
  <r>
    <n v="132"/>
    <s v="SA24/25"/>
    <x v="0"/>
    <d v="2025-01-12T00:00:00"/>
    <s v="DVLA"/>
    <s v="DVLA VEHICLE TAX"/>
    <s v="ONLINE PAYMENT"/>
    <n v="-20"/>
    <m/>
    <n v="-20"/>
    <n v="21726.95"/>
    <n v="-20"/>
    <n v="21726.95000000005"/>
    <n v="-4.729372449219227e-11"/>
    <s v="PROFESSIONAL_SERVICES"/>
    <x v="12"/>
  </r>
  <r>
    <n v="133"/>
    <s v="SA24/25"/>
    <x v="0"/>
    <d v="2025-01-13T00:00:00"/>
    <s v="WILKINSON LTD   ZZ"/>
    <s v="WILK SEV"/>
    <s v="FASTER PAYMENT"/>
    <n v="450"/>
    <n v="450"/>
    <m/>
    <n v="22176.95"/>
    <n v="450"/>
    <n v="22176.95000000005"/>
    <n v="-4.729372449219227e-11"/>
    <s v="REVENUE"/>
    <x v="4"/>
  </r>
  <r>
    <n v="134"/>
    <s v="SA24/25"/>
    <x v="0"/>
    <d v="2025-01-14T00:00:00"/>
    <s v="Uoh College Lane"/>
    <s v="UOH COLLEGE LANE"/>
    <s v="APPLE PAY"/>
    <n v="-3.25"/>
    <m/>
    <n v="-3.25"/>
    <n v="22173.7"/>
    <n v="-3.25"/>
    <n v="22173.70000000005"/>
    <n v="-4.729372449219227e-11"/>
    <s v="TRAVEL"/>
    <x v="3"/>
  </r>
  <r>
    <n v="135"/>
    <s v="SA24/25"/>
    <x v="0"/>
    <d v="2025-01-14T00:00:00"/>
    <s v="Uoh College Lane"/>
    <s v="UOH COLLEGE LANE"/>
    <s v="APPLE PAY"/>
    <n v="-2.55"/>
    <m/>
    <n v="-2.55"/>
    <n v="22171.15"/>
    <n v="-2.55"/>
    <n v="22171.15000000005"/>
    <n v="-4.729372449219227e-11"/>
    <s v="TRAVEL"/>
    <x v="3"/>
  </r>
  <r>
    <n v="136"/>
    <s v="SA24/25"/>
    <x v="0"/>
    <d v="2025-01-15T00:00:00"/>
    <s v="Specsavers"/>
    <s v="SPECSAVERS SEP COM"/>
    <s v="DIRECT CREDIT"/>
    <n v="850"/>
    <n v="850"/>
    <m/>
    <n v="23021.15"/>
    <n v="850"/>
    <n v="23021.15000000005"/>
    <n v="-4.729372449219227e-11"/>
    <s v="REVENUE"/>
    <x v="4"/>
  </r>
  <r>
    <n v="137"/>
    <s v="SA24/25"/>
    <x v="0"/>
    <d v="2025-01-17T00:00:00"/>
    <s v="MiPermit"/>
    <s v="MIPERMIT LTD"/>
    <s v="APPLE PAY"/>
    <n v="-1.1"/>
    <m/>
    <n v="-1.1"/>
    <n v="23020.05"/>
    <n v="-1.1"/>
    <n v="23020.05000000005"/>
    <n v="-5.093170329928398e-11"/>
    <s v="TRAVEL"/>
    <x v="3"/>
  </r>
  <r>
    <n v="138"/>
    <s v="SA24/25"/>
    <x v="0"/>
    <d v="2025-01-28T00:00:00"/>
    <s v="Tmchartered Limited"/>
    <s v="Accounts MF"/>
    <s v="FASTER PAYMENT"/>
    <n v="-48"/>
    <m/>
    <n v="-48"/>
    <n v="22972.05"/>
    <n v="-48"/>
    <n v="22972.05000000005"/>
    <n v="-5.093170329928398e-11"/>
    <s v="PROFESSIONAL_SERVICES"/>
    <x v="1"/>
  </r>
  <r>
    <n v="139"/>
    <s v="SA24/25"/>
    <x v="0"/>
    <d v="2025-01-28T00:00:00"/>
    <s v="LOOKING GOOD OPTICIANS LIMITED T AS"/>
    <s v="wadhurst"/>
    <s v="FASTER PAYMENT"/>
    <n v="1200"/>
    <n v="1200"/>
    <m/>
    <n v="24172.05"/>
    <n v="1200"/>
    <n v="24172.05000000005"/>
    <n v="-5.093170329928398e-11"/>
    <s v="REVENUE"/>
    <x v="4"/>
  </r>
  <r>
    <n v="140"/>
    <s v="SA24/25"/>
    <x v="0"/>
    <d v="2025-02-01T00:00:00"/>
    <s v="Matthew Ferris"/>
    <s v="Salary"/>
    <s v="FASTER PAYMENT"/>
    <n v="-1000"/>
    <m/>
    <n v="-1000"/>
    <n v="23172.05"/>
    <n v="-1000"/>
    <n v="23172.05000000005"/>
    <n v="-5.093170329928398e-11"/>
    <s v="DIRECTORS_WAGES"/>
    <x v="0"/>
  </r>
  <r>
    <n v="141"/>
    <s v="SA24/25"/>
    <x v="0"/>
    <d v="2025-02-01T00:00:00"/>
    <s v="Matthew Ferris"/>
    <s v="Dividend"/>
    <s v="FASTER PAYMENT"/>
    <n v="-4000"/>
    <m/>
    <n v="-4000"/>
    <n v="19172.05"/>
    <n v="-4000"/>
    <n v="19172.05000000005"/>
    <n v="-5.093170329928398e-11"/>
    <s v="DIVIDENDS Pension"/>
    <x v="5"/>
  </r>
  <r>
    <n v="142"/>
    <s v="SA24/25"/>
    <x v="0"/>
    <d v="2025-02-02T00:00:00"/>
    <s v="Hl"/>
    <s v="WWW.HL.CO.UK"/>
    <s v="ONLINE PAYMENT"/>
    <n v="-750"/>
    <m/>
    <n v="-750"/>
    <n v="18422.05"/>
    <n v="-750"/>
    <n v="18422.05000000005"/>
    <n v="-5.093170329928398e-11"/>
    <s v="STAFF"/>
    <x v="8"/>
  </r>
  <r>
    <n v="143"/>
    <s v="SA24/25"/>
    <x v="0"/>
    <d v="2025-02-03T00:00:00"/>
    <s v="Association Of Optometrists"/>
    <n v="87201"/>
    <s v="DIRECT DEBIT"/>
    <n v="-73"/>
    <m/>
    <n v="-73"/>
    <n v="18349.05"/>
    <n v="-73"/>
    <n v="18349.05000000005"/>
    <n v="-5.093170329928398e-11"/>
    <s v="PROFESSIONAL_SERVICES"/>
    <x v="2"/>
  </r>
  <r>
    <n v="144"/>
    <s v="SA24/25"/>
    <x v="0"/>
    <d v="2025-02-07T00:00:00"/>
    <s v="Specsavers"/>
    <s v="SPECSAVERS SEP COM"/>
    <s v="DIRECT CREDIT"/>
    <n v="3850"/>
    <n v="3850"/>
    <m/>
    <n v="22199.05"/>
    <n v="3850"/>
    <n v="22199.05000000005"/>
    <n v="-5.093170329928398e-11"/>
    <s v="REVENUE"/>
    <x v="4"/>
  </r>
  <r>
    <n v="145"/>
    <s v="SA24/25"/>
    <x v="0"/>
    <d v="2025-02-18T00:00:00"/>
    <s v="WILKINSON LTD   ZZ"/>
    <s v="WJW TON"/>
    <s v="FASTER PAYMENT"/>
    <n v="425"/>
    <n v="425"/>
    <m/>
    <n v="22624.05"/>
    <n v="425"/>
    <n v="22624.05000000005"/>
    <n v="-5.093170329928398e-11"/>
    <s v="REVENUE"/>
    <x v="4"/>
  </r>
  <r>
    <n v="146"/>
    <s v="SA24/25"/>
    <x v="0"/>
    <d v="2025-02-24T00:00:00"/>
    <s v="LOOKING GOOD OPTICIANS LIMITED T AS"/>
    <s v="wadhurst"/>
    <s v="FASTER PAYMENT"/>
    <n v="1400"/>
    <n v="1400"/>
    <m/>
    <n v="24024.05"/>
    <n v="1400"/>
    <n v="24024.05000000005"/>
    <n v="-5.093170329928398e-11"/>
    <s v="REVENUE"/>
    <x v="4"/>
  </r>
  <r>
    <n v="147"/>
    <s v="SA24/25"/>
    <x v="0"/>
    <d v="2025-02-28T00:00:00"/>
    <s v="Tmchartered Limited"/>
    <s v="Accounts MF"/>
    <s v="FASTER PAYMENT"/>
    <n v="-48"/>
    <m/>
    <n v="-48"/>
    <n v="23976.05"/>
    <n v="-48"/>
    <n v="23976.05000000005"/>
    <n v="-5.093170329928398e-11"/>
    <s v="PROFESSIONAL_SERVICES"/>
    <x v="1"/>
  </r>
  <r>
    <n v="148"/>
    <s v="SA24/25"/>
    <x v="0"/>
    <d v="2025-02-28T00:00:00"/>
    <s v="WILKINSON LTD   ZZ"/>
    <s v="WILK SEV"/>
    <s v="FASTER PAYMENT"/>
    <n v="1275"/>
    <n v="1275"/>
    <m/>
    <n v="25251.05"/>
    <n v="1275"/>
    <n v="25251.05000000005"/>
    <n v="-5.093170329928398e-11"/>
    <s v="REVENUE"/>
    <x v="4"/>
  </r>
  <r>
    <n v="149"/>
    <s v="SA24/25"/>
    <x v="0"/>
    <d v="2025-03-01T00:00:00"/>
    <s v="Matthew Ferris"/>
    <s v="Salary"/>
    <s v="FASTER PAYMENT"/>
    <n v="-1000"/>
    <m/>
    <n v="-1000"/>
    <n v="24251.05"/>
    <n v="-1000"/>
    <n v="24251.05000000005"/>
    <n v="-5.093170329928398e-11"/>
    <s v="DIRECTORS_WAGES"/>
    <x v="0"/>
  </r>
  <r>
    <n v="150"/>
    <s v="SA24/25"/>
    <x v="0"/>
    <d v="2025-03-02T00:00:00"/>
    <s v="Matthew Ferris"/>
    <s v="Dividend"/>
    <s v="FASTER PAYMENT"/>
    <n v="-3370"/>
    <m/>
    <n v="-3370"/>
    <n v="20881.05"/>
    <n v="-3370"/>
    <n v="20881.05000000005"/>
    <n v="-5.093170329928398e-11"/>
    <s v="DIRECTORS_WAGES"/>
    <x v="5"/>
  </r>
  <r>
    <n v="151"/>
    <s v="SA24/25"/>
    <x v="0"/>
    <d v="2025-03-03T00:00:00"/>
    <s v="Association Of Optometrists"/>
    <n v="87201"/>
    <s v="DIRECT DEBIT"/>
    <n v="-73"/>
    <m/>
    <n v="-73"/>
    <n v="20808.05"/>
    <n v="-73"/>
    <n v="20808.05000000005"/>
    <n v="-5.093170329928398e-11"/>
    <s v="PROFESSIONAL_SERVICES"/>
    <x v="2"/>
  </r>
  <r>
    <n v="152"/>
    <s v="SA24/25"/>
    <x v="0"/>
    <d v="2025-03-03T00:00:00"/>
    <s v="Hl"/>
    <s v="WWW.HL.CO.UK"/>
    <s v="ONLINE PAYMENT"/>
    <n v="-1250"/>
    <m/>
    <n v="-1250"/>
    <n v="19558.05"/>
    <n v="-1250"/>
    <n v="19558.05000000005"/>
    <n v="-5.093170329928398e-11"/>
    <s v="STAFF"/>
    <x v="8"/>
  </r>
  <r>
    <n v="153"/>
    <s v="SA24/25"/>
    <x v="0"/>
    <d v="2025-03-05T00:00:00"/>
    <s v="Specsavers"/>
    <s v="SPECSAVERS SEP COM"/>
    <s v="DIRECT CREDIT"/>
    <n v="2975"/>
    <n v="2975"/>
    <m/>
    <n v="22533.05"/>
    <n v="2975"/>
    <n v="22533.05000000005"/>
    <n v="-5.093170329928398e-11"/>
    <s v="REVENUE"/>
    <x v="4"/>
  </r>
  <r>
    <n v="154"/>
    <s v="SA24/25"/>
    <x v="0"/>
    <d v="2025-03-07T00:00:00"/>
    <s v="Specsavers"/>
    <s v="SPECSAVERS SEP COM"/>
    <s v="DIRECT CREDIT"/>
    <n v="850"/>
    <n v="850"/>
    <m/>
    <n v="23383.05"/>
    <n v="850"/>
    <n v="23383.05000000005"/>
    <n v="-5.093170329928398e-11"/>
    <s v="REVENUE"/>
    <x v="4"/>
  </r>
  <r>
    <n v="155"/>
    <s v="SA24/25"/>
    <x v="0"/>
    <d v="2025-03-08T00:00:00"/>
    <s v="Optical"/>
    <s v="WWW.OPTICAL.ORG       "/>
    <s v="ONLINE PAYMENT"/>
    <n v="-415"/>
    <m/>
    <n v="-415"/>
    <n v="22968.05"/>
    <n v="-415"/>
    <n v="22968.05000000005"/>
    <n v="-5.093170329928398e-11"/>
    <s v="PROFESSIONAL_SERVICES"/>
    <x v="15"/>
  </r>
  <r>
    <n v="156"/>
    <s v="SA24/25"/>
    <x v="0"/>
    <d v="2025-03-11T00:00:00"/>
    <s v="WILKINSON LTD   ZZ"/>
    <s v="WILK SEV"/>
    <s v="FASTER PAYMENT"/>
    <n v="1925"/>
    <n v="1925"/>
    <m/>
    <n v="24893.05"/>
    <n v="1925"/>
    <n v="24893.05000000005"/>
    <n v="-5.093170329928398e-11"/>
    <s v="REVENUE"/>
    <x v="4"/>
  </r>
  <r>
    <n v="157"/>
    <s v="SA24/25"/>
    <x v="0"/>
    <d v="2025-03-12T00:00:00"/>
    <s v="RingGo"/>
    <s v="RINGGO PARKING"/>
    <s v="APPLE PAY"/>
    <n v="-5"/>
    <m/>
    <n v="-5"/>
    <n v="24888.05"/>
    <n v="-5"/>
    <n v="24888.05000000005"/>
    <n v="-5.093170329928398e-11"/>
    <s v="TRAVEL"/>
    <x v="3"/>
  </r>
  <r>
    <n v="158"/>
    <s v="SA24/25"/>
    <x v="0"/>
    <d v="2025-03-26T00:00:00"/>
    <s v="LOOKING GOOD OPTICIANS LIMITED T AS"/>
    <s v="wadhurst"/>
    <s v="FASTER PAYMENT"/>
    <n v="600"/>
    <n v="600"/>
    <m/>
    <n v="25488.05"/>
    <n v="600"/>
    <n v="25488.05000000005"/>
    <n v="-5.093170329928398e-11"/>
    <s v="REVENUE"/>
    <x v="4"/>
  </r>
  <r>
    <n v="159"/>
    <s v="SA24/25"/>
    <x v="0"/>
    <d v="2025-03-28T00:00:00"/>
    <s v="Tmchartered Limited"/>
    <s v="Accounts MF"/>
    <s v="FASTER PAYMENT"/>
    <n v="-48"/>
    <m/>
    <n v="-48"/>
    <n v="25440.05"/>
    <n v="-48"/>
    <n v="25440.05000000005"/>
    <n v="-5.093170329928398e-11"/>
    <s v="PROFESSIONAL_SERVICE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91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B21" firstHeaderRow="1" firstDataRow="2" firstDataCol="1"/>
  <pivotFields count="16">
    <pivotField showAll="0"/>
    <pivotField showAll="0"/>
    <pivotField axis="axisCol" showAll="0">
      <items count="2"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43" showAll="0"/>
    <pivotField showAll="0"/>
    <pivotField axis="axisRow" showAll="0">
      <items count="24">
        <item x="1"/>
        <item x="2"/>
        <item m="1" x="20"/>
        <item x="7"/>
        <item x="0"/>
        <item x="5"/>
        <item m="1" x="16"/>
        <item m="1" x="17"/>
        <item x="15"/>
        <item x="14"/>
        <item x="4"/>
        <item x="6"/>
        <item m="1" x="18"/>
        <item x="12"/>
        <item m="1" x="19"/>
        <item m="1" x="22"/>
        <item x="3"/>
        <item m="1" x="21"/>
        <item x="8"/>
        <item x="9"/>
        <item x="10"/>
        <item x="11"/>
        <item x="13"/>
        <item t="default"/>
      </items>
    </pivotField>
  </pivotFields>
  <rowFields count="1">
    <field x="15"/>
  </rowFields>
  <rowItems count="17">
    <i>
      <x/>
    </i>
    <i>
      <x v="1"/>
    </i>
    <i>
      <x v="3"/>
    </i>
    <i>
      <x v="4"/>
    </i>
    <i>
      <x v="5"/>
    </i>
    <i>
      <x v="8"/>
    </i>
    <i>
      <x v="9"/>
    </i>
    <i>
      <x v="10"/>
    </i>
    <i>
      <x v="11"/>
    </i>
    <i>
      <x v="13"/>
    </i>
    <i>
      <x v="16"/>
    </i>
    <i>
      <x v="18"/>
    </i>
    <i>
      <x v="19"/>
    </i>
    <i>
      <x v="20"/>
    </i>
    <i>
      <x v="21"/>
    </i>
    <i>
      <x v="22"/>
    </i>
    <i t="grand">
      <x/>
    </i>
  </rowItems>
  <colFields count="1">
    <field x="2"/>
  </colFields>
  <colItems count="1">
    <i>
      <x/>
    </i>
  </colItems>
  <dataFields count="1">
    <dataField name="Sum of Net" fld="1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7"/>
  <sheetViews>
    <sheetView tabSelected="1" topLeftCell="A147" zoomScale="115" zoomScaleNormal="115" workbookViewId="0">
      <selection activeCell="G166" sqref="G166"/>
    </sheetView>
  </sheetViews>
  <sheetFormatPr defaultRowHeight="15" x14ac:dyDescent="0.25"/>
  <cols>
    <col min="4" max="4" width="21.5703125" customWidth="1"/>
    <col min="5" max="5" width="25" customWidth="1"/>
    <col min="6" max="6" width="29.85546875" customWidth="1"/>
    <col min="7" max="7" width="19.28515625" customWidth="1"/>
    <col min="8" max="8" width="17.28515625" customWidth="1"/>
    <col min="11" max="11" width="10.85546875" customWidth="1"/>
    <col min="12" max="12" width="10.7109375" customWidth="1"/>
    <col min="13" max="13" width="15.140625" customWidth="1"/>
    <col min="14" max="14" width="14.5703125" customWidth="1"/>
    <col min="15" max="15" width="21.7109375" customWidth="1"/>
    <col min="16" max="16" width="16.28515625" customWidth="1"/>
    <col min="17" max="17" width="15.7109375" bestFit="1" customWidth="1"/>
    <col min="19" max="19" width="10.28515625" bestFit="1" customWidth="1"/>
  </cols>
  <sheetData>
    <row r="1" spans="1:19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/>
      <c r="R1" s="2"/>
      <c r="S1" s="2"/>
    </row>
    <row r="2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>
        <v>13312.51</v>
      </c>
      <c r="L2" s="2"/>
      <c r="N2" s="2"/>
      <c r="O2" s="2"/>
      <c r="P2" s="2"/>
      <c r="Q2" s="2"/>
      <c r="R2" s="2"/>
      <c r="S2" s="2"/>
    </row>
    <row r="3" spans="1:19" x14ac:dyDescent="0.25">
      <c r="A3">
        <v>1</v>
      </c>
      <c r="B3" t="s">
        <v>51</v>
      </c>
      <c r="C3" t="s">
        <v>4</v>
      </c>
      <c r="D3" s="1">
        <v>45384</v>
      </c>
      <c r="E3" t="s">
        <v>52</v>
      </c>
      <c r="F3" t="s">
        <v>53</v>
      </c>
      <c r="G3" t="s">
        <v>54</v>
      </c>
      <c r="H3">
        <v>-700</v>
      </c>
      <c r="J3">
        <f>IF(H3&lt;0,H3,"")</f>
        <v>-700</v>
      </c>
      <c r="K3">
        <v>12612.51</v>
      </c>
      <c r="L3">
        <f t="shared" ref="L3:L34" si="0">I3+J3</f>
        <v>-700</v>
      </c>
      <c r="M3">
        <f t="shared" ref="M3:M34" si="1">K2+L3</f>
        <v>12612.51</v>
      </c>
      <c r="N3" s="3">
        <f t="shared" ref="N3:N66" si="2">K3-M3</f>
        <v>0</v>
      </c>
      <c r="O3" t="s">
        <v>55</v>
      </c>
      <c r="P3" t="s">
        <v>14</v>
      </c>
    </row>
    <row r="4" spans="1:19" x14ac:dyDescent="0.25">
      <c r="A4">
        <v>2</v>
      </c>
      <c r="B4" t="s">
        <v>51</v>
      </c>
      <c r="C4" t="s">
        <v>4</v>
      </c>
      <c r="D4" s="1">
        <v>45384</v>
      </c>
      <c r="E4" t="s">
        <v>56</v>
      </c>
      <c r="F4" t="s">
        <v>57</v>
      </c>
      <c r="G4" t="s">
        <v>54</v>
      </c>
      <c r="H4">
        <v>-40</v>
      </c>
      <c r="J4">
        <f>IF(H4&lt;0,H4,"")</f>
        <v>-40</v>
      </c>
      <c r="K4">
        <v>12572.51</v>
      </c>
      <c r="L4">
        <f t="shared" si="0"/>
        <v>-40</v>
      </c>
      <c r="M4">
        <f t="shared" si="1"/>
        <v>12572.51</v>
      </c>
      <c r="N4" s="3">
        <f t="shared" si="2"/>
        <v>0</v>
      </c>
      <c r="O4" t="s">
        <v>58</v>
      </c>
      <c r="P4" t="s">
        <v>7</v>
      </c>
      <c r="S4" s="4"/>
    </row>
    <row r="5" spans="1:19" x14ac:dyDescent="0.25">
      <c r="A5">
        <v>3</v>
      </c>
      <c r="B5" t="s">
        <v>51</v>
      </c>
      <c r="C5" t="s">
        <v>4</v>
      </c>
      <c r="D5" s="1">
        <v>45385</v>
      </c>
      <c r="E5" t="s">
        <v>59</v>
      </c>
      <c r="F5">
        <v>87201</v>
      </c>
      <c r="G5" t="s">
        <v>60</v>
      </c>
      <c r="H5">
        <v>-72</v>
      </c>
      <c r="J5">
        <f>IF(H5&lt;0,H5,"")</f>
        <v>-72</v>
      </c>
      <c r="K5">
        <v>12500.51</v>
      </c>
      <c r="L5">
        <f t="shared" si="0"/>
        <v>-72</v>
      </c>
      <c r="M5">
        <f t="shared" si="1"/>
        <v>12500.51</v>
      </c>
      <c r="N5" s="3">
        <f t="shared" si="2"/>
        <v>0</v>
      </c>
      <c r="O5" t="s">
        <v>61</v>
      </c>
      <c r="P5" t="s">
        <v>5</v>
      </c>
    </row>
    <row r="6" spans="1:19" x14ac:dyDescent="0.25">
      <c r="A6">
        <v>4</v>
      </c>
      <c r="B6" t="s">
        <v>51</v>
      </c>
      <c r="C6" t="s">
        <v>4</v>
      </c>
      <c r="D6" s="1">
        <v>45386</v>
      </c>
      <c r="E6" t="s">
        <v>62</v>
      </c>
      <c r="F6" t="s">
        <v>63</v>
      </c>
      <c r="G6" t="s">
        <v>64</v>
      </c>
      <c r="H6">
        <v>-6.9</v>
      </c>
      <c r="J6">
        <f>IF(H6&lt;0,H6,"")</f>
        <v>-6.9</v>
      </c>
      <c r="K6">
        <v>12493.61</v>
      </c>
      <c r="L6">
        <f t="shared" si="0"/>
        <v>-6.9</v>
      </c>
      <c r="M6">
        <f t="shared" si="1"/>
        <v>12493.61</v>
      </c>
      <c r="N6" s="3">
        <f t="shared" si="2"/>
        <v>0</v>
      </c>
      <c r="O6" t="s">
        <v>65</v>
      </c>
      <c r="P6" t="s">
        <v>32</v>
      </c>
    </row>
    <row r="7" spans="1:19" x14ac:dyDescent="0.25">
      <c r="A7">
        <v>5</v>
      </c>
      <c r="B7" t="s">
        <v>51</v>
      </c>
      <c r="C7" t="s">
        <v>4</v>
      </c>
      <c r="D7" s="1">
        <v>45387</v>
      </c>
      <c r="E7" t="s">
        <v>66</v>
      </c>
      <c r="F7" t="s">
        <v>67</v>
      </c>
      <c r="G7" t="s">
        <v>68</v>
      </c>
      <c r="H7">
        <v>850</v>
      </c>
      <c r="I7">
        <f>IF(H7&gt;0,H7,"")</f>
        <v>850</v>
      </c>
      <c r="K7">
        <v>13343.61</v>
      </c>
      <c r="L7">
        <f t="shared" si="0"/>
        <v>850</v>
      </c>
      <c r="M7">
        <f t="shared" si="1"/>
        <v>13343.61</v>
      </c>
      <c r="N7" s="3">
        <f t="shared" si="2"/>
        <v>0</v>
      </c>
      <c r="O7" t="s">
        <v>69</v>
      </c>
      <c r="P7" t="s">
        <v>21</v>
      </c>
      <c r="S7" s="4"/>
    </row>
    <row r="8" spans="1:19" x14ac:dyDescent="0.25">
      <c r="A8">
        <v>6</v>
      </c>
      <c r="B8" t="s">
        <v>51</v>
      </c>
      <c r="C8" t="s">
        <v>4</v>
      </c>
      <c r="D8" s="1">
        <v>45390</v>
      </c>
      <c r="E8" t="s">
        <v>52</v>
      </c>
      <c r="F8" t="s">
        <v>70</v>
      </c>
      <c r="G8" t="s">
        <v>54</v>
      </c>
      <c r="H8">
        <v>-3500</v>
      </c>
      <c r="J8">
        <f>IF(H8&lt;0,H8,"")</f>
        <v>-3500</v>
      </c>
      <c r="K8">
        <v>9843.61</v>
      </c>
      <c r="L8">
        <f t="shared" si="0"/>
        <v>-3500</v>
      </c>
      <c r="M8">
        <f t="shared" si="1"/>
        <v>9843.61</v>
      </c>
      <c r="N8" s="3">
        <f t="shared" si="2"/>
        <v>0</v>
      </c>
      <c r="O8" t="s">
        <v>71</v>
      </c>
      <c r="P8" t="s">
        <v>15</v>
      </c>
      <c r="S8" s="4"/>
    </row>
    <row r="9" spans="1:19" x14ac:dyDescent="0.25">
      <c r="A9">
        <v>7</v>
      </c>
      <c r="B9" t="s">
        <v>51</v>
      </c>
      <c r="C9" t="s">
        <v>4</v>
      </c>
      <c r="D9" s="1">
        <v>45392</v>
      </c>
      <c r="E9" t="s">
        <v>66</v>
      </c>
      <c r="F9" t="s">
        <v>67</v>
      </c>
      <c r="G9" t="s">
        <v>68</v>
      </c>
      <c r="H9">
        <v>2825</v>
      </c>
      <c r="I9">
        <f>IF(H9&gt;0,H9,"")</f>
        <v>2825</v>
      </c>
      <c r="K9">
        <v>12668.61</v>
      </c>
      <c r="L9">
        <f t="shared" si="0"/>
        <v>2825</v>
      </c>
      <c r="M9">
        <f t="shared" si="1"/>
        <v>12668.61</v>
      </c>
      <c r="N9" s="3">
        <f t="shared" si="2"/>
        <v>0</v>
      </c>
      <c r="O9" t="s">
        <v>69</v>
      </c>
      <c r="P9" t="s">
        <v>21</v>
      </c>
    </row>
    <row r="10" spans="1:19" x14ac:dyDescent="0.25">
      <c r="A10">
        <v>8</v>
      </c>
      <c r="B10" t="s">
        <v>51</v>
      </c>
      <c r="C10" t="s">
        <v>4</v>
      </c>
      <c r="D10" s="1">
        <v>45394</v>
      </c>
      <c r="E10" t="s">
        <v>72</v>
      </c>
      <c r="F10" t="s">
        <v>72</v>
      </c>
      <c r="G10" t="s">
        <v>64</v>
      </c>
      <c r="H10">
        <v>-11.15</v>
      </c>
      <c r="J10">
        <f>IF(H10&lt;0,H10,"")</f>
        <v>-11.15</v>
      </c>
      <c r="K10">
        <v>12657.46</v>
      </c>
      <c r="L10">
        <f t="shared" si="0"/>
        <v>-11.15</v>
      </c>
      <c r="M10">
        <f t="shared" si="1"/>
        <v>12657.460000000001</v>
      </c>
      <c r="N10" s="3">
        <f t="shared" si="2"/>
        <v>0</v>
      </c>
      <c r="O10" t="s">
        <v>73</v>
      </c>
      <c r="P10" t="s">
        <v>22</v>
      </c>
    </row>
    <row r="11" spans="1:19" x14ac:dyDescent="0.25">
      <c r="A11">
        <v>9</v>
      </c>
      <c r="B11" t="s">
        <v>51</v>
      </c>
      <c r="C11" t="s">
        <v>4</v>
      </c>
      <c r="D11" s="1">
        <v>45399</v>
      </c>
      <c r="E11" t="s">
        <v>66</v>
      </c>
      <c r="F11" t="s">
        <v>67</v>
      </c>
      <c r="G11" t="s">
        <v>68</v>
      </c>
      <c r="H11">
        <v>2550</v>
      </c>
      <c r="I11">
        <f>IF(H11&gt;0,H11,"")</f>
        <v>2550</v>
      </c>
      <c r="K11">
        <v>15207.46</v>
      </c>
      <c r="L11">
        <f t="shared" si="0"/>
        <v>2550</v>
      </c>
      <c r="M11">
        <f t="shared" si="1"/>
        <v>15207.46</v>
      </c>
      <c r="N11" s="3">
        <f t="shared" si="2"/>
        <v>0</v>
      </c>
      <c r="O11" t="s">
        <v>69</v>
      </c>
      <c r="P11" t="s">
        <v>21</v>
      </c>
    </row>
    <row r="12" spans="1:19" x14ac:dyDescent="0.25">
      <c r="A12">
        <v>10</v>
      </c>
      <c r="B12" t="s">
        <v>51</v>
      </c>
      <c r="C12" t="s">
        <v>4</v>
      </c>
      <c r="D12" s="1">
        <v>45406</v>
      </c>
      <c r="E12" t="s">
        <v>66</v>
      </c>
      <c r="F12" t="s">
        <v>67</v>
      </c>
      <c r="G12" t="s">
        <v>68</v>
      </c>
      <c r="H12">
        <v>425</v>
      </c>
      <c r="I12">
        <f>IF(H12&gt;0,H12,"")</f>
        <v>425</v>
      </c>
      <c r="K12">
        <v>15632.46</v>
      </c>
      <c r="L12">
        <f t="shared" si="0"/>
        <v>425</v>
      </c>
      <c r="M12">
        <f t="shared" si="1"/>
        <v>15632.46</v>
      </c>
      <c r="N12" s="3">
        <f t="shared" si="2"/>
        <v>0</v>
      </c>
      <c r="O12" t="s">
        <v>69</v>
      </c>
      <c r="P12" t="s">
        <v>21</v>
      </c>
    </row>
    <row r="13" spans="1:19" x14ac:dyDescent="0.25">
      <c r="A13">
        <v>11</v>
      </c>
      <c r="B13" t="s">
        <v>51</v>
      </c>
      <c r="C13" t="s">
        <v>4</v>
      </c>
      <c r="D13" s="1">
        <v>45407</v>
      </c>
      <c r="E13" t="s">
        <v>74</v>
      </c>
      <c r="F13" t="s">
        <v>75</v>
      </c>
      <c r="G13" t="s">
        <v>64</v>
      </c>
      <c r="H13">
        <v>-13.8</v>
      </c>
      <c r="J13">
        <f>IF(H13&lt;0,H13,"")</f>
        <v>-13.8</v>
      </c>
      <c r="K13">
        <v>15618.66</v>
      </c>
      <c r="L13">
        <f t="shared" si="0"/>
        <v>-13.8</v>
      </c>
      <c r="M13">
        <f t="shared" si="1"/>
        <v>15618.66</v>
      </c>
      <c r="N13" s="3">
        <f t="shared" si="2"/>
        <v>0</v>
      </c>
      <c r="O13" t="s">
        <v>73</v>
      </c>
      <c r="P13" t="s">
        <v>22</v>
      </c>
    </row>
    <row r="14" spans="1:19" x14ac:dyDescent="0.25">
      <c r="A14">
        <v>12</v>
      </c>
      <c r="B14" t="s">
        <v>51</v>
      </c>
      <c r="C14" t="s">
        <v>4</v>
      </c>
      <c r="D14" s="1">
        <v>45407</v>
      </c>
      <c r="E14" t="s">
        <v>74</v>
      </c>
      <c r="F14" t="s">
        <v>75</v>
      </c>
      <c r="G14" t="s">
        <v>64</v>
      </c>
      <c r="H14">
        <v>-6.9</v>
      </c>
      <c r="J14">
        <f>IF(H14&lt;0,H14,"")</f>
        <v>-6.9</v>
      </c>
      <c r="K14">
        <v>15611.76</v>
      </c>
      <c r="L14">
        <f t="shared" si="0"/>
        <v>-6.9</v>
      </c>
      <c r="M14">
        <f t="shared" si="1"/>
        <v>15611.76</v>
      </c>
      <c r="N14" s="3">
        <f t="shared" si="2"/>
        <v>0</v>
      </c>
      <c r="O14" t="s">
        <v>73</v>
      </c>
      <c r="P14" t="s">
        <v>22</v>
      </c>
    </row>
    <row r="15" spans="1:19" x14ac:dyDescent="0.25">
      <c r="A15">
        <v>13</v>
      </c>
      <c r="B15" t="s">
        <v>51</v>
      </c>
      <c r="C15" t="s">
        <v>4</v>
      </c>
      <c r="D15" s="1">
        <v>45407</v>
      </c>
      <c r="E15" t="s">
        <v>76</v>
      </c>
      <c r="F15" t="s">
        <v>77</v>
      </c>
      <c r="G15" t="s">
        <v>64</v>
      </c>
      <c r="H15">
        <v>-8.4</v>
      </c>
      <c r="J15">
        <f>IF(H15&lt;0,H15,"")</f>
        <v>-8.4</v>
      </c>
      <c r="K15">
        <v>15603.36</v>
      </c>
      <c r="L15">
        <f t="shared" si="0"/>
        <v>-8.4</v>
      </c>
      <c r="M15">
        <f t="shared" si="1"/>
        <v>15603.36</v>
      </c>
      <c r="N15" s="3">
        <f t="shared" si="2"/>
        <v>0</v>
      </c>
      <c r="O15" t="s">
        <v>65</v>
      </c>
      <c r="P15" t="s">
        <v>32</v>
      </c>
    </row>
    <row r="16" spans="1:19" x14ac:dyDescent="0.25">
      <c r="A16">
        <v>14</v>
      </c>
      <c r="B16" t="s">
        <v>51</v>
      </c>
      <c r="C16" t="s">
        <v>4</v>
      </c>
      <c r="D16" s="1">
        <v>45408</v>
      </c>
      <c r="E16" t="s">
        <v>78</v>
      </c>
      <c r="F16" t="s">
        <v>79</v>
      </c>
      <c r="G16" t="s">
        <v>64</v>
      </c>
      <c r="H16">
        <v>-1.7</v>
      </c>
      <c r="J16">
        <f>IF(H16&lt;0,H16,"")</f>
        <v>-1.7</v>
      </c>
      <c r="K16">
        <v>15601.66</v>
      </c>
      <c r="L16">
        <f t="shared" si="0"/>
        <v>-1.7</v>
      </c>
      <c r="M16">
        <f t="shared" si="1"/>
        <v>15601.66</v>
      </c>
      <c r="N16" s="3">
        <f t="shared" si="2"/>
        <v>0</v>
      </c>
      <c r="O16" t="s">
        <v>65</v>
      </c>
      <c r="P16" t="s">
        <v>32</v>
      </c>
    </row>
    <row r="17" spans="1:16" x14ac:dyDescent="0.25">
      <c r="A17">
        <v>15</v>
      </c>
      <c r="B17" t="s">
        <v>51</v>
      </c>
      <c r="C17" t="s">
        <v>4</v>
      </c>
      <c r="D17" s="1">
        <v>45409</v>
      </c>
      <c r="E17" t="s">
        <v>80</v>
      </c>
      <c r="F17" t="s">
        <v>81</v>
      </c>
      <c r="G17" t="s">
        <v>54</v>
      </c>
      <c r="H17">
        <v>700</v>
      </c>
      <c r="I17">
        <f>IF(H17&gt;0,H17,"")</f>
        <v>700</v>
      </c>
      <c r="K17">
        <v>16301.66</v>
      </c>
      <c r="L17">
        <f t="shared" si="0"/>
        <v>700</v>
      </c>
      <c r="M17">
        <f t="shared" si="1"/>
        <v>16301.66</v>
      </c>
      <c r="N17" s="3">
        <f t="shared" si="2"/>
        <v>0</v>
      </c>
      <c r="O17" t="s">
        <v>69</v>
      </c>
      <c r="P17" t="s">
        <v>21</v>
      </c>
    </row>
    <row r="18" spans="1:16" x14ac:dyDescent="0.25">
      <c r="A18">
        <v>16</v>
      </c>
      <c r="B18" t="s">
        <v>51</v>
      </c>
      <c r="C18" t="s">
        <v>4</v>
      </c>
      <c r="D18" s="1">
        <v>45413</v>
      </c>
      <c r="E18" t="s">
        <v>59</v>
      </c>
      <c r="F18">
        <v>87201</v>
      </c>
      <c r="G18" t="s">
        <v>60</v>
      </c>
      <c r="H18">
        <v>-72</v>
      </c>
      <c r="J18">
        <f>IF(H18&lt;0,H18,"")</f>
        <v>-72</v>
      </c>
      <c r="K18">
        <v>16229.66</v>
      </c>
      <c r="L18">
        <f t="shared" si="0"/>
        <v>-72</v>
      </c>
      <c r="M18">
        <f t="shared" si="1"/>
        <v>16229.66</v>
      </c>
      <c r="N18" s="3">
        <f t="shared" si="2"/>
        <v>0</v>
      </c>
      <c r="O18" t="s">
        <v>61</v>
      </c>
      <c r="P18" t="s">
        <v>5</v>
      </c>
    </row>
    <row r="19" spans="1:16" x14ac:dyDescent="0.25">
      <c r="A19">
        <v>17</v>
      </c>
      <c r="B19" t="s">
        <v>51</v>
      </c>
      <c r="C19" t="s">
        <v>4</v>
      </c>
      <c r="D19" s="1">
        <v>45413</v>
      </c>
      <c r="E19" t="s">
        <v>52</v>
      </c>
      <c r="F19" t="s">
        <v>53</v>
      </c>
      <c r="G19" t="s">
        <v>54</v>
      </c>
      <c r="H19">
        <v>-700</v>
      </c>
      <c r="J19">
        <f>IF(H19&lt;0,H19,"")</f>
        <v>-700</v>
      </c>
      <c r="K19">
        <v>15529.66</v>
      </c>
      <c r="L19">
        <f t="shared" si="0"/>
        <v>-700</v>
      </c>
      <c r="M19">
        <f t="shared" si="1"/>
        <v>15529.66</v>
      </c>
      <c r="N19" s="3">
        <f t="shared" si="2"/>
        <v>0</v>
      </c>
      <c r="O19" t="s">
        <v>55</v>
      </c>
      <c r="P19" t="s">
        <v>14</v>
      </c>
    </row>
    <row r="20" spans="1:16" x14ac:dyDescent="0.25">
      <c r="A20">
        <v>18</v>
      </c>
      <c r="B20" t="s">
        <v>51</v>
      </c>
      <c r="C20" t="s">
        <v>4</v>
      </c>
      <c r="D20" s="1">
        <v>45413</v>
      </c>
      <c r="E20" t="s">
        <v>56</v>
      </c>
      <c r="F20" t="s">
        <v>57</v>
      </c>
      <c r="G20" t="s">
        <v>54</v>
      </c>
      <c r="H20">
        <v>-40</v>
      </c>
      <c r="J20">
        <f>IF(H20&lt;0,H20,"")</f>
        <v>-40</v>
      </c>
      <c r="K20">
        <v>15489.66</v>
      </c>
      <c r="L20">
        <f t="shared" si="0"/>
        <v>-40</v>
      </c>
      <c r="M20">
        <f t="shared" si="1"/>
        <v>15489.66</v>
      </c>
      <c r="N20" s="3">
        <f t="shared" si="2"/>
        <v>0</v>
      </c>
      <c r="O20" t="s">
        <v>61</v>
      </c>
      <c r="P20" t="s">
        <v>7</v>
      </c>
    </row>
    <row r="21" spans="1:16" x14ac:dyDescent="0.25">
      <c r="A21">
        <v>19</v>
      </c>
      <c r="B21" t="s">
        <v>51</v>
      </c>
      <c r="C21" t="s">
        <v>4</v>
      </c>
      <c r="D21" s="1">
        <v>45419</v>
      </c>
      <c r="E21" t="s">
        <v>52</v>
      </c>
      <c r="F21" t="s">
        <v>70</v>
      </c>
      <c r="G21" t="s">
        <v>54</v>
      </c>
      <c r="H21">
        <v>-4000</v>
      </c>
      <c r="J21">
        <f>IF(H21&lt;0,H21,"")</f>
        <v>-4000</v>
      </c>
      <c r="K21">
        <v>11489.66</v>
      </c>
      <c r="L21">
        <f t="shared" si="0"/>
        <v>-4000</v>
      </c>
      <c r="M21">
        <f t="shared" si="1"/>
        <v>11489.66</v>
      </c>
      <c r="N21" s="3">
        <f t="shared" si="2"/>
        <v>0</v>
      </c>
      <c r="O21" t="s">
        <v>71</v>
      </c>
      <c r="P21" t="s">
        <v>15</v>
      </c>
    </row>
    <row r="22" spans="1:16" x14ac:dyDescent="0.25">
      <c r="A22">
        <v>20</v>
      </c>
      <c r="B22" t="s">
        <v>51</v>
      </c>
      <c r="C22" t="s">
        <v>4</v>
      </c>
      <c r="D22" s="1">
        <v>45422</v>
      </c>
      <c r="E22" t="s">
        <v>66</v>
      </c>
      <c r="F22" t="s">
        <v>67</v>
      </c>
      <c r="G22" t="s">
        <v>68</v>
      </c>
      <c r="H22">
        <v>1225</v>
      </c>
      <c r="I22">
        <f>IF(H22&gt;0,H22,"")</f>
        <v>1225</v>
      </c>
      <c r="K22">
        <v>12714.66</v>
      </c>
      <c r="L22">
        <f t="shared" si="0"/>
        <v>1225</v>
      </c>
      <c r="M22">
        <f t="shared" si="1"/>
        <v>12714.66</v>
      </c>
      <c r="N22" s="3">
        <f t="shared" si="2"/>
        <v>0</v>
      </c>
      <c r="O22" t="s">
        <v>69</v>
      </c>
      <c r="P22" t="s">
        <v>21</v>
      </c>
    </row>
    <row r="23" spans="1:16" x14ac:dyDescent="0.25">
      <c r="A23">
        <v>21</v>
      </c>
      <c r="B23" t="s">
        <v>51</v>
      </c>
      <c r="C23" t="s">
        <v>4</v>
      </c>
      <c r="D23" s="1">
        <v>45426</v>
      </c>
      <c r="E23" t="s">
        <v>82</v>
      </c>
      <c r="F23" t="s">
        <v>83</v>
      </c>
      <c r="G23" t="s">
        <v>64</v>
      </c>
      <c r="H23">
        <v>-7</v>
      </c>
      <c r="J23">
        <f>IF(H23&lt;0,H23,"")</f>
        <v>-7</v>
      </c>
      <c r="K23">
        <v>12707.66</v>
      </c>
      <c r="L23">
        <f t="shared" si="0"/>
        <v>-7</v>
      </c>
      <c r="M23">
        <f t="shared" si="1"/>
        <v>12707.66</v>
      </c>
      <c r="N23" s="3">
        <f t="shared" si="2"/>
        <v>0</v>
      </c>
      <c r="O23" t="s">
        <v>65</v>
      </c>
      <c r="P23" t="s">
        <v>32</v>
      </c>
    </row>
    <row r="24" spans="1:16" x14ac:dyDescent="0.25">
      <c r="A24">
        <v>22</v>
      </c>
      <c r="B24" t="s">
        <v>51</v>
      </c>
      <c r="C24" t="s">
        <v>4</v>
      </c>
      <c r="D24" s="1">
        <v>45427</v>
      </c>
      <c r="E24" t="s">
        <v>66</v>
      </c>
      <c r="F24" t="s">
        <v>67</v>
      </c>
      <c r="G24" t="s">
        <v>68</v>
      </c>
      <c r="H24">
        <v>5450</v>
      </c>
      <c r="I24">
        <f>IF(H24&gt;0,H24,"")</f>
        <v>5450</v>
      </c>
      <c r="K24">
        <v>18157.66</v>
      </c>
      <c r="L24">
        <f t="shared" si="0"/>
        <v>5450</v>
      </c>
      <c r="M24">
        <f t="shared" si="1"/>
        <v>18157.66</v>
      </c>
      <c r="N24" s="3">
        <f t="shared" si="2"/>
        <v>0</v>
      </c>
      <c r="O24" t="s">
        <v>69</v>
      </c>
      <c r="P24" t="s">
        <v>21</v>
      </c>
    </row>
    <row r="25" spans="1:16" x14ac:dyDescent="0.25">
      <c r="A25">
        <v>23</v>
      </c>
      <c r="B25" t="s">
        <v>51</v>
      </c>
      <c r="C25" t="s">
        <v>4</v>
      </c>
      <c r="D25" s="1">
        <v>45434</v>
      </c>
      <c r="E25" t="s">
        <v>66</v>
      </c>
      <c r="F25" t="s">
        <v>67</v>
      </c>
      <c r="G25" t="s">
        <v>68</v>
      </c>
      <c r="H25">
        <v>500</v>
      </c>
      <c r="I25">
        <f>IF(H25&gt;0,H25,"")</f>
        <v>500</v>
      </c>
      <c r="K25">
        <v>18657.66</v>
      </c>
      <c r="L25">
        <f t="shared" si="0"/>
        <v>500</v>
      </c>
      <c r="M25">
        <f t="shared" si="1"/>
        <v>18657.66</v>
      </c>
      <c r="N25" s="3">
        <f t="shared" si="2"/>
        <v>0</v>
      </c>
      <c r="O25" t="s">
        <v>69</v>
      </c>
      <c r="P25" t="s">
        <v>21</v>
      </c>
    </row>
    <row r="26" spans="1:16" x14ac:dyDescent="0.25">
      <c r="A26">
        <v>24</v>
      </c>
      <c r="B26" t="s">
        <v>51</v>
      </c>
      <c r="C26" t="s">
        <v>4</v>
      </c>
      <c r="D26" s="1">
        <v>45435</v>
      </c>
      <c r="E26" t="s">
        <v>84</v>
      </c>
      <c r="F26" t="s">
        <v>85</v>
      </c>
      <c r="G26" t="s">
        <v>54</v>
      </c>
      <c r="H26">
        <v>-300</v>
      </c>
      <c r="J26">
        <f>IF(H26&lt;0,H26,"")</f>
        <v>-300</v>
      </c>
      <c r="K26">
        <v>18357.66</v>
      </c>
      <c r="L26">
        <f t="shared" si="0"/>
        <v>-300</v>
      </c>
      <c r="M26">
        <f t="shared" si="1"/>
        <v>18357.66</v>
      </c>
      <c r="N26" s="3">
        <f t="shared" si="2"/>
        <v>0</v>
      </c>
      <c r="O26" t="s">
        <v>61</v>
      </c>
      <c r="P26" t="s">
        <v>7</v>
      </c>
    </row>
    <row r="27" spans="1:16" x14ac:dyDescent="0.25">
      <c r="A27">
        <v>25</v>
      </c>
      <c r="B27" t="s">
        <v>51</v>
      </c>
      <c r="C27" t="s">
        <v>4</v>
      </c>
      <c r="D27" s="1">
        <v>45439</v>
      </c>
      <c r="E27" t="s">
        <v>82</v>
      </c>
      <c r="F27" t="s">
        <v>83</v>
      </c>
      <c r="G27" t="s">
        <v>64</v>
      </c>
      <c r="H27">
        <v>-2.1</v>
      </c>
      <c r="J27">
        <f>IF(H27&lt;0,H27,"")</f>
        <v>-2.1</v>
      </c>
      <c r="K27">
        <v>18355.560000000001</v>
      </c>
      <c r="L27">
        <f t="shared" si="0"/>
        <v>-2.1</v>
      </c>
      <c r="M27">
        <f t="shared" si="1"/>
        <v>18355.560000000001</v>
      </c>
      <c r="N27" s="3">
        <f t="shared" si="2"/>
        <v>0</v>
      </c>
      <c r="O27" t="s">
        <v>65</v>
      </c>
      <c r="P27" t="s">
        <v>32</v>
      </c>
    </row>
    <row r="28" spans="1:16" x14ac:dyDescent="0.25">
      <c r="A28">
        <v>26</v>
      </c>
      <c r="B28" t="s">
        <v>51</v>
      </c>
      <c r="C28" t="s">
        <v>4</v>
      </c>
      <c r="D28" s="1">
        <v>45441</v>
      </c>
      <c r="E28" t="s">
        <v>80</v>
      </c>
      <c r="F28" t="s">
        <v>81</v>
      </c>
      <c r="G28" t="s">
        <v>54</v>
      </c>
      <c r="H28">
        <v>200</v>
      </c>
      <c r="I28">
        <f>IF(H28&gt;0,H28,"")</f>
        <v>200</v>
      </c>
      <c r="K28">
        <v>18555.560000000001</v>
      </c>
      <c r="L28">
        <f t="shared" si="0"/>
        <v>200</v>
      </c>
      <c r="M28">
        <f t="shared" si="1"/>
        <v>18555.560000000001</v>
      </c>
      <c r="N28" s="3">
        <f t="shared" si="2"/>
        <v>0</v>
      </c>
      <c r="O28" t="s">
        <v>69</v>
      </c>
      <c r="P28" t="s">
        <v>21</v>
      </c>
    </row>
    <row r="29" spans="1:16" x14ac:dyDescent="0.25">
      <c r="A29">
        <v>27</v>
      </c>
      <c r="B29" t="s">
        <v>51</v>
      </c>
      <c r="C29" t="s">
        <v>4</v>
      </c>
      <c r="D29" s="1">
        <v>45443</v>
      </c>
      <c r="E29" t="s">
        <v>86</v>
      </c>
      <c r="F29" t="s">
        <v>87</v>
      </c>
      <c r="G29" t="s">
        <v>64</v>
      </c>
      <c r="H29">
        <v>-1.1000000000000001</v>
      </c>
      <c r="J29">
        <f>IF(H29&lt;0,H29,"")</f>
        <v>-1.1000000000000001</v>
      </c>
      <c r="K29">
        <v>18554.46</v>
      </c>
      <c r="L29">
        <f t="shared" si="0"/>
        <v>-1.1000000000000001</v>
      </c>
      <c r="M29">
        <f t="shared" si="1"/>
        <v>18554.460000000003</v>
      </c>
      <c r="N29" s="3">
        <f t="shared" si="2"/>
        <v>0</v>
      </c>
      <c r="O29" t="s">
        <v>65</v>
      </c>
      <c r="P29" t="s">
        <v>32</v>
      </c>
    </row>
    <row r="30" spans="1:16" x14ac:dyDescent="0.25">
      <c r="A30">
        <v>28</v>
      </c>
      <c r="B30" t="s">
        <v>51</v>
      </c>
      <c r="C30" t="s">
        <v>4</v>
      </c>
      <c r="D30" s="1">
        <v>45443</v>
      </c>
      <c r="E30" t="s">
        <v>86</v>
      </c>
      <c r="F30" t="s">
        <v>87</v>
      </c>
      <c r="G30" t="s">
        <v>64</v>
      </c>
      <c r="H30">
        <v>-1</v>
      </c>
      <c r="J30">
        <f>IF(H30&lt;0,H30,"")</f>
        <v>-1</v>
      </c>
      <c r="K30">
        <v>18553.46</v>
      </c>
      <c r="L30">
        <f t="shared" si="0"/>
        <v>-1</v>
      </c>
      <c r="M30">
        <f t="shared" si="1"/>
        <v>18553.46</v>
      </c>
      <c r="N30" s="3">
        <f t="shared" si="2"/>
        <v>0</v>
      </c>
      <c r="O30" t="s">
        <v>65</v>
      </c>
      <c r="P30" t="s">
        <v>32</v>
      </c>
    </row>
    <row r="31" spans="1:16" x14ac:dyDescent="0.25">
      <c r="A31">
        <v>29</v>
      </c>
      <c r="B31" t="s">
        <v>51</v>
      </c>
      <c r="C31" t="s">
        <v>4</v>
      </c>
      <c r="D31" s="1">
        <v>45446</v>
      </c>
      <c r="E31" t="s">
        <v>52</v>
      </c>
      <c r="F31" t="s">
        <v>53</v>
      </c>
      <c r="G31" t="s">
        <v>54</v>
      </c>
      <c r="H31">
        <v>-700</v>
      </c>
      <c r="J31">
        <f>IF(H31&lt;0,H31,"")</f>
        <v>-700</v>
      </c>
      <c r="K31">
        <v>17853.46</v>
      </c>
      <c r="L31">
        <f t="shared" si="0"/>
        <v>-700</v>
      </c>
      <c r="M31">
        <f t="shared" si="1"/>
        <v>17853.46</v>
      </c>
      <c r="N31" s="3">
        <f t="shared" si="2"/>
        <v>0</v>
      </c>
      <c r="O31" t="s">
        <v>55</v>
      </c>
      <c r="P31" t="s">
        <v>14</v>
      </c>
    </row>
    <row r="32" spans="1:16" x14ac:dyDescent="0.25">
      <c r="A32">
        <v>30</v>
      </c>
      <c r="B32" t="s">
        <v>51</v>
      </c>
      <c r="C32" t="s">
        <v>4</v>
      </c>
      <c r="D32" s="1">
        <v>45446</v>
      </c>
      <c r="E32" t="s">
        <v>59</v>
      </c>
      <c r="F32">
        <v>87201</v>
      </c>
      <c r="G32" t="s">
        <v>60</v>
      </c>
      <c r="H32">
        <v>-72</v>
      </c>
      <c r="J32">
        <f>IF(H32&lt;0,H32,"")</f>
        <v>-72</v>
      </c>
      <c r="K32">
        <v>17781.46</v>
      </c>
      <c r="L32">
        <f t="shared" si="0"/>
        <v>-72</v>
      </c>
      <c r="M32">
        <f t="shared" si="1"/>
        <v>17781.46</v>
      </c>
      <c r="N32" s="3">
        <f t="shared" si="2"/>
        <v>0</v>
      </c>
      <c r="O32" t="s">
        <v>61</v>
      </c>
      <c r="P32" t="s">
        <v>5</v>
      </c>
    </row>
    <row r="33" spans="1:16" x14ac:dyDescent="0.25">
      <c r="A33">
        <v>31</v>
      </c>
      <c r="B33" t="s">
        <v>51</v>
      </c>
      <c r="C33" t="s">
        <v>4</v>
      </c>
      <c r="D33" s="1">
        <v>45446</v>
      </c>
      <c r="E33" t="s">
        <v>88</v>
      </c>
      <c r="F33" t="s">
        <v>89</v>
      </c>
      <c r="G33" t="s">
        <v>60</v>
      </c>
      <c r="H33">
        <v>-127.09</v>
      </c>
      <c r="J33">
        <f>IF(H33&lt;0,H33,"")</f>
        <v>-127.09</v>
      </c>
      <c r="K33">
        <v>17654.37</v>
      </c>
      <c r="L33">
        <f t="shared" si="0"/>
        <v>-127.09</v>
      </c>
      <c r="M33">
        <f t="shared" si="1"/>
        <v>17654.37</v>
      </c>
      <c r="N33" s="3">
        <f t="shared" si="2"/>
        <v>0</v>
      </c>
      <c r="O33" t="s">
        <v>61</v>
      </c>
      <c r="P33" t="s">
        <v>9</v>
      </c>
    </row>
    <row r="34" spans="1:16" x14ac:dyDescent="0.25">
      <c r="A34">
        <v>32</v>
      </c>
      <c r="B34" t="s">
        <v>51</v>
      </c>
      <c r="C34" t="s">
        <v>4</v>
      </c>
      <c r="D34" s="1">
        <v>45450</v>
      </c>
      <c r="E34" t="s">
        <v>66</v>
      </c>
      <c r="F34" t="s">
        <v>67</v>
      </c>
      <c r="G34" t="s">
        <v>68</v>
      </c>
      <c r="H34">
        <v>3400</v>
      </c>
      <c r="I34">
        <f>IF(H34&gt;0,H34,"")</f>
        <v>3400</v>
      </c>
      <c r="K34">
        <v>21054.37</v>
      </c>
      <c r="L34">
        <f t="shared" si="0"/>
        <v>3400</v>
      </c>
      <c r="M34">
        <f t="shared" si="1"/>
        <v>21054.37</v>
      </c>
      <c r="N34" s="3">
        <f t="shared" si="2"/>
        <v>0</v>
      </c>
      <c r="O34" t="s">
        <v>69</v>
      </c>
      <c r="P34" t="s">
        <v>21</v>
      </c>
    </row>
    <row r="35" spans="1:16" x14ac:dyDescent="0.25">
      <c r="A35">
        <v>33</v>
      </c>
      <c r="B35" t="s">
        <v>51</v>
      </c>
      <c r="C35" t="s">
        <v>4</v>
      </c>
      <c r="D35" s="1">
        <v>45451</v>
      </c>
      <c r="E35" t="s">
        <v>86</v>
      </c>
      <c r="F35" t="s">
        <v>87</v>
      </c>
      <c r="G35" t="s">
        <v>64</v>
      </c>
      <c r="H35">
        <v>-1.1000000000000001</v>
      </c>
      <c r="J35">
        <f>IF(H35&lt;0,H35,"")</f>
        <v>-1.1000000000000001</v>
      </c>
      <c r="K35">
        <v>21053.27</v>
      </c>
      <c r="L35">
        <f t="shared" ref="L35:L66" si="3">I35+J35</f>
        <v>-1.1000000000000001</v>
      </c>
      <c r="M35">
        <f t="shared" ref="M35:M66" si="4">K34+L35</f>
        <v>21053.27</v>
      </c>
      <c r="N35" s="3">
        <f t="shared" si="2"/>
        <v>0</v>
      </c>
      <c r="O35" t="s">
        <v>65</v>
      </c>
      <c r="P35" t="s">
        <v>32</v>
      </c>
    </row>
    <row r="36" spans="1:16" x14ac:dyDescent="0.25">
      <c r="A36">
        <v>34</v>
      </c>
      <c r="B36" t="s">
        <v>51</v>
      </c>
      <c r="C36" t="s">
        <v>4</v>
      </c>
      <c r="D36" s="1">
        <v>45451</v>
      </c>
      <c r="E36" t="s">
        <v>86</v>
      </c>
      <c r="F36" t="s">
        <v>87</v>
      </c>
      <c r="G36" t="s">
        <v>64</v>
      </c>
      <c r="H36">
        <v>-1</v>
      </c>
      <c r="J36">
        <f>IF(H36&lt;0,H36,"")</f>
        <v>-1</v>
      </c>
      <c r="K36">
        <v>21052.27</v>
      </c>
      <c r="L36">
        <f t="shared" si="3"/>
        <v>-1</v>
      </c>
      <c r="M36">
        <f t="shared" si="4"/>
        <v>21052.27</v>
      </c>
      <c r="N36" s="3">
        <f t="shared" si="2"/>
        <v>0</v>
      </c>
      <c r="O36" t="s">
        <v>65</v>
      </c>
      <c r="P36" t="s">
        <v>32</v>
      </c>
    </row>
    <row r="37" spans="1:16" x14ac:dyDescent="0.25">
      <c r="A37">
        <v>35</v>
      </c>
      <c r="B37" t="s">
        <v>51</v>
      </c>
      <c r="C37" t="s">
        <v>4</v>
      </c>
      <c r="D37" s="1">
        <v>45451</v>
      </c>
      <c r="E37" t="s">
        <v>86</v>
      </c>
      <c r="F37" t="s">
        <v>87</v>
      </c>
      <c r="G37" t="s">
        <v>64</v>
      </c>
      <c r="H37">
        <v>-1.1000000000000001</v>
      </c>
      <c r="J37">
        <f>IF(H37&lt;0,H37,"")</f>
        <v>-1.1000000000000001</v>
      </c>
      <c r="K37">
        <v>21051.17</v>
      </c>
      <c r="L37">
        <f t="shared" si="3"/>
        <v>-1.1000000000000001</v>
      </c>
      <c r="M37">
        <f t="shared" si="4"/>
        <v>21051.170000000002</v>
      </c>
      <c r="N37" s="3">
        <f t="shared" si="2"/>
        <v>0</v>
      </c>
      <c r="O37" t="s">
        <v>65</v>
      </c>
      <c r="P37" t="s">
        <v>32</v>
      </c>
    </row>
    <row r="38" spans="1:16" x14ac:dyDescent="0.25">
      <c r="A38">
        <v>36</v>
      </c>
      <c r="B38" t="s">
        <v>51</v>
      </c>
      <c r="C38" t="s">
        <v>4</v>
      </c>
      <c r="D38" s="1">
        <v>45451</v>
      </c>
      <c r="E38" t="s">
        <v>86</v>
      </c>
      <c r="F38" t="s">
        <v>87</v>
      </c>
      <c r="G38" t="s">
        <v>64</v>
      </c>
      <c r="H38">
        <v>-1.1000000000000001</v>
      </c>
      <c r="J38">
        <f>IF(H38&lt;0,H38,"")</f>
        <v>-1.1000000000000001</v>
      </c>
      <c r="K38">
        <v>21050.07</v>
      </c>
      <c r="L38">
        <f t="shared" si="3"/>
        <v>-1.1000000000000001</v>
      </c>
      <c r="M38">
        <f t="shared" si="4"/>
        <v>21050.07</v>
      </c>
      <c r="N38" s="3">
        <f t="shared" si="2"/>
        <v>0</v>
      </c>
      <c r="O38" t="s">
        <v>65</v>
      </c>
      <c r="P38" t="s">
        <v>32</v>
      </c>
    </row>
    <row r="39" spans="1:16" x14ac:dyDescent="0.25">
      <c r="A39">
        <v>37</v>
      </c>
      <c r="B39" t="s">
        <v>51</v>
      </c>
      <c r="C39" t="s">
        <v>4</v>
      </c>
      <c r="D39" s="1">
        <v>45455</v>
      </c>
      <c r="E39" t="s">
        <v>66</v>
      </c>
      <c r="F39" t="s">
        <v>67</v>
      </c>
      <c r="G39" t="s">
        <v>68</v>
      </c>
      <c r="H39">
        <v>3300</v>
      </c>
      <c r="I39">
        <f>IF(H39&gt;0,H39,"")</f>
        <v>3300</v>
      </c>
      <c r="K39">
        <v>24350.07</v>
      </c>
      <c r="L39">
        <f t="shared" si="3"/>
        <v>3300</v>
      </c>
      <c r="M39">
        <f t="shared" si="4"/>
        <v>24350.07</v>
      </c>
      <c r="N39" s="3">
        <f t="shared" si="2"/>
        <v>0</v>
      </c>
      <c r="O39" t="s">
        <v>69</v>
      </c>
      <c r="P39" t="s">
        <v>21</v>
      </c>
    </row>
    <row r="40" spans="1:16" x14ac:dyDescent="0.25">
      <c r="A40">
        <v>38</v>
      </c>
      <c r="B40" t="s">
        <v>51</v>
      </c>
      <c r="C40" t="s">
        <v>4</v>
      </c>
      <c r="D40" s="1">
        <v>45461</v>
      </c>
      <c r="E40" t="s">
        <v>84</v>
      </c>
      <c r="F40" t="s">
        <v>90</v>
      </c>
      <c r="G40" t="s">
        <v>54</v>
      </c>
      <c r="H40">
        <v>-300</v>
      </c>
      <c r="J40">
        <f>IF(H40&lt;0,H40,"")</f>
        <v>-300</v>
      </c>
      <c r="K40">
        <v>24050.07</v>
      </c>
      <c r="L40">
        <f t="shared" si="3"/>
        <v>-300</v>
      </c>
      <c r="M40">
        <f t="shared" si="4"/>
        <v>24050.07</v>
      </c>
      <c r="N40" s="3">
        <f t="shared" si="2"/>
        <v>0</v>
      </c>
      <c r="O40" t="s">
        <v>61</v>
      </c>
      <c r="P40" t="s">
        <v>7</v>
      </c>
    </row>
    <row r="41" spans="1:16" x14ac:dyDescent="0.25">
      <c r="A41">
        <v>39</v>
      </c>
      <c r="B41" t="s">
        <v>51</v>
      </c>
      <c r="C41" t="s">
        <v>4</v>
      </c>
      <c r="D41" s="1">
        <v>45470</v>
      </c>
      <c r="E41" t="s">
        <v>80</v>
      </c>
      <c r="F41" t="s">
        <v>81</v>
      </c>
      <c r="G41" t="s">
        <v>54</v>
      </c>
      <c r="H41">
        <v>700</v>
      </c>
      <c r="I41">
        <f>IF(H41&gt;0,H41,"")</f>
        <v>700</v>
      </c>
      <c r="K41">
        <v>24750.07</v>
      </c>
      <c r="L41">
        <f t="shared" si="3"/>
        <v>700</v>
      </c>
      <c r="M41">
        <f t="shared" si="4"/>
        <v>24750.07</v>
      </c>
      <c r="N41" s="3">
        <f t="shared" si="2"/>
        <v>0</v>
      </c>
      <c r="O41" t="s">
        <v>69</v>
      </c>
      <c r="P41" t="s">
        <v>21</v>
      </c>
    </row>
    <row r="42" spans="1:16" x14ac:dyDescent="0.25">
      <c r="A42">
        <v>40</v>
      </c>
      <c r="B42" t="s">
        <v>51</v>
      </c>
      <c r="C42" t="s">
        <v>4</v>
      </c>
      <c r="D42" s="1">
        <v>45471</v>
      </c>
      <c r="E42" t="s">
        <v>52</v>
      </c>
      <c r="F42" t="s">
        <v>70</v>
      </c>
      <c r="G42" t="s">
        <v>54</v>
      </c>
      <c r="H42">
        <v>-4000</v>
      </c>
      <c r="J42">
        <f>IF(H42&lt;0,H42,"")</f>
        <v>-4000</v>
      </c>
      <c r="K42">
        <v>20750.07</v>
      </c>
      <c r="L42">
        <f t="shared" si="3"/>
        <v>-4000</v>
      </c>
      <c r="M42">
        <f t="shared" si="4"/>
        <v>20750.07</v>
      </c>
      <c r="N42" s="3">
        <f t="shared" si="2"/>
        <v>0</v>
      </c>
      <c r="O42" t="s">
        <v>71</v>
      </c>
      <c r="P42" t="s">
        <v>15</v>
      </c>
    </row>
    <row r="43" spans="1:16" x14ac:dyDescent="0.25">
      <c r="A43">
        <v>41</v>
      </c>
      <c r="B43" t="s">
        <v>51</v>
      </c>
      <c r="C43" t="s">
        <v>4</v>
      </c>
      <c r="D43" s="1">
        <v>45473</v>
      </c>
      <c r="E43" t="s">
        <v>91</v>
      </c>
      <c r="F43" t="s">
        <v>92</v>
      </c>
      <c r="G43" t="s">
        <v>93</v>
      </c>
      <c r="H43">
        <v>-750</v>
      </c>
      <c r="J43">
        <f>IF(H43&lt;0,H43,"")</f>
        <v>-750</v>
      </c>
      <c r="K43">
        <v>20000.07</v>
      </c>
      <c r="L43">
        <f t="shared" si="3"/>
        <v>-750</v>
      </c>
      <c r="M43">
        <f t="shared" si="4"/>
        <v>20000.07</v>
      </c>
      <c r="N43" s="3">
        <f t="shared" si="2"/>
        <v>0</v>
      </c>
      <c r="O43" t="s">
        <v>94</v>
      </c>
      <c r="P43" t="s">
        <v>27</v>
      </c>
    </row>
    <row r="44" spans="1:16" x14ac:dyDescent="0.25">
      <c r="A44">
        <v>42</v>
      </c>
      <c r="B44" t="s">
        <v>51</v>
      </c>
      <c r="C44" t="s">
        <v>4</v>
      </c>
      <c r="D44" s="1">
        <v>45474</v>
      </c>
      <c r="E44" t="s">
        <v>59</v>
      </c>
      <c r="F44">
        <v>87201</v>
      </c>
      <c r="G44" t="s">
        <v>60</v>
      </c>
      <c r="H44">
        <v>-72</v>
      </c>
      <c r="J44">
        <f>IF(H44&lt;0,H44,"")</f>
        <v>-72</v>
      </c>
      <c r="K44">
        <v>19928.07</v>
      </c>
      <c r="L44">
        <f t="shared" si="3"/>
        <v>-72</v>
      </c>
      <c r="M44">
        <f t="shared" si="4"/>
        <v>19928.07</v>
      </c>
      <c r="N44" s="3">
        <f t="shared" si="2"/>
        <v>0</v>
      </c>
      <c r="O44" t="s">
        <v>61</v>
      </c>
      <c r="P44" t="s">
        <v>5</v>
      </c>
    </row>
    <row r="45" spans="1:16" x14ac:dyDescent="0.25">
      <c r="A45">
        <v>43</v>
      </c>
      <c r="B45" t="s">
        <v>51</v>
      </c>
      <c r="C45" t="s">
        <v>4</v>
      </c>
      <c r="D45" s="1">
        <v>45474</v>
      </c>
      <c r="E45" t="s">
        <v>52</v>
      </c>
      <c r="F45" t="s">
        <v>53</v>
      </c>
      <c r="G45" t="s">
        <v>54</v>
      </c>
      <c r="H45">
        <v>-1000</v>
      </c>
      <c r="J45">
        <f>IF(H45&lt;0,H45,"")</f>
        <v>-1000</v>
      </c>
      <c r="K45">
        <v>18928.07</v>
      </c>
      <c r="L45">
        <f t="shared" si="3"/>
        <v>-1000</v>
      </c>
      <c r="M45">
        <f t="shared" si="4"/>
        <v>18928.07</v>
      </c>
      <c r="N45" s="3">
        <f t="shared" si="2"/>
        <v>0</v>
      </c>
      <c r="O45" t="s">
        <v>55</v>
      </c>
      <c r="P45" t="s">
        <v>14</v>
      </c>
    </row>
    <row r="46" spans="1:16" x14ac:dyDescent="0.25">
      <c r="A46">
        <v>44</v>
      </c>
      <c r="B46" t="s">
        <v>51</v>
      </c>
      <c r="C46" t="s">
        <v>4</v>
      </c>
      <c r="D46" s="1">
        <v>45477</v>
      </c>
      <c r="E46" t="s">
        <v>95</v>
      </c>
      <c r="F46" t="s">
        <v>96</v>
      </c>
      <c r="G46" t="s">
        <v>54</v>
      </c>
      <c r="H46">
        <v>450</v>
      </c>
      <c r="I46">
        <f>IF(H46&gt;0,H46,"")</f>
        <v>450</v>
      </c>
      <c r="K46">
        <v>19378.07</v>
      </c>
      <c r="L46">
        <f t="shared" si="3"/>
        <v>450</v>
      </c>
      <c r="M46">
        <f t="shared" si="4"/>
        <v>19378.07</v>
      </c>
      <c r="N46" s="3">
        <f t="shared" si="2"/>
        <v>0</v>
      </c>
      <c r="O46" t="s">
        <v>69</v>
      </c>
      <c r="P46" t="s">
        <v>21</v>
      </c>
    </row>
    <row r="47" spans="1:16" x14ac:dyDescent="0.25">
      <c r="A47">
        <v>45</v>
      </c>
      <c r="B47" t="s">
        <v>51</v>
      </c>
      <c r="C47" t="s">
        <v>4</v>
      </c>
      <c r="D47" s="1">
        <v>45478</v>
      </c>
      <c r="E47" t="s">
        <v>66</v>
      </c>
      <c r="F47" t="s">
        <v>67</v>
      </c>
      <c r="G47" t="s">
        <v>68</v>
      </c>
      <c r="H47">
        <v>5043</v>
      </c>
      <c r="I47">
        <f>IF(H47&gt;0,H47,"")</f>
        <v>5043</v>
      </c>
      <c r="K47">
        <v>24421.07</v>
      </c>
      <c r="L47">
        <f t="shared" si="3"/>
        <v>5043</v>
      </c>
      <c r="M47">
        <f t="shared" si="4"/>
        <v>24421.07</v>
      </c>
      <c r="N47" s="3">
        <f t="shared" si="2"/>
        <v>0</v>
      </c>
      <c r="O47" t="s">
        <v>69</v>
      </c>
      <c r="P47" t="s">
        <v>21</v>
      </c>
    </row>
    <row r="48" spans="1:16" x14ac:dyDescent="0.25">
      <c r="A48">
        <v>46</v>
      </c>
      <c r="B48" t="s">
        <v>51</v>
      </c>
      <c r="C48" t="s">
        <v>4</v>
      </c>
      <c r="D48" s="1">
        <v>45478</v>
      </c>
      <c r="E48" t="s">
        <v>52</v>
      </c>
      <c r="F48" t="s">
        <v>70</v>
      </c>
      <c r="G48" t="s">
        <v>54</v>
      </c>
      <c r="H48">
        <v>-2000</v>
      </c>
      <c r="J48">
        <f>IF(H48&lt;0,H48,"")</f>
        <v>-2000</v>
      </c>
      <c r="K48">
        <v>22421.07</v>
      </c>
      <c r="L48">
        <f t="shared" si="3"/>
        <v>-2000</v>
      </c>
      <c r="M48">
        <f t="shared" si="4"/>
        <v>22421.07</v>
      </c>
      <c r="N48" s="3">
        <f t="shared" si="2"/>
        <v>0</v>
      </c>
      <c r="O48" t="s">
        <v>71</v>
      </c>
      <c r="P48" t="s">
        <v>15</v>
      </c>
    </row>
    <row r="49" spans="1:16" x14ac:dyDescent="0.25">
      <c r="A49">
        <v>47</v>
      </c>
      <c r="B49" t="s">
        <v>51</v>
      </c>
      <c r="C49" t="s">
        <v>4</v>
      </c>
      <c r="D49" s="1">
        <v>45480</v>
      </c>
      <c r="E49" t="s">
        <v>86</v>
      </c>
      <c r="F49" t="s">
        <v>87</v>
      </c>
      <c r="G49" t="s">
        <v>64</v>
      </c>
      <c r="H49">
        <v>-1.1000000000000001</v>
      </c>
      <c r="J49">
        <f>IF(H49&lt;0,H49,"")</f>
        <v>-1.1000000000000001</v>
      </c>
      <c r="K49">
        <v>22419.97</v>
      </c>
      <c r="L49">
        <f t="shared" si="3"/>
        <v>-1.1000000000000001</v>
      </c>
      <c r="M49">
        <f t="shared" si="4"/>
        <v>22419.97</v>
      </c>
      <c r="N49" s="3">
        <f t="shared" si="2"/>
        <v>0</v>
      </c>
      <c r="O49" t="s">
        <v>65</v>
      </c>
      <c r="P49" t="s">
        <v>32</v>
      </c>
    </row>
    <row r="50" spans="1:16" x14ac:dyDescent="0.25">
      <c r="A50">
        <v>48</v>
      </c>
      <c r="B50" t="s">
        <v>51</v>
      </c>
      <c r="C50" t="s">
        <v>4</v>
      </c>
      <c r="D50" s="1">
        <v>45485</v>
      </c>
      <c r="E50" t="s">
        <v>97</v>
      </c>
      <c r="F50" t="s">
        <v>98</v>
      </c>
      <c r="G50" t="s">
        <v>68</v>
      </c>
      <c r="H50">
        <v>375</v>
      </c>
      <c r="I50">
        <f>IF(H50&gt;0,H50,"")</f>
        <v>375</v>
      </c>
      <c r="K50">
        <v>22794.97</v>
      </c>
      <c r="L50">
        <f t="shared" si="3"/>
        <v>375</v>
      </c>
      <c r="M50">
        <f t="shared" si="4"/>
        <v>22794.97</v>
      </c>
      <c r="N50" s="3">
        <f t="shared" si="2"/>
        <v>0</v>
      </c>
      <c r="O50" t="s">
        <v>69</v>
      </c>
      <c r="P50" t="s">
        <v>21</v>
      </c>
    </row>
    <row r="51" spans="1:16" x14ac:dyDescent="0.25">
      <c r="A51">
        <v>49</v>
      </c>
      <c r="B51" t="s">
        <v>51</v>
      </c>
      <c r="C51" t="s">
        <v>4</v>
      </c>
      <c r="D51" s="1">
        <v>45490</v>
      </c>
      <c r="E51" t="s">
        <v>86</v>
      </c>
      <c r="F51" t="s">
        <v>87</v>
      </c>
      <c r="G51" t="s">
        <v>64</v>
      </c>
      <c r="H51">
        <v>-1.1000000000000001</v>
      </c>
      <c r="J51">
        <f>IF(H51&lt;0,H51,"")</f>
        <v>-1.1000000000000001</v>
      </c>
      <c r="K51">
        <v>22793.87</v>
      </c>
      <c r="L51">
        <f t="shared" si="3"/>
        <v>-1.1000000000000001</v>
      </c>
      <c r="M51">
        <f t="shared" si="4"/>
        <v>22793.870000000003</v>
      </c>
      <c r="N51" s="3">
        <f t="shared" si="2"/>
        <v>0</v>
      </c>
      <c r="O51" t="s">
        <v>65</v>
      </c>
      <c r="P51" t="s">
        <v>32</v>
      </c>
    </row>
    <row r="52" spans="1:16" x14ac:dyDescent="0.25">
      <c r="A52">
        <v>50</v>
      </c>
      <c r="B52" t="s">
        <v>51</v>
      </c>
      <c r="C52" t="s">
        <v>4</v>
      </c>
      <c r="D52" s="1">
        <v>45491</v>
      </c>
      <c r="E52" t="s">
        <v>99</v>
      </c>
      <c r="F52" t="s">
        <v>100</v>
      </c>
      <c r="G52" t="s">
        <v>93</v>
      </c>
      <c r="H52">
        <v>-1400</v>
      </c>
      <c r="J52">
        <f>IF(H52&lt;0,H52,"")</f>
        <v>-1400</v>
      </c>
      <c r="K52">
        <v>21393.87</v>
      </c>
      <c r="L52">
        <f t="shared" si="3"/>
        <v>-1400</v>
      </c>
      <c r="M52">
        <f t="shared" si="4"/>
        <v>21393.87</v>
      </c>
      <c r="N52" s="3">
        <f t="shared" si="2"/>
        <v>0</v>
      </c>
      <c r="O52" t="s">
        <v>61</v>
      </c>
      <c r="P52" t="s">
        <v>33</v>
      </c>
    </row>
    <row r="53" spans="1:16" x14ac:dyDescent="0.25">
      <c r="A53">
        <v>51</v>
      </c>
      <c r="B53" t="s">
        <v>51</v>
      </c>
      <c r="C53" t="s">
        <v>4</v>
      </c>
      <c r="D53" s="1">
        <v>45491</v>
      </c>
      <c r="E53" t="s">
        <v>86</v>
      </c>
      <c r="F53" t="s">
        <v>87</v>
      </c>
      <c r="G53" t="s">
        <v>64</v>
      </c>
      <c r="H53">
        <v>-1.1000000000000001</v>
      </c>
      <c r="J53">
        <f>IF(H53&lt;0,H53,"")</f>
        <v>-1.1000000000000001</v>
      </c>
      <c r="K53">
        <v>21392.77</v>
      </c>
      <c r="L53">
        <f t="shared" si="3"/>
        <v>-1.1000000000000001</v>
      </c>
      <c r="M53">
        <f t="shared" si="4"/>
        <v>21392.77</v>
      </c>
      <c r="N53" s="3">
        <f t="shared" si="2"/>
        <v>0</v>
      </c>
      <c r="O53" t="s">
        <v>65</v>
      </c>
      <c r="P53" t="s">
        <v>32</v>
      </c>
    </row>
    <row r="54" spans="1:16" x14ac:dyDescent="0.25">
      <c r="A54">
        <v>52</v>
      </c>
      <c r="B54" t="s">
        <v>51</v>
      </c>
      <c r="C54" t="s">
        <v>4</v>
      </c>
      <c r="D54" s="1">
        <v>45493</v>
      </c>
      <c r="E54" t="s">
        <v>80</v>
      </c>
      <c r="F54" t="s">
        <v>81</v>
      </c>
      <c r="G54" t="s">
        <v>54</v>
      </c>
      <c r="H54">
        <v>1100</v>
      </c>
      <c r="I54">
        <f>IF(H54&gt;0,H54,"")</f>
        <v>1100</v>
      </c>
      <c r="K54">
        <v>22492.77</v>
      </c>
      <c r="L54">
        <f t="shared" si="3"/>
        <v>1100</v>
      </c>
      <c r="M54">
        <f t="shared" si="4"/>
        <v>22492.77</v>
      </c>
      <c r="N54" s="3">
        <f t="shared" si="2"/>
        <v>0</v>
      </c>
      <c r="O54" t="s">
        <v>69</v>
      </c>
      <c r="P54" t="s">
        <v>21</v>
      </c>
    </row>
    <row r="55" spans="1:16" x14ac:dyDescent="0.25">
      <c r="A55">
        <v>53</v>
      </c>
      <c r="B55" t="s">
        <v>51</v>
      </c>
      <c r="C55" t="s">
        <v>4</v>
      </c>
      <c r="D55" s="1">
        <v>45497</v>
      </c>
      <c r="E55" t="s">
        <v>52</v>
      </c>
      <c r="F55" t="s">
        <v>70</v>
      </c>
      <c r="G55" t="s">
        <v>54</v>
      </c>
      <c r="H55">
        <v>-7500</v>
      </c>
      <c r="J55">
        <f>IF(H55&lt;0,H55,"")</f>
        <v>-7500</v>
      </c>
      <c r="K55">
        <v>14992.77</v>
      </c>
      <c r="L55">
        <f t="shared" si="3"/>
        <v>-7500</v>
      </c>
      <c r="M55">
        <f t="shared" si="4"/>
        <v>14992.77</v>
      </c>
      <c r="N55" s="3">
        <f t="shared" si="2"/>
        <v>0</v>
      </c>
      <c r="O55" t="s">
        <v>71</v>
      </c>
      <c r="P55" t="s">
        <v>15</v>
      </c>
    </row>
    <row r="56" spans="1:16" x14ac:dyDescent="0.25">
      <c r="A56">
        <v>54</v>
      </c>
      <c r="B56" t="s">
        <v>51</v>
      </c>
      <c r="C56" t="s">
        <v>4</v>
      </c>
      <c r="D56" s="1">
        <v>45505</v>
      </c>
      <c r="E56" t="s">
        <v>52</v>
      </c>
      <c r="F56" t="s">
        <v>53</v>
      </c>
      <c r="G56" t="s">
        <v>54</v>
      </c>
      <c r="H56">
        <v>-1000</v>
      </c>
      <c r="J56">
        <f>IF(H56&lt;0,H56,"")</f>
        <v>-1000</v>
      </c>
      <c r="K56">
        <v>13992.77</v>
      </c>
      <c r="L56">
        <f t="shared" si="3"/>
        <v>-1000</v>
      </c>
      <c r="M56">
        <f t="shared" si="4"/>
        <v>13992.77</v>
      </c>
      <c r="N56" s="3">
        <f t="shared" si="2"/>
        <v>0</v>
      </c>
      <c r="O56" t="s">
        <v>55</v>
      </c>
      <c r="P56" t="s">
        <v>14</v>
      </c>
    </row>
    <row r="57" spans="1:16" x14ac:dyDescent="0.25">
      <c r="A57">
        <v>55</v>
      </c>
      <c r="B57" t="s">
        <v>51</v>
      </c>
      <c r="C57" t="s">
        <v>4</v>
      </c>
      <c r="D57" s="1">
        <v>45505</v>
      </c>
      <c r="E57" t="s">
        <v>59</v>
      </c>
      <c r="F57">
        <v>87201</v>
      </c>
      <c r="G57" t="s">
        <v>60</v>
      </c>
      <c r="H57">
        <v>-72</v>
      </c>
      <c r="J57">
        <f>IF(H57&lt;0,H57,"")</f>
        <v>-72</v>
      </c>
      <c r="K57">
        <v>13920.77</v>
      </c>
      <c r="L57">
        <f t="shared" si="3"/>
        <v>-72</v>
      </c>
      <c r="M57">
        <f t="shared" si="4"/>
        <v>13920.77</v>
      </c>
      <c r="N57" s="3">
        <f t="shared" si="2"/>
        <v>0</v>
      </c>
      <c r="O57" t="s">
        <v>61</v>
      </c>
      <c r="P57" t="s">
        <v>5</v>
      </c>
    </row>
    <row r="58" spans="1:16" x14ac:dyDescent="0.25">
      <c r="A58">
        <v>56</v>
      </c>
      <c r="B58" t="s">
        <v>51</v>
      </c>
      <c r="C58" t="s">
        <v>4</v>
      </c>
      <c r="D58" s="1">
        <v>45511</v>
      </c>
      <c r="E58" t="s">
        <v>66</v>
      </c>
      <c r="F58" t="s">
        <v>67</v>
      </c>
      <c r="G58" t="s">
        <v>68</v>
      </c>
      <c r="H58">
        <v>2350</v>
      </c>
      <c r="I58">
        <f>IF(H58&gt;0,H58,"")</f>
        <v>2350</v>
      </c>
      <c r="K58">
        <v>16270.77</v>
      </c>
      <c r="L58">
        <f t="shared" si="3"/>
        <v>2350</v>
      </c>
      <c r="M58">
        <f t="shared" si="4"/>
        <v>16270.77</v>
      </c>
      <c r="N58" s="3">
        <f t="shared" si="2"/>
        <v>0</v>
      </c>
      <c r="O58" t="s">
        <v>69</v>
      </c>
      <c r="P58" t="s">
        <v>21</v>
      </c>
    </row>
    <row r="59" spans="1:16" x14ac:dyDescent="0.25">
      <c r="A59">
        <v>57</v>
      </c>
      <c r="B59" t="s">
        <v>51</v>
      </c>
      <c r="C59" t="s">
        <v>4</v>
      </c>
      <c r="D59" s="1">
        <v>45512</v>
      </c>
      <c r="E59" t="s">
        <v>82</v>
      </c>
      <c r="F59" t="s">
        <v>83</v>
      </c>
      <c r="G59" t="s">
        <v>64</v>
      </c>
      <c r="H59">
        <v>-7</v>
      </c>
      <c r="J59">
        <f>IF(H59&lt;0,H59,"")</f>
        <v>-7</v>
      </c>
      <c r="K59">
        <v>16263.77</v>
      </c>
      <c r="L59">
        <f t="shared" si="3"/>
        <v>-7</v>
      </c>
      <c r="M59">
        <f t="shared" si="4"/>
        <v>16263.77</v>
      </c>
      <c r="N59" s="3">
        <f t="shared" si="2"/>
        <v>0</v>
      </c>
      <c r="O59" t="s">
        <v>65</v>
      </c>
      <c r="P59" t="s">
        <v>32</v>
      </c>
    </row>
    <row r="60" spans="1:16" x14ac:dyDescent="0.25">
      <c r="A60">
        <v>58</v>
      </c>
      <c r="B60" t="s">
        <v>51</v>
      </c>
      <c r="C60" t="s">
        <v>4</v>
      </c>
      <c r="D60" s="1">
        <v>45513</v>
      </c>
      <c r="E60" t="s">
        <v>66</v>
      </c>
      <c r="F60" t="s">
        <v>67</v>
      </c>
      <c r="G60" t="s">
        <v>68</v>
      </c>
      <c r="H60">
        <v>2125</v>
      </c>
      <c r="I60">
        <f>IF(H60&gt;0,H60,"")</f>
        <v>2125</v>
      </c>
      <c r="K60">
        <v>18388.77</v>
      </c>
      <c r="L60">
        <f t="shared" si="3"/>
        <v>2125</v>
      </c>
      <c r="M60">
        <f t="shared" si="4"/>
        <v>18388.77</v>
      </c>
      <c r="N60" s="3">
        <f t="shared" si="2"/>
        <v>0</v>
      </c>
      <c r="O60" t="s">
        <v>69</v>
      </c>
      <c r="P60" t="s">
        <v>21</v>
      </c>
    </row>
    <row r="61" spans="1:16" x14ac:dyDescent="0.25">
      <c r="A61">
        <v>59</v>
      </c>
      <c r="B61" t="s">
        <v>51</v>
      </c>
      <c r="C61" t="s">
        <v>4</v>
      </c>
      <c r="D61" s="1">
        <v>45516</v>
      </c>
      <c r="E61" t="s">
        <v>95</v>
      </c>
      <c r="F61" t="s">
        <v>96</v>
      </c>
      <c r="G61" t="s">
        <v>54</v>
      </c>
      <c r="H61">
        <v>900</v>
      </c>
      <c r="I61">
        <f>IF(H61&gt;0,H61,"")</f>
        <v>900</v>
      </c>
      <c r="K61">
        <v>19288.77</v>
      </c>
      <c r="L61">
        <f t="shared" si="3"/>
        <v>900</v>
      </c>
      <c r="M61">
        <f t="shared" si="4"/>
        <v>19288.77</v>
      </c>
      <c r="N61" s="3">
        <f t="shared" si="2"/>
        <v>0</v>
      </c>
      <c r="O61" t="s">
        <v>69</v>
      </c>
      <c r="P61" t="s">
        <v>21</v>
      </c>
    </row>
    <row r="62" spans="1:16" x14ac:dyDescent="0.25">
      <c r="A62">
        <v>60</v>
      </c>
      <c r="B62" t="s">
        <v>51</v>
      </c>
      <c r="C62" t="s">
        <v>4</v>
      </c>
      <c r="D62" s="1">
        <v>45520</v>
      </c>
      <c r="E62" t="s">
        <v>66</v>
      </c>
      <c r="F62" t="s">
        <v>67</v>
      </c>
      <c r="G62" t="s">
        <v>68</v>
      </c>
      <c r="H62">
        <v>430</v>
      </c>
      <c r="I62">
        <f>IF(H62&gt;0,H62,"")</f>
        <v>430</v>
      </c>
      <c r="K62">
        <v>19718.77</v>
      </c>
      <c r="L62">
        <f t="shared" si="3"/>
        <v>430</v>
      </c>
      <c r="M62">
        <f t="shared" si="4"/>
        <v>19718.77</v>
      </c>
      <c r="N62" s="3">
        <f t="shared" si="2"/>
        <v>0</v>
      </c>
      <c r="O62" t="s">
        <v>69</v>
      </c>
      <c r="P62" t="s">
        <v>21</v>
      </c>
    </row>
    <row r="63" spans="1:16" x14ac:dyDescent="0.25">
      <c r="A63">
        <v>61</v>
      </c>
      <c r="B63" t="s">
        <v>51</v>
      </c>
      <c r="C63" t="s">
        <v>4</v>
      </c>
      <c r="D63" s="1">
        <v>45522</v>
      </c>
      <c r="E63" t="s">
        <v>86</v>
      </c>
      <c r="F63" t="s">
        <v>87</v>
      </c>
      <c r="G63" t="s">
        <v>64</v>
      </c>
      <c r="H63">
        <v>-5.6</v>
      </c>
      <c r="J63">
        <f t="shared" ref="J63:J69" si="5">IF(H63&lt;0,H63,"")</f>
        <v>-5.6</v>
      </c>
      <c r="K63">
        <v>19713.169999999998</v>
      </c>
      <c r="L63">
        <f t="shared" si="3"/>
        <v>-5.6</v>
      </c>
      <c r="M63">
        <f t="shared" si="4"/>
        <v>19713.170000000002</v>
      </c>
      <c r="N63" s="3">
        <f t="shared" si="2"/>
        <v>0</v>
      </c>
      <c r="O63" t="s">
        <v>65</v>
      </c>
      <c r="P63" t="s">
        <v>32</v>
      </c>
    </row>
    <row r="64" spans="1:16" x14ac:dyDescent="0.25">
      <c r="A64">
        <v>62</v>
      </c>
      <c r="B64" t="s">
        <v>51</v>
      </c>
      <c r="C64" t="s">
        <v>4</v>
      </c>
      <c r="D64" s="1">
        <v>45523</v>
      </c>
      <c r="E64" t="s">
        <v>86</v>
      </c>
      <c r="F64" t="s">
        <v>87</v>
      </c>
      <c r="G64" t="s">
        <v>64</v>
      </c>
      <c r="H64">
        <v>-5.6</v>
      </c>
      <c r="J64">
        <f t="shared" si="5"/>
        <v>-5.6</v>
      </c>
      <c r="K64">
        <v>19707.57</v>
      </c>
      <c r="L64">
        <f t="shared" si="3"/>
        <v>-5.6</v>
      </c>
      <c r="M64">
        <f t="shared" si="4"/>
        <v>19707.57</v>
      </c>
      <c r="N64" s="3">
        <f t="shared" si="2"/>
        <v>0</v>
      </c>
      <c r="O64" t="s">
        <v>65</v>
      </c>
      <c r="P64" t="s">
        <v>32</v>
      </c>
    </row>
    <row r="65" spans="1:16" x14ac:dyDescent="0.25">
      <c r="A65">
        <v>63</v>
      </c>
      <c r="B65" t="s">
        <v>51</v>
      </c>
      <c r="C65" t="s">
        <v>4</v>
      </c>
      <c r="D65" s="1">
        <v>45525</v>
      </c>
      <c r="E65" t="s">
        <v>86</v>
      </c>
      <c r="F65" t="s">
        <v>87</v>
      </c>
      <c r="G65" t="s">
        <v>64</v>
      </c>
      <c r="H65">
        <v>-5.6</v>
      </c>
      <c r="J65">
        <f t="shared" si="5"/>
        <v>-5.6</v>
      </c>
      <c r="K65">
        <v>19701.97</v>
      </c>
      <c r="L65">
        <f t="shared" si="3"/>
        <v>-5.6</v>
      </c>
      <c r="M65">
        <f t="shared" si="4"/>
        <v>19701.97</v>
      </c>
      <c r="N65" s="3">
        <f t="shared" si="2"/>
        <v>0</v>
      </c>
      <c r="O65" t="s">
        <v>65</v>
      </c>
      <c r="P65" t="s">
        <v>32</v>
      </c>
    </row>
    <row r="66" spans="1:16" x14ac:dyDescent="0.25">
      <c r="A66">
        <v>64</v>
      </c>
      <c r="B66" t="s">
        <v>51</v>
      </c>
      <c r="C66" t="s">
        <v>4</v>
      </c>
      <c r="D66" s="1">
        <v>45526</v>
      </c>
      <c r="E66" t="s">
        <v>91</v>
      </c>
      <c r="F66" t="s">
        <v>92</v>
      </c>
      <c r="G66" t="s">
        <v>93</v>
      </c>
      <c r="H66">
        <v>-750</v>
      </c>
      <c r="J66">
        <f t="shared" si="5"/>
        <v>-750</v>
      </c>
      <c r="K66">
        <v>18951.97</v>
      </c>
      <c r="L66">
        <f t="shared" si="3"/>
        <v>-750</v>
      </c>
      <c r="M66">
        <f t="shared" si="4"/>
        <v>18951.97</v>
      </c>
      <c r="N66" s="3">
        <f t="shared" si="2"/>
        <v>0</v>
      </c>
      <c r="O66" t="s">
        <v>94</v>
      </c>
      <c r="P66" t="s">
        <v>27</v>
      </c>
    </row>
    <row r="67" spans="1:16" x14ac:dyDescent="0.25">
      <c r="A67">
        <v>65</v>
      </c>
      <c r="B67" t="s">
        <v>51</v>
      </c>
      <c r="C67" t="s">
        <v>4</v>
      </c>
      <c r="D67" s="1">
        <v>45526</v>
      </c>
      <c r="E67" t="s">
        <v>86</v>
      </c>
      <c r="F67" t="s">
        <v>87</v>
      </c>
      <c r="G67" t="s">
        <v>64</v>
      </c>
      <c r="H67">
        <v>-5.6</v>
      </c>
      <c r="J67">
        <f t="shared" si="5"/>
        <v>-5.6</v>
      </c>
      <c r="K67">
        <v>18946.37</v>
      </c>
      <c r="L67">
        <f t="shared" ref="L67:L98" si="6">I67+J67</f>
        <v>-5.6</v>
      </c>
      <c r="M67">
        <f t="shared" ref="M67:M98" si="7">K66+L67</f>
        <v>18946.370000000003</v>
      </c>
      <c r="N67" s="3">
        <f t="shared" ref="N67:N130" si="8">K67-M67</f>
        <v>0</v>
      </c>
      <c r="O67" t="s">
        <v>65</v>
      </c>
      <c r="P67" t="s">
        <v>32</v>
      </c>
    </row>
    <row r="68" spans="1:16" x14ac:dyDescent="0.25">
      <c r="A68">
        <v>66</v>
      </c>
      <c r="B68" t="s">
        <v>51</v>
      </c>
      <c r="C68" t="s">
        <v>4</v>
      </c>
      <c r="D68" s="1">
        <v>45529</v>
      </c>
      <c r="E68" t="s">
        <v>86</v>
      </c>
      <c r="F68" t="s">
        <v>87</v>
      </c>
      <c r="G68" t="s">
        <v>64</v>
      </c>
      <c r="H68">
        <v>-5.6</v>
      </c>
      <c r="J68">
        <f t="shared" si="5"/>
        <v>-5.6</v>
      </c>
      <c r="K68">
        <v>18940.77</v>
      </c>
      <c r="L68">
        <f t="shared" si="6"/>
        <v>-5.6</v>
      </c>
      <c r="M68">
        <f t="shared" si="7"/>
        <v>18940.77</v>
      </c>
      <c r="N68" s="3">
        <f t="shared" si="8"/>
        <v>0</v>
      </c>
      <c r="O68" t="s">
        <v>65</v>
      </c>
      <c r="P68" t="s">
        <v>32</v>
      </c>
    </row>
    <row r="69" spans="1:16" x14ac:dyDescent="0.25">
      <c r="A69">
        <v>67</v>
      </c>
      <c r="B69" t="s">
        <v>51</v>
      </c>
      <c r="C69" t="s">
        <v>4</v>
      </c>
      <c r="D69" s="1">
        <v>45530</v>
      </c>
      <c r="E69" t="s">
        <v>86</v>
      </c>
      <c r="F69" t="s">
        <v>87</v>
      </c>
      <c r="G69" t="s">
        <v>64</v>
      </c>
      <c r="H69">
        <v>-5.0999999999999996</v>
      </c>
      <c r="J69">
        <f t="shared" si="5"/>
        <v>-5.0999999999999996</v>
      </c>
      <c r="K69">
        <v>18935.669999999998</v>
      </c>
      <c r="L69">
        <f t="shared" si="6"/>
        <v>-5.0999999999999996</v>
      </c>
      <c r="M69">
        <f t="shared" si="7"/>
        <v>18935.670000000002</v>
      </c>
      <c r="N69" s="3">
        <f t="shared" si="8"/>
        <v>0</v>
      </c>
      <c r="O69" t="s">
        <v>65</v>
      </c>
      <c r="P69" t="s">
        <v>32</v>
      </c>
    </row>
    <row r="70" spans="1:16" x14ac:dyDescent="0.25">
      <c r="A70">
        <v>68</v>
      </c>
      <c r="B70" t="s">
        <v>51</v>
      </c>
      <c r="C70" t="s">
        <v>4</v>
      </c>
      <c r="D70" s="1">
        <v>45533</v>
      </c>
      <c r="E70" t="s">
        <v>80</v>
      </c>
      <c r="F70" t="s">
        <v>81</v>
      </c>
      <c r="G70" t="s">
        <v>54</v>
      </c>
      <c r="H70">
        <v>1200</v>
      </c>
      <c r="I70">
        <f>IF(H70&gt;0,H70,"")</f>
        <v>1200</v>
      </c>
      <c r="K70">
        <v>20135.669999999998</v>
      </c>
      <c r="L70">
        <f t="shared" si="6"/>
        <v>1200</v>
      </c>
      <c r="M70">
        <f t="shared" si="7"/>
        <v>20135.669999999998</v>
      </c>
      <c r="N70" s="3">
        <f t="shared" si="8"/>
        <v>0</v>
      </c>
      <c r="O70" t="s">
        <v>69</v>
      </c>
      <c r="P70" t="s">
        <v>21</v>
      </c>
    </row>
    <row r="71" spans="1:16" x14ac:dyDescent="0.25">
      <c r="A71">
        <v>69</v>
      </c>
      <c r="B71" t="s">
        <v>51</v>
      </c>
      <c r="C71" t="s">
        <v>4</v>
      </c>
      <c r="D71" s="1">
        <v>45533</v>
      </c>
      <c r="E71" t="s">
        <v>52</v>
      </c>
      <c r="F71" t="s">
        <v>70</v>
      </c>
      <c r="G71" t="s">
        <v>54</v>
      </c>
      <c r="H71">
        <v>-2000</v>
      </c>
      <c r="J71">
        <f>IF(H71&lt;0,H71,"")</f>
        <v>-2000</v>
      </c>
      <c r="K71">
        <v>18135.669999999998</v>
      </c>
      <c r="L71">
        <f t="shared" si="6"/>
        <v>-2000</v>
      </c>
      <c r="M71">
        <f t="shared" si="7"/>
        <v>18135.669999999998</v>
      </c>
      <c r="N71" s="3">
        <f t="shared" si="8"/>
        <v>0</v>
      </c>
      <c r="O71" t="s">
        <v>71</v>
      </c>
      <c r="P71" t="s">
        <v>15</v>
      </c>
    </row>
    <row r="72" spans="1:16" x14ac:dyDescent="0.25">
      <c r="A72">
        <v>70</v>
      </c>
      <c r="B72" t="s">
        <v>51</v>
      </c>
      <c r="C72" t="s">
        <v>4</v>
      </c>
      <c r="D72" s="1">
        <v>45537</v>
      </c>
      <c r="E72" t="s">
        <v>52</v>
      </c>
      <c r="F72" t="s">
        <v>53</v>
      </c>
      <c r="G72" t="s">
        <v>54</v>
      </c>
      <c r="H72">
        <v>-1000</v>
      </c>
      <c r="J72">
        <f>IF(H72&lt;0,H72,"")</f>
        <v>-1000</v>
      </c>
      <c r="K72">
        <v>17135.669999999998</v>
      </c>
      <c r="L72">
        <f t="shared" si="6"/>
        <v>-1000</v>
      </c>
      <c r="M72">
        <f t="shared" si="7"/>
        <v>17135.669999999998</v>
      </c>
      <c r="N72" s="3">
        <f t="shared" si="8"/>
        <v>0</v>
      </c>
      <c r="O72" t="s">
        <v>55</v>
      </c>
      <c r="P72" t="s">
        <v>14</v>
      </c>
    </row>
    <row r="73" spans="1:16" x14ac:dyDescent="0.25">
      <c r="A73">
        <v>71</v>
      </c>
      <c r="B73" t="s">
        <v>51</v>
      </c>
      <c r="C73" t="s">
        <v>4</v>
      </c>
      <c r="D73" s="1">
        <v>45537</v>
      </c>
      <c r="E73" t="s">
        <v>59</v>
      </c>
      <c r="F73">
        <v>87201</v>
      </c>
      <c r="G73" t="s">
        <v>60</v>
      </c>
      <c r="H73">
        <v>-72</v>
      </c>
      <c r="J73">
        <f>IF(H73&lt;0,H73,"")</f>
        <v>-72</v>
      </c>
      <c r="K73">
        <v>17063.669999999998</v>
      </c>
      <c r="L73">
        <f t="shared" si="6"/>
        <v>-72</v>
      </c>
      <c r="M73">
        <f t="shared" si="7"/>
        <v>17063.669999999998</v>
      </c>
      <c r="N73" s="3">
        <f t="shared" si="8"/>
        <v>0</v>
      </c>
      <c r="O73" t="s">
        <v>61</v>
      </c>
      <c r="P73" t="s">
        <v>5</v>
      </c>
    </row>
    <row r="74" spans="1:16" x14ac:dyDescent="0.25">
      <c r="A74">
        <v>72</v>
      </c>
      <c r="B74" t="s">
        <v>51</v>
      </c>
      <c r="C74" t="s">
        <v>4</v>
      </c>
      <c r="D74" s="1">
        <v>45540</v>
      </c>
      <c r="E74" t="s">
        <v>62</v>
      </c>
      <c r="F74" t="s">
        <v>63</v>
      </c>
      <c r="G74" t="s">
        <v>64</v>
      </c>
      <c r="H74">
        <v>-7</v>
      </c>
      <c r="J74">
        <f>IF(H74&lt;0,H74,"")</f>
        <v>-7</v>
      </c>
      <c r="K74">
        <v>17056.669999999998</v>
      </c>
      <c r="L74">
        <f t="shared" si="6"/>
        <v>-7</v>
      </c>
      <c r="M74">
        <f t="shared" si="7"/>
        <v>17056.669999999998</v>
      </c>
      <c r="N74" s="3">
        <f t="shared" si="8"/>
        <v>0</v>
      </c>
      <c r="O74" t="s">
        <v>65</v>
      </c>
      <c r="P74" t="s">
        <v>32</v>
      </c>
    </row>
    <row r="75" spans="1:16" x14ac:dyDescent="0.25">
      <c r="A75">
        <v>73</v>
      </c>
      <c r="B75" t="s">
        <v>51</v>
      </c>
      <c r="C75" t="s">
        <v>4</v>
      </c>
      <c r="D75" s="1">
        <v>45540</v>
      </c>
      <c r="E75" t="s">
        <v>86</v>
      </c>
      <c r="F75" t="s">
        <v>87</v>
      </c>
      <c r="G75" t="s">
        <v>64</v>
      </c>
      <c r="H75">
        <v>-2.1</v>
      </c>
      <c r="J75">
        <f>IF(H75&lt;0,H75,"")</f>
        <v>-2.1</v>
      </c>
      <c r="K75">
        <v>17054.57</v>
      </c>
      <c r="L75">
        <f t="shared" si="6"/>
        <v>-2.1</v>
      </c>
      <c r="M75">
        <f t="shared" si="7"/>
        <v>17054.57</v>
      </c>
      <c r="N75" s="3">
        <f t="shared" si="8"/>
        <v>0</v>
      </c>
      <c r="O75" t="s">
        <v>65</v>
      </c>
      <c r="P75" t="s">
        <v>32</v>
      </c>
    </row>
    <row r="76" spans="1:16" x14ac:dyDescent="0.25">
      <c r="A76">
        <v>74</v>
      </c>
      <c r="B76" t="s">
        <v>51</v>
      </c>
      <c r="C76" t="s">
        <v>4</v>
      </c>
      <c r="D76" s="1">
        <v>45541</v>
      </c>
      <c r="E76" t="s">
        <v>66</v>
      </c>
      <c r="F76" t="s">
        <v>67</v>
      </c>
      <c r="G76" t="s">
        <v>68</v>
      </c>
      <c r="H76">
        <v>3825</v>
      </c>
      <c r="I76">
        <f>IF(H76&gt;0,H76,"")</f>
        <v>3825</v>
      </c>
      <c r="K76">
        <v>20879.57</v>
      </c>
      <c r="L76">
        <f t="shared" si="6"/>
        <v>3825</v>
      </c>
      <c r="M76">
        <f t="shared" si="7"/>
        <v>20879.57</v>
      </c>
      <c r="N76" s="3">
        <f t="shared" si="8"/>
        <v>0</v>
      </c>
      <c r="O76" t="s">
        <v>69</v>
      </c>
      <c r="P76" t="s">
        <v>21</v>
      </c>
    </row>
    <row r="77" spans="1:16" x14ac:dyDescent="0.25">
      <c r="A77">
        <v>75</v>
      </c>
      <c r="B77" t="s">
        <v>51</v>
      </c>
      <c r="C77" t="s">
        <v>4</v>
      </c>
      <c r="D77" s="1">
        <v>45543</v>
      </c>
      <c r="E77" t="s">
        <v>86</v>
      </c>
      <c r="F77" t="s">
        <v>87</v>
      </c>
      <c r="G77" t="s">
        <v>64</v>
      </c>
      <c r="H77">
        <v>-4.0999999999999996</v>
      </c>
      <c r="J77">
        <f>IF(H77&lt;0,H77,"")</f>
        <v>-4.0999999999999996</v>
      </c>
      <c r="K77">
        <v>20875.47</v>
      </c>
      <c r="L77">
        <f t="shared" si="6"/>
        <v>-4.0999999999999996</v>
      </c>
      <c r="M77">
        <f t="shared" si="7"/>
        <v>20875.47</v>
      </c>
      <c r="N77" s="3">
        <f t="shared" si="8"/>
        <v>0</v>
      </c>
      <c r="O77" t="s">
        <v>65</v>
      </c>
      <c r="P77" t="s">
        <v>32</v>
      </c>
    </row>
    <row r="78" spans="1:16" x14ac:dyDescent="0.25">
      <c r="A78">
        <v>76</v>
      </c>
      <c r="B78" t="s">
        <v>51</v>
      </c>
      <c r="C78" t="s">
        <v>4</v>
      </c>
      <c r="D78" s="1">
        <v>45543</v>
      </c>
      <c r="E78" t="s">
        <v>86</v>
      </c>
      <c r="F78" t="s">
        <v>87</v>
      </c>
      <c r="G78" t="s">
        <v>64</v>
      </c>
      <c r="H78">
        <v>-5.0999999999999996</v>
      </c>
      <c r="J78">
        <f>IF(H78&lt;0,H78,"")</f>
        <v>-5.0999999999999996</v>
      </c>
      <c r="K78">
        <v>20870.37</v>
      </c>
      <c r="L78">
        <f t="shared" si="6"/>
        <v>-5.0999999999999996</v>
      </c>
      <c r="M78">
        <f t="shared" si="7"/>
        <v>20870.370000000003</v>
      </c>
      <c r="N78" s="3">
        <f t="shared" si="8"/>
        <v>0</v>
      </c>
      <c r="O78" t="s">
        <v>65</v>
      </c>
      <c r="P78" t="s">
        <v>32</v>
      </c>
    </row>
    <row r="79" spans="1:16" x14ac:dyDescent="0.25">
      <c r="A79">
        <v>77</v>
      </c>
      <c r="B79" t="s">
        <v>51</v>
      </c>
      <c r="C79" t="s">
        <v>4</v>
      </c>
      <c r="D79" s="1">
        <v>45544</v>
      </c>
      <c r="E79" t="s">
        <v>95</v>
      </c>
      <c r="F79" t="s">
        <v>96</v>
      </c>
      <c r="G79" t="s">
        <v>54</v>
      </c>
      <c r="H79">
        <v>900</v>
      </c>
      <c r="I79">
        <f>IF(H79&gt;0,H79,"")</f>
        <v>900</v>
      </c>
      <c r="K79">
        <v>21770.37</v>
      </c>
      <c r="L79">
        <f t="shared" si="6"/>
        <v>900</v>
      </c>
      <c r="M79">
        <f t="shared" si="7"/>
        <v>21770.37</v>
      </c>
      <c r="N79" s="3">
        <f t="shared" si="8"/>
        <v>0</v>
      </c>
      <c r="O79" t="s">
        <v>69</v>
      </c>
      <c r="P79" t="s">
        <v>21</v>
      </c>
    </row>
    <row r="80" spans="1:16" x14ac:dyDescent="0.25">
      <c r="A80">
        <v>78</v>
      </c>
      <c r="B80" t="s">
        <v>51</v>
      </c>
      <c r="C80" t="s">
        <v>4</v>
      </c>
      <c r="D80" s="1">
        <v>45546</v>
      </c>
      <c r="E80" t="s">
        <v>66</v>
      </c>
      <c r="F80" t="s">
        <v>67</v>
      </c>
      <c r="G80" t="s">
        <v>68</v>
      </c>
      <c r="H80">
        <v>1826</v>
      </c>
      <c r="I80">
        <f>IF(H80&gt;0,H80,"")</f>
        <v>1826</v>
      </c>
      <c r="K80">
        <v>23596.37</v>
      </c>
      <c r="L80">
        <f t="shared" si="6"/>
        <v>1826</v>
      </c>
      <c r="M80">
        <f t="shared" si="7"/>
        <v>23596.37</v>
      </c>
      <c r="N80" s="3">
        <f t="shared" si="8"/>
        <v>0</v>
      </c>
      <c r="O80" t="s">
        <v>69</v>
      </c>
      <c r="P80" t="s">
        <v>21</v>
      </c>
    </row>
    <row r="81" spans="1:16" x14ac:dyDescent="0.25">
      <c r="A81">
        <v>79</v>
      </c>
      <c r="B81" t="s">
        <v>51</v>
      </c>
      <c r="C81" t="s">
        <v>4</v>
      </c>
      <c r="D81" s="1">
        <v>45548</v>
      </c>
      <c r="E81" t="s">
        <v>97</v>
      </c>
      <c r="F81" t="s">
        <v>101</v>
      </c>
      <c r="G81" t="s">
        <v>68</v>
      </c>
      <c r="H81">
        <v>375</v>
      </c>
      <c r="I81">
        <f>IF(H81&gt;0,H81,"")</f>
        <v>375</v>
      </c>
      <c r="K81">
        <v>23971.37</v>
      </c>
      <c r="L81">
        <f t="shared" si="6"/>
        <v>375</v>
      </c>
      <c r="M81">
        <f t="shared" si="7"/>
        <v>23971.37</v>
      </c>
      <c r="N81" s="3">
        <f t="shared" si="8"/>
        <v>0</v>
      </c>
      <c r="O81" t="s">
        <v>69</v>
      </c>
      <c r="P81" t="s">
        <v>21</v>
      </c>
    </row>
    <row r="82" spans="1:16" x14ac:dyDescent="0.25">
      <c r="A82">
        <v>80</v>
      </c>
      <c r="B82" t="s">
        <v>51</v>
      </c>
      <c r="C82" t="s">
        <v>4</v>
      </c>
      <c r="D82" s="1">
        <v>45548</v>
      </c>
      <c r="E82" t="s">
        <v>86</v>
      </c>
      <c r="F82" t="s">
        <v>87</v>
      </c>
      <c r="G82" t="s">
        <v>64</v>
      </c>
      <c r="H82">
        <v>-5.6</v>
      </c>
      <c r="J82">
        <f>IF(H82&lt;0,H82,"")</f>
        <v>-5.6</v>
      </c>
      <c r="K82">
        <v>23965.77</v>
      </c>
      <c r="L82">
        <f t="shared" si="6"/>
        <v>-5.6</v>
      </c>
      <c r="M82">
        <f t="shared" si="7"/>
        <v>23965.77</v>
      </c>
      <c r="N82" s="3">
        <f t="shared" si="8"/>
        <v>0</v>
      </c>
      <c r="O82" t="s">
        <v>65</v>
      </c>
      <c r="P82" t="s">
        <v>32</v>
      </c>
    </row>
    <row r="83" spans="1:16" x14ac:dyDescent="0.25">
      <c r="A83">
        <v>81</v>
      </c>
      <c r="B83" t="s">
        <v>51</v>
      </c>
      <c r="C83" t="s">
        <v>4</v>
      </c>
      <c r="D83" s="1">
        <v>45551</v>
      </c>
      <c r="E83" t="s">
        <v>86</v>
      </c>
      <c r="F83" t="s">
        <v>87</v>
      </c>
      <c r="G83" t="s">
        <v>64</v>
      </c>
      <c r="H83">
        <v>-4.0999999999999996</v>
      </c>
      <c r="J83">
        <f>IF(H83&lt;0,H83,"")</f>
        <v>-4.0999999999999996</v>
      </c>
      <c r="K83">
        <v>23961.67</v>
      </c>
      <c r="L83">
        <f t="shared" si="6"/>
        <v>-4.0999999999999996</v>
      </c>
      <c r="M83">
        <f t="shared" si="7"/>
        <v>23961.670000000002</v>
      </c>
      <c r="N83" s="3">
        <f t="shared" si="8"/>
        <v>0</v>
      </c>
      <c r="O83" t="s">
        <v>65</v>
      </c>
      <c r="P83" t="s">
        <v>32</v>
      </c>
    </row>
    <row r="84" spans="1:16" x14ac:dyDescent="0.25">
      <c r="A84">
        <v>82</v>
      </c>
      <c r="B84" t="s">
        <v>51</v>
      </c>
      <c r="C84" t="s">
        <v>4</v>
      </c>
      <c r="D84" s="1">
        <v>45551</v>
      </c>
      <c r="E84" t="s">
        <v>86</v>
      </c>
      <c r="F84" t="s">
        <v>87</v>
      </c>
      <c r="G84" t="s">
        <v>64</v>
      </c>
      <c r="H84">
        <v>-5.0999999999999996</v>
      </c>
      <c r="J84">
        <f>IF(H84&lt;0,H84,"")</f>
        <v>-5.0999999999999996</v>
      </c>
      <c r="K84">
        <v>23956.57</v>
      </c>
      <c r="L84">
        <f t="shared" si="6"/>
        <v>-5.0999999999999996</v>
      </c>
      <c r="M84">
        <f t="shared" si="7"/>
        <v>23956.57</v>
      </c>
      <c r="N84" s="3">
        <f t="shared" si="8"/>
        <v>0</v>
      </c>
      <c r="O84" t="s">
        <v>65</v>
      </c>
      <c r="P84" t="s">
        <v>32</v>
      </c>
    </row>
    <row r="85" spans="1:16" x14ac:dyDescent="0.25">
      <c r="A85">
        <v>83</v>
      </c>
      <c r="B85" t="s">
        <v>51</v>
      </c>
      <c r="C85" t="s">
        <v>4</v>
      </c>
      <c r="D85" s="1">
        <v>45555</v>
      </c>
      <c r="E85" t="s">
        <v>86</v>
      </c>
      <c r="F85" t="s">
        <v>87</v>
      </c>
      <c r="G85" t="s">
        <v>64</v>
      </c>
      <c r="H85">
        <v>-1.6</v>
      </c>
      <c r="J85">
        <f>IF(H85&lt;0,H85,"")</f>
        <v>-1.6</v>
      </c>
      <c r="K85">
        <v>23954.97</v>
      </c>
      <c r="L85">
        <f t="shared" si="6"/>
        <v>-1.6</v>
      </c>
      <c r="M85">
        <f t="shared" si="7"/>
        <v>23954.97</v>
      </c>
      <c r="N85" s="3">
        <f t="shared" si="8"/>
        <v>0</v>
      </c>
      <c r="O85" t="s">
        <v>65</v>
      </c>
      <c r="P85" t="s">
        <v>32</v>
      </c>
    </row>
    <row r="86" spans="1:16" x14ac:dyDescent="0.25">
      <c r="A86">
        <v>84</v>
      </c>
      <c r="B86" t="s">
        <v>51</v>
      </c>
      <c r="C86" t="s">
        <v>4</v>
      </c>
      <c r="D86" s="1">
        <v>45559</v>
      </c>
      <c r="E86" t="s">
        <v>80</v>
      </c>
      <c r="F86" t="s">
        <v>81</v>
      </c>
      <c r="G86" t="s">
        <v>54</v>
      </c>
      <c r="H86">
        <v>200</v>
      </c>
      <c r="I86">
        <f>IF(H86&gt;0,H86,"")</f>
        <v>200</v>
      </c>
      <c r="K86">
        <v>24154.97</v>
      </c>
      <c r="L86">
        <f t="shared" si="6"/>
        <v>200</v>
      </c>
      <c r="M86">
        <f t="shared" si="7"/>
        <v>24154.97</v>
      </c>
      <c r="N86" s="3">
        <f t="shared" si="8"/>
        <v>0</v>
      </c>
      <c r="O86" t="s">
        <v>69</v>
      </c>
      <c r="P86" t="s">
        <v>21</v>
      </c>
    </row>
    <row r="87" spans="1:16" x14ac:dyDescent="0.25">
      <c r="A87">
        <v>85</v>
      </c>
      <c r="B87" t="s">
        <v>51</v>
      </c>
      <c r="C87" t="s">
        <v>4</v>
      </c>
      <c r="D87" s="1">
        <v>45563</v>
      </c>
      <c r="E87" t="s">
        <v>84</v>
      </c>
      <c r="F87" t="s">
        <v>90</v>
      </c>
      <c r="G87" t="s">
        <v>54</v>
      </c>
      <c r="H87">
        <v>-48</v>
      </c>
      <c r="J87">
        <f t="shared" ref="J87:J93" si="9">IF(H87&lt;0,H87,"")</f>
        <v>-48</v>
      </c>
      <c r="K87">
        <v>24106.97</v>
      </c>
      <c r="L87">
        <f t="shared" si="6"/>
        <v>-48</v>
      </c>
      <c r="M87">
        <f t="shared" si="7"/>
        <v>24106.97</v>
      </c>
      <c r="N87" s="3">
        <f t="shared" si="8"/>
        <v>0</v>
      </c>
      <c r="O87" t="s">
        <v>61</v>
      </c>
      <c r="P87" t="s">
        <v>7</v>
      </c>
    </row>
    <row r="88" spans="1:16" x14ac:dyDescent="0.25">
      <c r="A88">
        <v>86</v>
      </c>
      <c r="B88" t="s">
        <v>51</v>
      </c>
      <c r="C88" t="s">
        <v>4</v>
      </c>
      <c r="D88" s="1">
        <v>45563</v>
      </c>
      <c r="E88" t="s">
        <v>91</v>
      </c>
      <c r="F88" t="s">
        <v>92</v>
      </c>
      <c r="G88" t="s">
        <v>93</v>
      </c>
      <c r="H88">
        <v>-1500</v>
      </c>
      <c r="J88">
        <f t="shared" si="9"/>
        <v>-1500</v>
      </c>
      <c r="K88">
        <v>22606.97</v>
      </c>
      <c r="L88">
        <f t="shared" si="6"/>
        <v>-1500</v>
      </c>
      <c r="M88">
        <f t="shared" si="7"/>
        <v>22606.97</v>
      </c>
      <c r="N88" s="3">
        <f t="shared" si="8"/>
        <v>0</v>
      </c>
      <c r="O88" t="s">
        <v>94</v>
      </c>
      <c r="P88" t="s">
        <v>27</v>
      </c>
    </row>
    <row r="89" spans="1:16" x14ac:dyDescent="0.25">
      <c r="A89">
        <v>87</v>
      </c>
      <c r="B89" t="s">
        <v>51</v>
      </c>
      <c r="C89" t="s">
        <v>4</v>
      </c>
      <c r="D89" s="1">
        <v>45565</v>
      </c>
      <c r="E89" t="s">
        <v>86</v>
      </c>
      <c r="F89" t="s">
        <v>87</v>
      </c>
      <c r="G89" t="s">
        <v>64</v>
      </c>
      <c r="H89">
        <v>-5.6</v>
      </c>
      <c r="J89">
        <f t="shared" si="9"/>
        <v>-5.6</v>
      </c>
      <c r="K89">
        <v>22601.37</v>
      </c>
      <c r="L89">
        <f t="shared" si="6"/>
        <v>-5.6</v>
      </c>
      <c r="M89">
        <f t="shared" si="7"/>
        <v>22601.370000000003</v>
      </c>
      <c r="N89" s="3">
        <f t="shared" si="8"/>
        <v>0</v>
      </c>
      <c r="O89" t="s">
        <v>65</v>
      </c>
      <c r="P89" t="s">
        <v>32</v>
      </c>
    </row>
    <row r="90" spans="1:16" x14ac:dyDescent="0.25">
      <c r="A90">
        <v>88</v>
      </c>
      <c r="B90" t="s">
        <v>51</v>
      </c>
      <c r="C90" t="s">
        <v>4</v>
      </c>
      <c r="D90" s="1">
        <v>45566</v>
      </c>
      <c r="E90" t="s">
        <v>88</v>
      </c>
      <c r="F90" t="s">
        <v>89</v>
      </c>
      <c r="G90" t="s">
        <v>60</v>
      </c>
      <c r="H90">
        <v>-316</v>
      </c>
      <c r="J90">
        <f t="shared" si="9"/>
        <v>-316</v>
      </c>
      <c r="K90">
        <v>22285.37</v>
      </c>
      <c r="L90">
        <f t="shared" si="6"/>
        <v>-316</v>
      </c>
      <c r="M90">
        <f t="shared" si="7"/>
        <v>22285.37</v>
      </c>
      <c r="N90" s="3">
        <f t="shared" si="8"/>
        <v>0</v>
      </c>
      <c r="O90" t="s">
        <v>61</v>
      </c>
      <c r="P90" t="s">
        <v>9</v>
      </c>
    </row>
    <row r="91" spans="1:16" x14ac:dyDescent="0.25">
      <c r="A91">
        <v>89</v>
      </c>
      <c r="B91" t="s">
        <v>51</v>
      </c>
      <c r="C91" t="s">
        <v>4</v>
      </c>
      <c r="D91" s="1">
        <v>45566</v>
      </c>
      <c r="E91" t="s">
        <v>59</v>
      </c>
      <c r="F91">
        <v>87201</v>
      </c>
      <c r="G91" t="s">
        <v>60</v>
      </c>
      <c r="H91">
        <v>-72</v>
      </c>
      <c r="J91">
        <f t="shared" si="9"/>
        <v>-72</v>
      </c>
      <c r="K91">
        <v>22213.37</v>
      </c>
      <c r="L91">
        <f t="shared" si="6"/>
        <v>-72</v>
      </c>
      <c r="M91">
        <f t="shared" si="7"/>
        <v>22213.37</v>
      </c>
      <c r="N91" s="3">
        <f t="shared" si="8"/>
        <v>0</v>
      </c>
      <c r="O91" t="s">
        <v>61</v>
      </c>
      <c r="P91" t="s">
        <v>5</v>
      </c>
    </row>
    <row r="92" spans="1:16" x14ac:dyDescent="0.25">
      <c r="A92">
        <v>90</v>
      </c>
      <c r="B92" t="s">
        <v>51</v>
      </c>
      <c r="C92" t="s">
        <v>4</v>
      </c>
      <c r="D92" s="1">
        <v>45566</v>
      </c>
      <c r="E92" t="s">
        <v>52</v>
      </c>
      <c r="F92" t="s">
        <v>53</v>
      </c>
      <c r="G92" t="s">
        <v>54</v>
      </c>
      <c r="H92">
        <v>-1000</v>
      </c>
      <c r="J92">
        <f t="shared" si="9"/>
        <v>-1000</v>
      </c>
      <c r="K92">
        <v>21213.37</v>
      </c>
      <c r="L92">
        <f t="shared" si="6"/>
        <v>-1000</v>
      </c>
      <c r="M92">
        <f t="shared" si="7"/>
        <v>21213.37</v>
      </c>
      <c r="N92" s="3">
        <f t="shared" si="8"/>
        <v>0</v>
      </c>
      <c r="O92" t="s">
        <v>55</v>
      </c>
      <c r="P92" t="s">
        <v>14</v>
      </c>
    </row>
    <row r="93" spans="1:16" x14ac:dyDescent="0.25">
      <c r="A93">
        <v>91</v>
      </c>
      <c r="B93" t="s">
        <v>51</v>
      </c>
      <c r="C93" t="s">
        <v>4</v>
      </c>
      <c r="D93" s="1">
        <v>45573</v>
      </c>
      <c r="E93" t="s">
        <v>86</v>
      </c>
      <c r="F93" t="s">
        <v>87</v>
      </c>
      <c r="G93" t="s">
        <v>64</v>
      </c>
      <c r="H93">
        <v>-2.1</v>
      </c>
      <c r="J93">
        <f t="shared" si="9"/>
        <v>-2.1</v>
      </c>
      <c r="K93">
        <v>21211.27</v>
      </c>
      <c r="L93">
        <f t="shared" si="6"/>
        <v>-2.1</v>
      </c>
      <c r="M93">
        <f t="shared" si="7"/>
        <v>21211.27</v>
      </c>
      <c r="N93" s="3">
        <f t="shared" si="8"/>
        <v>0</v>
      </c>
      <c r="O93" t="s">
        <v>65</v>
      </c>
      <c r="P93" t="s">
        <v>32</v>
      </c>
    </row>
    <row r="94" spans="1:16" x14ac:dyDescent="0.25">
      <c r="A94">
        <v>92</v>
      </c>
      <c r="B94" t="s">
        <v>51</v>
      </c>
      <c r="C94" t="s">
        <v>4</v>
      </c>
      <c r="D94" s="1">
        <v>45574</v>
      </c>
      <c r="E94" t="s">
        <v>66</v>
      </c>
      <c r="F94" t="s">
        <v>67</v>
      </c>
      <c r="G94" t="s">
        <v>68</v>
      </c>
      <c r="H94">
        <v>3400</v>
      </c>
      <c r="I94">
        <f>IF(H94&gt;0,H94,"")</f>
        <v>3400</v>
      </c>
      <c r="K94">
        <v>24611.27</v>
      </c>
      <c r="L94">
        <f t="shared" si="6"/>
        <v>3400</v>
      </c>
      <c r="M94">
        <f t="shared" si="7"/>
        <v>24611.27</v>
      </c>
      <c r="N94" s="3">
        <f t="shared" si="8"/>
        <v>0</v>
      </c>
      <c r="O94" t="s">
        <v>69</v>
      </c>
      <c r="P94" t="s">
        <v>21</v>
      </c>
    </row>
    <row r="95" spans="1:16" x14ac:dyDescent="0.25">
      <c r="A95">
        <v>93</v>
      </c>
      <c r="B95" t="s">
        <v>51</v>
      </c>
      <c r="C95" t="s">
        <v>4</v>
      </c>
      <c r="D95" s="1">
        <v>45574</v>
      </c>
      <c r="E95" t="s">
        <v>52</v>
      </c>
      <c r="F95" t="s">
        <v>70</v>
      </c>
      <c r="G95" t="s">
        <v>54</v>
      </c>
      <c r="H95">
        <v>-3000</v>
      </c>
      <c r="J95">
        <f>IF(H95&lt;0,H95,"")</f>
        <v>-3000</v>
      </c>
      <c r="K95">
        <v>21611.27</v>
      </c>
      <c r="L95">
        <f t="shared" si="6"/>
        <v>-3000</v>
      </c>
      <c r="M95">
        <f t="shared" si="7"/>
        <v>21611.27</v>
      </c>
      <c r="N95" s="3">
        <f t="shared" si="8"/>
        <v>0</v>
      </c>
      <c r="O95" t="s">
        <v>71</v>
      </c>
      <c r="P95" t="s">
        <v>15</v>
      </c>
    </row>
    <row r="96" spans="1:16" x14ac:dyDescent="0.25">
      <c r="A96">
        <v>94</v>
      </c>
      <c r="B96" t="s">
        <v>51</v>
      </c>
      <c r="C96" t="s">
        <v>4</v>
      </c>
      <c r="D96" s="1">
        <v>45579</v>
      </c>
      <c r="E96" t="s">
        <v>66</v>
      </c>
      <c r="F96" t="s">
        <v>67</v>
      </c>
      <c r="G96" t="s">
        <v>68</v>
      </c>
      <c r="H96">
        <v>1275</v>
      </c>
      <c r="I96">
        <f>IF(H96&gt;0,H96,"")</f>
        <v>1275</v>
      </c>
      <c r="K96">
        <v>22886.27</v>
      </c>
      <c r="L96">
        <f t="shared" si="6"/>
        <v>1275</v>
      </c>
      <c r="M96">
        <f t="shared" si="7"/>
        <v>22886.27</v>
      </c>
      <c r="N96" s="3">
        <f t="shared" si="8"/>
        <v>0</v>
      </c>
      <c r="O96" t="s">
        <v>69</v>
      </c>
      <c r="P96" t="s">
        <v>21</v>
      </c>
    </row>
    <row r="97" spans="1:16" x14ac:dyDescent="0.25">
      <c r="A97">
        <v>95</v>
      </c>
      <c r="B97" t="s">
        <v>51</v>
      </c>
      <c r="C97" t="s">
        <v>4</v>
      </c>
      <c r="D97" s="1">
        <v>45579</v>
      </c>
      <c r="E97" t="s">
        <v>95</v>
      </c>
      <c r="F97" t="s">
        <v>96</v>
      </c>
      <c r="G97" t="s">
        <v>54</v>
      </c>
      <c r="H97">
        <v>900</v>
      </c>
      <c r="I97">
        <f>IF(H97&gt;0,H97,"")</f>
        <v>900</v>
      </c>
      <c r="K97">
        <v>23786.27</v>
      </c>
      <c r="L97">
        <f t="shared" si="6"/>
        <v>900</v>
      </c>
      <c r="M97">
        <f t="shared" si="7"/>
        <v>23786.27</v>
      </c>
      <c r="N97" s="3">
        <f t="shared" si="8"/>
        <v>0</v>
      </c>
      <c r="O97" t="s">
        <v>69</v>
      </c>
      <c r="P97" t="s">
        <v>21</v>
      </c>
    </row>
    <row r="98" spans="1:16" x14ac:dyDescent="0.25">
      <c r="A98">
        <v>96</v>
      </c>
      <c r="B98" t="s">
        <v>51</v>
      </c>
      <c r="C98" t="s">
        <v>4</v>
      </c>
      <c r="D98" s="1">
        <v>45580</v>
      </c>
      <c r="E98" t="s">
        <v>102</v>
      </c>
      <c r="F98" t="s">
        <v>103</v>
      </c>
      <c r="G98" t="s">
        <v>93</v>
      </c>
      <c r="H98">
        <v>-428.77</v>
      </c>
      <c r="J98">
        <f>IF(H98&lt;0,H98,"")</f>
        <v>-428.77</v>
      </c>
      <c r="K98">
        <v>23357.5</v>
      </c>
      <c r="L98">
        <f t="shared" si="6"/>
        <v>-428.77</v>
      </c>
      <c r="M98">
        <f t="shared" si="7"/>
        <v>23357.5</v>
      </c>
      <c r="N98" s="3">
        <f t="shared" si="8"/>
        <v>0</v>
      </c>
      <c r="O98" t="s">
        <v>104</v>
      </c>
      <c r="P98" t="s">
        <v>11</v>
      </c>
    </row>
    <row r="99" spans="1:16" x14ac:dyDescent="0.25">
      <c r="A99">
        <v>97</v>
      </c>
      <c r="B99" t="s">
        <v>51</v>
      </c>
      <c r="C99" t="s">
        <v>4</v>
      </c>
      <c r="D99" s="1">
        <v>45581</v>
      </c>
      <c r="E99" t="s">
        <v>105</v>
      </c>
      <c r="F99" t="s">
        <v>106</v>
      </c>
      <c r="G99" t="s">
        <v>64</v>
      </c>
      <c r="H99">
        <v>-16.2</v>
      </c>
      <c r="J99">
        <f>IF(H99&lt;0,H99,"")</f>
        <v>-16.2</v>
      </c>
      <c r="K99">
        <v>23341.3</v>
      </c>
      <c r="L99">
        <f t="shared" ref="L99:L130" si="10">I99+J99</f>
        <v>-16.2</v>
      </c>
      <c r="M99">
        <f t="shared" ref="M99:M130" si="11">K98+L99</f>
        <v>23341.3</v>
      </c>
      <c r="N99" s="3">
        <f t="shared" si="8"/>
        <v>0</v>
      </c>
      <c r="O99" t="s">
        <v>73</v>
      </c>
      <c r="P99" t="s">
        <v>22</v>
      </c>
    </row>
    <row r="100" spans="1:16" x14ac:dyDescent="0.25">
      <c r="A100">
        <v>98</v>
      </c>
      <c r="B100" t="s">
        <v>51</v>
      </c>
      <c r="C100" t="s">
        <v>4</v>
      </c>
      <c r="D100" s="1">
        <v>45582</v>
      </c>
      <c r="E100" t="s">
        <v>86</v>
      </c>
      <c r="F100" t="s">
        <v>87</v>
      </c>
      <c r="G100" t="s">
        <v>64</v>
      </c>
      <c r="H100">
        <v>-6.1</v>
      </c>
      <c r="J100">
        <f>IF(H100&lt;0,H100,"")</f>
        <v>-6.1</v>
      </c>
      <c r="K100">
        <v>23335.200000000001</v>
      </c>
      <c r="L100">
        <f t="shared" si="10"/>
        <v>-6.1</v>
      </c>
      <c r="M100">
        <f t="shared" si="11"/>
        <v>23335.200000000001</v>
      </c>
      <c r="N100" s="3">
        <f t="shared" si="8"/>
        <v>0</v>
      </c>
      <c r="O100" t="s">
        <v>65</v>
      </c>
      <c r="P100" t="s">
        <v>32</v>
      </c>
    </row>
    <row r="101" spans="1:16" x14ac:dyDescent="0.25">
      <c r="A101">
        <v>99</v>
      </c>
      <c r="B101" t="s">
        <v>51</v>
      </c>
      <c r="C101" t="s">
        <v>4</v>
      </c>
      <c r="D101" s="1">
        <v>45593</v>
      </c>
      <c r="E101" t="s">
        <v>84</v>
      </c>
      <c r="F101" t="s">
        <v>90</v>
      </c>
      <c r="G101" t="s">
        <v>54</v>
      </c>
      <c r="H101">
        <v>-48</v>
      </c>
      <c r="J101">
        <f>IF(H101&lt;0,H101,"")</f>
        <v>-48</v>
      </c>
      <c r="K101">
        <v>23287.200000000001</v>
      </c>
      <c r="L101">
        <f t="shared" si="10"/>
        <v>-48</v>
      </c>
      <c r="M101">
        <f t="shared" si="11"/>
        <v>23287.200000000001</v>
      </c>
      <c r="N101" s="3">
        <f t="shared" si="8"/>
        <v>0</v>
      </c>
      <c r="O101" t="s">
        <v>61</v>
      </c>
      <c r="P101" t="s">
        <v>7</v>
      </c>
    </row>
    <row r="102" spans="1:16" x14ac:dyDescent="0.25">
      <c r="A102">
        <v>100</v>
      </c>
      <c r="B102" t="s">
        <v>51</v>
      </c>
      <c r="C102" t="s">
        <v>4</v>
      </c>
      <c r="D102" s="1">
        <v>45593</v>
      </c>
      <c r="E102" t="s">
        <v>80</v>
      </c>
      <c r="F102" t="s">
        <v>81</v>
      </c>
      <c r="G102" t="s">
        <v>54</v>
      </c>
      <c r="H102">
        <v>600</v>
      </c>
      <c r="I102">
        <f>IF(H102&gt;0,H102,"")</f>
        <v>600</v>
      </c>
      <c r="K102">
        <v>23887.200000000001</v>
      </c>
      <c r="L102">
        <f t="shared" si="10"/>
        <v>600</v>
      </c>
      <c r="M102">
        <f t="shared" si="11"/>
        <v>23887.200000000001</v>
      </c>
      <c r="N102" s="3">
        <f t="shared" si="8"/>
        <v>0</v>
      </c>
      <c r="O102" t="s">
        <v>69</v>
      </c>
      <c r="P102" t="s">
        <v>21</v>
      </c>
    </row>
    <row r="103" spans="1:16" x14ac:dyDescent="0.25">
      <c r="A103">
        <v>101</v>
      </c>
      <c r="B103" t="s">
        <v>51</v>
      </c>
      <c r="C103" t="s">
        <v>4</v>
      </c>
      <c r="D103" s="1">
        <v>45597</v>
      </c>
      <c r="E103" t="s">
        <v>52</v>
      </c>
      <c r="F103" t="s">
        <v>53</v>
      </c>
      <c r="G103" t="s">
        <v>54</v>
      </c>
      <c r="H103">
        <v>-1000</v>
      </c>
      <c r="J103">
        <f>IF(H103&lt;0,H103,"")</f>
        <v>-1000</v>
      </c>
      <c r="K103">
        <v>22887.200000000001</v>
      </c>
      <c r="L103">
        <f t="shared" si="10"/>
        <v>-1000</v>
      </c>
      <c r="M103">
        <f t="shared" si="11"/>
        <v>22887.200000000001</v>
      </c>
      <c r="N103" s="3">
        <f t="shared" si="8"/>
        <v>0</v>
      </c>
      <c r="O103" t="s">
        <v>55</v>
      </c>
      <c r="P103" t="s">
        <v>14</v>
      </c>
    </row>
    <row r="104" spans="1:16" x14ac:dyDescent="0.25">
      <c r="A104">
        <v>102</v>
      </c>
      <c r="B104" t="s">
        <v>51</v>
      </c>
      <c r="C104" t="s">
        <v>4</v>
      </c>
      <c r="D104" s="1">
        <v>45602</v>
      </c>
      <c r="E104" t="s">
        <v>66</v>
      </c>
      <c r="F104" t="s">
        <v>67</v>
      </c>
      <c r="G104" t="s">
        <v>68</v>
      </c>
      <c r="H104">
        <v>5100</v>
      </c>
      <c r="I104">
        <f>IF(H104&gt;0,H104,"")</f>
        <v>5100</v>
      </c>
      <c r="K104">
        <v>27987.200000000001</v>
      </c>
      <c r="L104">
        <f t="shared" si="10"/>
        <v>5100</v>
      </c>
      <c r="M104">
        <f t="shared" si="11"/>
        <v>27987.200000000001</v>
      </c>
      <c r="N104" s="3">
        <f t="shared" si="8"/>
        <v>0</v>
      </c>
      <c r="O104" t="s">
        <v>69</v>
      </c>
      <c r="P104" t="s">
        <v>21</v>
      </c>
    </row>
    <row r="105" spans="1:16" x14ac:dyDescent="0.25">
      <c r="A105">
        <v>103</v>
      </c>
      <c r="B105" t="s">
        <v>51</v>
      </c>
      <c r="C105" t="s">
        <v>4</v>
      </c>
      <c r="D105" s="1">
        <v>45618</v>
      </c>
      <c r="E105" t="s">
        <v>66</v>
      </c>
      <c r="F105" t="s">
        <v>67</v>
      </c>
      <c r="G105" t="s">
        <v>68</v>
      </c>
      <c r="H105">
        <v>1700</v>
      </c>
      <c r="I105">
        <f>IF(H105&gt;0,H105,"")</f>
        <v>1700</v>
      </c>
      <c r="K105">
        <v>29687.200000000001</v>
      </c>
      <c r="L105">
        <f t="shared" si="10"/>
        <v>1700</v>
      </c>
      <c r="M105">
        <f t="shared" si="11"/>
        <v>29687.200000000001</v>
      </c>
      <c r="N105" s="3">
        <f t="shared" si="8"/>
        <v>0</v>
      </c>
      <c r="O105" t="s">
        <v>69</v>
      </c>
      <c r="P105" t="s">
        <v>21</v>
      </c>
    </row>
    <row r="106" spans="1:16" x14ac:dyDescent="0.25">
      <c r="A106">
        <v>104</v>
      </c>
      <c r="B106" t="s">
        <v>51</v>
      </c>
      <c r="C106" t="s">
        <v>4</v>
      </c>
      <c r="D106" s="1">
        <v>45620</v>
      </c>
      <c r="E106" t="s">
        <v>86</v>
      </c>
      <c r="F106" t="s">
        <v>87</v>
      </c>
      <c r="G106" t="s">
        <v>64</v>
      </c>
      <c r="H106">
        <v>-2.1</v>
      </c>
      <c r="J106">
        <f>IF(H106&lt;0,H106,"")</f>
        <v>-2.1</v>
      </c>
      <c r="K106">
        <v>29685.1</v>
      </c>
      <c r="L106">
        <f t="shared" si="10"/>
        <v>-2.1</v>
      </c>
      <c r="M106">
        <f t="shared" si="11"/>
        <v>29685.100000000002</v>
      </c>
      <c r="N106" s="3">
        <f t="shared" si="8"/>
        <v>0</v>
      </c>
      <c r="O106" t="s">
        <v>65</v>
      </c>
      <c r="P106" t="s">
        <v>32</v>
      </c>
    </row>
    <row r="107" spans="1:16" x14ac:dyDescent="0.25">
      <c r="A107">
        <v>105</v>
      </c>
      <c r="B107" t="s">
        <v>51</v>
      </c>
      <c r="C107" t="s">
        <v>4</v>
      </c>
      <c r="D107" s="1">
        <v>45622</v>
      </c>
      <c r="E107" t="s">
        <v>80</v>
      </c>
      <c r="F107" t="s">
        <v>81</v>
      </c>
      <c r="G107" t="s">
        <v>54</v>
      </c>
      <c r="H107">
        <v>600</v>
      </c>
      <c r="I107">
        <f>IF(H107&gt;0,H107,"")</f>
        <v>600</v>
      </c>
      <c r="K107">
        <v>30285.1</v>
      </c>
      <c r="L107">
        <f t="shared" si="10"/>
        <v>600</v>
      </c>
      <c r="M107">
        <f t="shared" si="11"/>
        <v>30285.1</v>
      </c>
      <c r="N107" s="3">
        <f t="shared" si="8"/>
        <v>0</v>
      </c>
      <c r="O107" t="s">
        <v>69</v>
      </c>
      <c r="P107" t="s">
        <v>21</v>
      </c>
    </row>
    <row r="108" spans="1:16" x14ac:dyDescent="0.25">
      <c r="A108">
        <v>106</v>
      </c>
      <c r="B108" t="s">
        <v>51</v>
      </c>
      <c r="C108" t="s">
        <v>4</v>
      </c>
      <c r="D108" s="1">
        <v>45622</v>
      </c>
      <c r="E108" t="s">
        <v>107</v>
      </c>
      <c r="F108" t="s">
        <v>70</v>
      </c>
      <c r="G108" t="s">
        <v>54</v>
      </c>
      <c r="H108">
        <v>-1500</v>
      </c>
      <c r="J108">
        <f>IF(H108&lt;0,H108,"")</f>
        <v>-1500</v>
      </c>
      <c r="K108">
        <v>28785.1</v>
      </c>
      <c r="L108">
        <f t="shared" si="10"/>
        <v>-1500</v>
      </c>
      <c r="M108">
        <f t="shared" si="11"/>
        <v>28785.1</v>
      </c>
      <c r="N108" s="3">
        <f t="shared" si="8"/>
        <v>0</v>
      </c>
      <c r="O108" t="s">
        <v>71</v>
      </c>
      <c r="P108" t="s">
        <v>15</v>
      </c>
    </row>
    <row r="109" spans="1:16" x14ac:dyDescent="0.25">
      <c r="A109">
        <v>107</v>
      </c>
      <c r="B109" t="s">
        <v>51</v>
      </c>
      <c r="C109" t="s">
        <v>4</v>
      </c>
      <c r="D109" s="1">
        <v>45623</v>
      </c>
      <c r="E109" t="s">
        <v>52</v>
      </c>
      <c r="F109" t="s">
        <v>70</v>
      </c>
      <c r="G109" t="s">
        <v>54</v>
      </c>
      <c r="H109">
        <v>-1500</v>
      </c>
      <c r="J109">
        <f>IF(H109&lt;0,H109,"")</f>
        <v>-1500</v>
      </c>
      <c r="K109">
        <v>27285.1</v>
      </c>
      <c r="L109">
        <f t="shared" si="10"/>
        <v>-1500</v>
      </c>
      <c r="M109">
        <f t="shared" si="11"/>
        <v>27285.1</v>
      </c>
      <c r="N109" s="3">
        <f t="shared" si="8"/>
        <v>0</v>
      </c>
      <c r="O109" t="s">
        <v>71</v>
      </c>
      <c r="P109" t="s">
        <v>15</v>
      </c>
    </row>
    <row r="110" spans="1:16" x14ac:dyDescent="0.25">
      <c r="A110">
        <v>108</v>
      </c>
      <c r="B110" t="s">
        <v>51</v>
      </c>
      <c r="C110" t="s">
        <v>4</v>
      </c>
      <c r="D110" s="1">
        <v>45624</v>
      </c>
      <c r="E110" t="s">
        <v>84</v>
      </c>
      <c r="F110" t="s">
        <v>90</v>
      </c>
      <c r="G110" t="s">
        <v>54</v>
      </c>
      <c r="H110">
        <v>-48</v>
      </c>
      <c r="J110">
        <f>IF(H110&lt;0,H110,"")</f>
        <v>-48</v>
      </c>
      <c r="K110">
        <v>27237.1</v>
      </c>
      <c r="L110">
        <f t="shared" si="10"/>
        <v>-48</v>
      </c>
      <c r="M110">
        <f t="shared" si="11"/>
        <v>27237.1</v>
      </c>
      <c r="N110" s="3">
        <f t="shared" si="8"/>
        <v>0</v>
      </c>
      <c r="O110" t="s">
        <v>61</v>
      </c>
      <c r="P110" t="s">
        <v>7</v>
      </c>
    </row>
    <row r="111" spans="1:16" x14ac:dyDescent="0.25">
      <c r="A111">
        <v>109</v>
      </c>
      <c r="B111" t="s">
        <v>51</v>
      </c>
      <c r="C111" t="s">
        <v>4</v>
      </c>
      <c r="D111" s="1">
        <v>45624</v>
      </c>
      <c r="E111" t="s">
        <v>95</v>
      </c>
      <c r="F111" t="s">
        <v>96</v>
      </c>
      <c r="G111" t="s">
        <v>54</v>
      </c>
      <c r="H111">
        <v>900</v>
      </c>
      <c r="I111">
        <f>IF(H111&gt;0,H111,"")</f>
        <v>900</v>
      </c>
      <c r="K111">
        <v>28137.1</v>
      </c>
      <c r="L111">
        <f t="shared" si="10"/>
        <v>900</v>
      </c>
      <c r="M111">
        <f t="shared" si="11"/>
        <v>28137.1</v>
      </c>
      <c r="N111" s="3">
        <f t="shared" si="8"/>
        <v>0</v>
      </c>
      <c r="O111" t="s">
        <v>69</v>
      </c>
      <c r="P111" t="s">
        <v>21</v>
      </c>
    </row>
    <row r="112" spans="1:16" x14ac:dyDescent="0.25">
      <c r="A112">
        <v>110</v>
      </c>
      <c r="B112" t="s">
        <v>51</v>
      </c>
      <c r="C112" t="s">
        <v>4</v>
      </c>
      <c r="D112" s="1">
        <v>45627</v>
      </c>
      <c r="E112" t="s">
        <v>107</v>
      </c>
      <c r="F112" t="s">
        <v>108</v>
      </c>
      <c r="G112" t="s">
        <v>54</v>
      </c>
      <c r="H112">
        <v>-1000</v>
      </c>
      <c r="J112">
        <f>IF(H112&lt;0,H112,"")</f>
        <v>-1000</v>
      </c>
      <c r="K112">
        <v>27137.1</v>
      </c>
      <c r="L112">
        <f t="shared" si="10"/>
        <v>-1000</v>
      </c>
      <c r="M112">
        <f t="shared" si="11"/>
        <v>27137.1</v>
      </c>
      <c r="N112" s="3">
        <f t="shared" si="8"/>
        <v>0</v>
      </c>
      <c r="O112" t="s">
        <v>55</v>
      </c>
      <c r="P112" t="s">
        <v>14</v>
      </c>
    </row>
    <row r="113" spans="1:16" x14ac:dyDescent="0.25">
      <c r="A113">
        <v>111</v>
      </c>
      <c r="B113" t="s">
        <v>51</v>
      </c>
      <c r="C113" t="s">
        <v>4</v>
      </c>
      <c r="D113" s="1">
        <v>45628</v>
      </c>
      <c r="E113" t="s">
        <v>109</v>
      </c>
      <c r="F113" t="s">
        <v>109</v>
      </c>
      <c r="G113" t="s">
        <v>93</v>
      </c>
      <c r="H113">
        <v>-59</v>
      </c>
      <c r="J113">
        <f>IF(H113&lt;0,H113,"")</f>
        <v>-59</v>
      </c>
      <c r="K113">
        <v>27078.1</v>
      </c>
      <c r="L113">
        <f t="shared" si="10"/>
        <v>-59</v>
      </c>
      <c r="M113">
        <f t="shared" si="11"/>
        <v>27078.1</v>
      </c>
      <c r="N113" s="3">
        <f t="shared" si="8"/>
        <v>0</v>
      </c>
      <c r="O113" t="s">
        <v>65</v>
      </c>
      <c r="P113" t="s">
        <v>32</v>
      </c>
    </row>
    <row r="114" spans="1:16" x14ac:dyDescent="0.25">
      <c r="A114">
        <v>112</v>
      </c>
      <c r="B114" t="s">
        <v>51</v>
      </c>
      <c r="C114" t="s">
        <v>4</v>
      </c>
      <c r="D114" s="1">
        <v>45635</v>
      </c>
      <c r="E114" t="s">
        <v>86</v>
      </c>
      <c r="F114" t="s">
        <v>87</v>
      </c>
      <c r="G114" t="s">
        <v>64</v>
      </c>
      <c r="H114">
        <v>-5.6</v>
      </c>
      <c r="J114">
        <f>IF(H114&lt;0,H114,"")</f>
        <v>-5.6</v>
      </c>
      <c r="K114">
        <v>27072.5</v>
      </c>
      <c r="L114">
        <f t="shared" si="10"/>
        <v>-5.6</v>
      </c>
      <c r="M114">
        <f t="shared" si="11"/>
        <v>27072.5</v>
      </c>
      <c r="N114" s="3">
        <f t="shared" si="8"/>
        <v>0</v>
      </c>
      <c r="O114" t="s">
        <v>65</v>
      </c>
      <c r="P114" t="s">
        <v>32</v>
      </c>
    </row>
    <row r="115" spans="1:16" x14ac:dyDescent="0.25">
      <c r="A115">
        <v>113</v>
      </c>
      <c r="B115" t="s">
        <v>51</v>
      </c>
      <c r="C115" t="s">
        <v>4</v>
      </c>
      <c r="D115" s="1">
        <v>45637</v>
      </c>
      <c r="E115" t="s">
        <v>66</v>
      </c>
      <c r="F115" t="s">
        <v>67</v>
      </c>
      <c r="G115" t="s">
        <v>68</v>
      </c>
      <c r="H115">
        <v>3825</v>
      </c>
      <c r="I115">
        <f>IF(H115&gt;0,H115,"")</f>
        <v>3825</v>
      </c>
      <c r="K115">
        <v>30897.5</v>
      </c>
      <c r="L115">
        <f t="shared" si="10"/>
        <v>3825</v>
      </c>
      <c r="M115">
        <f t="shared" si="11"/>
        <v>30897.5</v>
      </c>
      <c r="N115" s="3">
        <f t="shared" si="8"/>
        <v>0</v>
      </c>
      <c r="O115" t="s">
        <v>69</v>
      </c>
      <c r="P115" t="s">
        <v>21</v>
      </c>
    </row>
    <row r="116" spans="1:16" x14ac:dyDescent="0.25">
      <c r="A116">
        <v>114</v>
      </c>
      <c r="B116" t="s">
        <v>51</v>
      </c>
      <c r="C116" t="s">
        <v>4</v>
      </c>
      <c r="D116" s="1">
        <v>45638</v>
      </c>
      <c r="E116" t="s">
        <v>95</v>
      </c>
      <c r="F116" t="s">
        <v>96</v>
      </c>
      <c r="G116" t="s">
        <v>54</v>
      </c>
      <c r="H116">
        <v>900</v>
      </c>
      <c r="I116">
        <f>IF(H116&gt;0,H116,"")</f>
        <v>900</v>
      </c>
      <c r="K116">
        <v>31797.5</v>
      </c>
      <c r="L116">
        <f t="shared" si="10"/>
        <v>900</v>
      </c>
      <c r="M116">
        <f t="shared" si="11"/>
        <v>31797.5</v>
      </c>
      <c r="N116" s="3">
        <f t="shared" si="8"/>
        <v>0</v>
      </c>
      <c r="O116" t="s">
        <v>69</v>
      </c>
      <c r="P116" t="s">
        <v>21</v>
      </c>
    </row>
    <row r="117" spans="1:16" x14ac:dyDescent="0.25">
      <c r="A117">
        <v>115</v>
      </c>
      <c r="B117" t="s">
        <v>51</v>
      </c>
      <c r="C117" t="s">
        <v>4</v>
      </c>
      <c r="D117" s="1">
        <v>45639</v>
      </c>
      <c r="E117" t="s">
        <v>66</v>
      </c>
      <c r="F117" t="s">
        <v>67</v>
      </c>
      <c r="G117" t="s">
        <v>68</v>
      </c>
      <c r="H117">
        <v>1275</v>
      </c>
      <c r="I117">
        <f>IF(H117&gt;0,H117,"")</f>
        <v>1275</v>
      </c>
      <c r="K117">
        <v>33072.5</v>
      </c>
      <c r="L117">
        <f t="shared" si="10"/>
        <v>1275</v>
      </c>
      <c r="M117">
        <f t="shared" si="11"/>
        <v>33072.5</v>
      </c>
      <c r="N117" s="3">
        <f t="shared" si="8"/>
        <v>0</v>
      </c>
      <c r="O117" t="s">
        <v>69</v>
      </c>
      <c r="P117" t="s">
        <v>21</v>
      </c>
    </row>
    <row r="118" spans="1:16" x14ac:dyDescent="0.25">
      <c r="A118">
        <v>116</v>
      </c>
      <c r="B118" t="s">
        <v>51</v>
      </c>
      <c r="C118" t="s">
        <v>4</v>
      </c>
      <c r="D118" s="1">
        <v>45640</v>
      </c>
      <c r="E118" t="s">
        <v>110</v>
      </c>
      <c r="F118" t="s">
        <v>111</v>
      </c>
      <c r="G118" t="s">
        <v>64</v>
      </c>
      <c r="H118">
        <v>-57.4</v>
      </c>
      <c r="J118">
        <f>IF(H118&lt;0,H118,"")</f>
        <v>-57.4</v>
      </c>
      <c r="K118">
        <v>33015.1</v>
      </c>
      <c r="L118">
        <f t="shared" si="10"/>
        <v>-57.4</v>
      </c>
      <c r="M118">
        <f t="shared" si="11"/>
        <v>33015.1</v>
      </c>
      <c r="N118" s="3">
        <f t="shared" si="8"/>
        <v>0</v>
      </c>
      <c r="O118" t="s">
        <v>73</v>
      </c>
      <c r="P118" t="s">
        <v>16</v>
      </c>
    </row>
    <row r="119" spans="1:16" x14ac:dyDescent="0.25">
      <c r="A119">
        <v>117</v>
      </c>
      <c r="B119" t="s">
        <v>51</v>
      </c>
      <c r="C119" t="s">
        <v>4</v>
      </c>
      <c r="D119" s="1">
        <v>45645</v>
      </c>
      <c r="E119" t="s">
        <v>112</v>
      </c>
      <c r="F119" t="s">
        <v>113</v>
      </c>
      <c r="G119" t="s">
        <v>93</v>
      </c>
      <c r="H119">
        <v>-34</v>
      </c>
      <c r="J119">
        <f>IF(H119&lt;0,H119,"")</f>
        <v>-34</v>
      </c>
      <c r="K119">
        <v>32981.1</v>
      </c>
      <c r="L119">
        <f t="shared" si="10"/>
        <v>-34</v>
      </c>
      <c r="M119">
        <f t="shared" si="11"/>
        <v>32981.1</v>
      </c>
      <c r="N119" s="3">
        <f t="shared" si="8"/>
        <v>0</v>
      </c>
      <c r="O119" t="s">
        <v>61</v>
      </c>
      <c r="P119" t="s">
        <v>25</v>
      </c>
    </row>
    <row r="120" spans="1:16" x14ac:dyDescent="0.25">
      <c r="A120">
        <v>118</v>
      </c>
      <c r="B120" t="s">
        <v>51</v>
      </c>
      <c r="C120" t="s">
        <v>4</v>
      </c>
      <c r="D120" s="1">
        <v>45645</v>
      </c>
      <c r="E120" t="s">
        <v>80</v>
      </c>
      <c r="F120" t="s">
        <v>81</v>
      </c>
      <c r="G120" t="s">
        <v>54</v>
      </c>
      <c r="H120">
        <v>600</v>
      </c>
      <c r="I120">
        <f>IF(H120&gt;0,H120,"")</f>
        <v>600</v>
      </c>
      <c r="K120">
        <v>33581.1</v>
      </c>
      <c r="L120">
        <f t="shared" si="10"/>
        <v>600</v>
      </c>
      <c r="M120">
        <f t="shared" si="11"/>
        <v>33581.1</v>
      </c>
      <c r="N120" s="3">
        <f t="shared" si="8"/>
        <v>0</v>
      </c>
      <c r="O120" t="s">
        <v>69</v>
      </c>
      <c r="P120" t="s">
        <v>21</v>
      </c>
    </row>
    <row r="121" spans="1:16" x14ac:dyDescent="0.25">
      <c r="A121">
        <v>119</v>
      </c>
      <c r="B121" t="s">
        <v>51</v>
      </c>
      <c r="C121" t="s">
        <v>4</v>
      </c>
      <c r="D121" s="1">
        <v>45646</v>
      </c>
      <c r="E121" t="s">
        <v>86</v>
      </c>
      <c r="F121" t="s">
        <v>87</v>
      </c>
      <c r="G121" t="s">
        <v>64</v>
      </c>
      <c r="H121">
        <v>-1.1000000000000001</v>
      </c>
      <c r="J121">
        <f t="shared" ref="J121:J127" si="12">IF(H121&lt;0,H121,"")</f>
        <v>-1.1000000000000001</v>
      </c>
      <c r="K121">
        <v>33580</v>
      </c>
      <c r="L121">
        <f t="shared" si="10"/>
        <v>-1.1000000000000001</v>
      </c>
      <c r="M121">
        <f t="shared" si="11"/>
        <v>33580</v>
      </c>
      <c r="N121" s="3">
        <f t="shared" si="8"/>
        <v>0</v>
      </c>
      <c r="O121" t="s">
        <v>65</v>
      </c>
      <c r="P121" t="s">
        <v>32</v>
      </c>
    </row>
    <row r="122" spans="1:16" x14ac:dyDescent="0.25">
      <c r="A122">
        <v>120</v>
      </c>
      <c r="B122" t="s">
        <v>51</v>
      </c>
      <c r="C122" t="s">
        <v>4</v>
      </c>
      <c r="D122" s="1">
        <v>45646</v>
      </c>
      <c r="E122" t="s">
        <v>86</v>
      </c>
      <c r="F122" t="s">
        <v>87</v>
      </c>
      <c r="G122" t="s">
        <v>64</v>
      </c>
      <c r="H122">
        <v>-1.6</v>
      </c>
      <c r="J122">
        <f t="shared" si="12"/>
        <v>-1.6</v>
      </c>
      <c r="K122">
        <v>33578.400000000001</v>
      </c>
      <c r="L122">
        <f t="shared" si="10"/>
        <v>-1.6</v>
      </c>
      <c r="M122">
        <f t="shared" si="11"/>
        <v>33578.400000000001</v>
      </c>
      <c r="N122" s="3">
        <f t="shared" si="8"/>
        <v>0</v>
      </c>
      <c r="O122" t="s">
        <v>65</v>
      </c>
      <c r="P122" t="s">
        <v>32</v>
      </c>
    </row>
    <row r="123" spans="1:16" x14ac:dyDescent="0.25">
      <c r="A123">
        <v>121</v>
      </c>
      <c r="B123" t="s">
        <v>51</v>
      </c>
      <c r="C123" t="s">
        <v>4</v>
      </c>
      <c r="D123" s="1">
        <v>45648</v>
      </c>
      <c r="E123" t="s">
        <v>91</v>
      </c>
      <c r="F123" t="s">
        <v>92</v>
      </c>
      <c r="G123" t="s">
        <v>93</v>
      </c>
      <c r="H123">
        <v>-1500</v>
      </c>
      <c r="J123">
        <f t="shared" si="12"/>
        <v>-1500</v>
      </c>
      <c r="K123">
        <v>32078.400000000001</v>
      </c>
      <c r="L123">
        <f t="shared" si="10"/>
        <v>-1500</v>
      </c>
      <c r="M123">
        <f t="shared" si="11"/>
        <v>32078.400000000001</v>
      </c>
      <c r="N123" s="3">
        <f t="shared" si="8"/>
        <v>0</v>
      </c>
      <c r="O123" t="s">
        <v>94</v>
      </c>
      <c r="P123" t="s">
        <v>27</v>
      </c>
    </row>
    <row r="124" spans="1:16" x14ac:dyDescent="0.25">
      <c r="A124">
        <v>122</v>
      </c>
      <c r="B124" t="s">
        <v>51</v>
      </c>
      <c r="C124" t="s">
        <v>4</v>
      </c>
      <c r="D124" s="1">
        <v>45650</v>
      </c>
      <c r="E124" t="s">
        <v>114</v>
      </c>
      <c r="F124" t="s">
        <v>115</v>
      </c>
      <c r="G124" t="s">
        <v>93</v>
      </c>
      <c r="H124">
        <v>-17.2</v>
      </c>
      <c r="J124">
        <f t="shared" si="12"/>
        <v>-17.2</v>
      </c>
      <c r="K124">
        <v>32061.200000000001</v>
      </c>
      <c r="L124">
        <f t="shared" si="10"/>
        <v>-17.2</v>
      </c>
      <c r="M124">
        <f t="shared" si="11"/>
        <v>32061.200000000001</v>
      </c>
      <c r="N124" s="3">
        <f t="shared" si="8"/>
        <v>0</v>
      </c>
      <c r="O124" t="s">
        <v>116</v>
      </c>
      <c r="P124" t="s">
        <v>31</v>
      </c>
    </row>
    <row r="125" spans="1:16" x14ac:dyDescent="0.25">
      <c r="A125">
        <v>123</v>
      </c>
      <c r="B125" t="s">
        <v>51</v>
      </c>
      <c r="C125" t="s">
        <v>4</v>
      </c>
      <c r="D125" s="1">
        <v>45653</v>
      </c>
      <c r="E125" t="s">
        <v>117</v>
      </c>
      <c r="F125" t="s">
        <v>118</v>
      </c>
      <c r="G125" t="s">
        <v>119</v>
      </c>
      <c r="H125">
        <v>-16</v>
      </c>
      <c r="J125">
        <f t="shared" si="12"/>
        <v>-16</v>
      </c>
      <c r="K125">
        <v>32045.200000000001</v>
      </c>
      <c r="L125">
        <f t="shared" si="10"/>
        <v>-16</v>
      </c>
      <c r="M125">
        <f t="shared" si="11"/>
        <v>32045.200000000001</v>
      </c>
      <c r="N125" s="3">
        <f t="shared" si="8"/>
        <v>0</v>
      </c>
      <c r="O125" t="s">
        <v>61</v>
      </c>
      <c r="P125" t="s">
        <v>25</v>
      </c>
    </row>
    <row r="126" spans="1:16" x14ac:dyDescent="0.25">
      <c r="A126">
        <v>124</v>
      </c>
      <c r="B126" t="s">
        <v>51</v>
      </c>
      <c r="C126" t="s">
        <v>4</v>
      </c>
      <c r="D126" s="1">
        <v>45654</v>
      </c>
      <c r="E126" t="s">
        <v>84</v>
      </c>
      <c r="F126" t="s">
        <v>90</v>
      </c>
      <c r="G126" t="s">
        <v>54</v>
      </c>
      <c r="H126">
        <v>-48</v>
      </c>
      <c r="J126">
        <f t="shared" si="12"/>
        <v>-48</v>
      </c>
      <c r="K126">
        <v>31997.200000000001</v>
      </c>
      <c r="L126">
        <f t="shared" si="10"/>
        <v>-48</v>
      </c>
      <c r="M126">
        <f t="shared" si="11"/>
        <v>31997.200000000001</v>
      </c>
      <c r="N126" s="3">
        <f t="shared" si="8"/>
        <v>0</v>
      </c>
      <c r="O126" t="s">
        <v>61</v>
      </c>
      <c r="P126" t="s">
        <v>7</v>
      </c>
    </row>
    <row r="127" spans="1:16" x14ac:dyDescent="0.25">
      <c r="A127">
        <v>125</v>
      </c>
      <c r="B127" t="s">
        <v>51</v>
      </c>
      <c r="C127" t="s">
        <v>4</v>
      </c>
      <c r="D127" s="1">
        <v>45655</v>
      </c>
      <c r="E127" t="s">
        <v>107</v>
      </c>
      <c r="F127" t="s">
        <v>70</v>
      </c>
      <c r="G127" t="s">
        <v>54</v>
      </c>
      <c r="H127">
        <v>-4000</v>
      </c>
      <c r="J127">
        <f t="shared" si="12"/>
        <v>-4000</v>
      </c>
      <c r="K127">
        <v>27997.200000000001</v>
      </c>
      <c r="L127">
        <f t="shared" si="10"/>
        <v>-4000</v>
      </c>
      <c r="M127">
        <f t="shared" si="11"/>
        <v>27997.200000000001</v>
      </c>
      <c r="N127" s="3">
        <f t="shared" si="8"/>
        <v>0</v>
      </c>
      <c r="O127" t="s">
        <v>71</v>
      </c>
      <c r="P127" t="s">
        <v>15</v>
      </c>
    </row>
    <row r="128" spans="1:16" x14ac:dyDescent="0.25">
      <c r="A128">
        <v>126</v>
      </c>
      <c r="B128" t="s">
        <v>51</v>
      </c>
      <c r="C128" t="s">
        <v>4</v>
      </c>
      <c r="D128" s="1">
        <v>45657</v>
      </c>
      <c r="E128" t="s">
        <v>114</v>
      </c>
      <c r="F128" t="s">
        <v>115</v>
      </c>
      <c r="G128" t="s">
        <v>93</v>
      </c>
      <c r="H128">
        <v>5</v>
      </c>
      <c r="I128">
        <f>IF(H128&gt;0,H128,"")</f>
        <v>5</v>
      </c>
      <c r="K128">
        <v>28002.2</v>
      </c>
      <c r="L128">
        <f t="shared" si="10"/>
        <v>5</v>
      </c>
      <c r="M128">
        <f t="shared" si="11"/>
        <v>28002.2</v>
      </c>
      <c r="N128" s="3">
        <f t="shared" si="8"/>
        <v>0</v>
      </c>
      <c r="O128" t="s">
        <v>116</v>
      </c>
      <c r="P128" t="s">
        <v>31</v>
      </c>
    </row>
    <row r="129" spans="1:16" x14ac:dyDescent="0.25">
      <c r="A129">
        <v>127</v>
      </c>
      <c r="B129" t="s">
        <v>51</v>
      </c>
      <c r="C129" t="s">
        <v>4</v>
      </c>
      <c r="D129" s="1">
        <v>45657</v>
      </c>
      <c r="E129" t="s">
        <v>120</v>
      </c>
      <c r="F129" t="s">
        <v>121</v>
      </c>
      <c r="G129" t="s">
        <v>54</v>
      </c>
      <c r="H129">
        <v>-9231.15</v>
      </c>
      <c r="J129">
        <f>IF(H129&lt;0,H129,"")</f>
        <v>-9231.15</v>
      </c>
      <c r="K129">
        <v>18771.05</v>
      </c>
      <c r="L129">
        <f t="shared" si="10"/>
        <v>-9231.15</v>
      </c>
      <c r="M129">
        <f t="shared" si="11"/>
        <v>18771.050000000003</v>
      </c>
      <c r="N129" s="3">
        <f t="shared" si="8"/>
        <v>0</v>
      </c>
      <c r="O129" t="s">
        <v>122</v>
      </c>
      <c r="P129" t="s">
        <v>20</v>
      </c>
    </row>
    <row r="130" spans="1:16" x14ac:dyDescent="0.25">
      <c r="A130">
        <v>128</v>
      </c>
      <c r="B130" t="s">
        <v>51</v>
      </c>
      <c r="C130" t="s">
        <v>4</v>
      </c>
      <c r="D130" s="1">
        <v>45658</v>
      </c>
      <c r="E130" t="s">
        <v>107</v>
      </c>
      <c r="F130" t="s">
        <v>108</v>
      </c>
      <c r="G130" t="s">
        <v>54</v>
      </c>
      <c r="H130">
        <v>-1000</v>
      </c>
      <c r="J130">
        <f>IF(H130&lt;0,H130,"")</f>
        <v>-1000</v>
      </c>
      <c r="K130">
        <v>17771.05</v>
      </c>
      <c r="L130">
        <f t="shared" si="10"/>
        <v>-1000</v>
      </c>
      <c r="M130">
        <f t="shared" si="11"/>
        <v>17771.05</v>
      </c>
      <c r="N130" s="3">
        <f t="shared" si="8"/>
        <v>0</v>
      </c>
      <c r="O130" t="s">
        <v>55</v>
      </c>
      <c r="P130" t="s">
        <v>14</v>
      </c>
    </row>
    <row r="131" spans="1:16" x14ac:dyDescent="0.25">
      <c r="A131">
        <v>129</v>
      </c>
      <c r="B131" t="s">
        <v>51</v>
      </c>
      <c r="C131" t="s">
        <v>4</v>
      </c>
      <c r="D131" s="1">
        <v>45659</v>
      </c>
      <c r="E131" t="s">
        <v>59</v>
      </c>
      <c r="F131">
        <v>87201</v>
      </c>
      <c r="G131" t="s">
        <v>60</v>
      </c>
      <c r="H131">
        <v>-73</v>
      </c>
      <c r="J131">
        <f>IF(H131&lt;0,H131,"")</f>
        <v>-73</v>
      </c>
      <c r="K131">
        <v>17698.05</v>
      </c>
      <c r="L131">
        <f t="shared" ref="L131:L161" si="13">I131+J131</f>
        <v>-73</v>
      </c>
      <c r="M131">
        <f t="shared" ref="M131:M162" si="14">K130+L131</f>
        <v>17698.05</v>
      </c>
      <c r="N131" s="3">
        <f t="shared" ref="N131:N194" si="15">K131-M131</f>
        <v>0</v>
      </c>
      <c r="O131" t="s">
        <v>61</v>
      </c>
      <c r="P131" t="s">
        <v>5</v>
      </c>
    </row>
    <row r="132" spans="1:16" x14ac:dyDescent="0.25">
      <c r="A132">
        <v>130</v>
      </c>
      <c r="B132" t="s">
        <v>51</v>
      </c>
      <c r="C132" t="s">
        <v>4</v>
      </c>
      <c r="D132" s="1">
        <v>45665</v>
      </c>
      <c r="E132" t="s">
        <v>66</v>
      </c>
      <c r="F132" t="s">
        <v>67</v>
      </c>
      <c r="G132" t="s">
        <v>68</v>
      </c>
      <c r="H132">
        <v>4050</v>
      </c>
      <c r="I132">
        <f>IF(H132&gt;0,H132,"")</f>
        <v>4050</v>
      </c>
      <c r="K132">
        <v>21748.05</v>
      </c>
      <c r="L132">
        <f t="shared" si="13"/>
        <v>4050</v>
      </c>
      <c r="M132">
        <f t="shared" si="14"/>
        <v>21748.05</v>
      </c>
      <c r="N132" s="3">
        <f t="shared" si="15"/>
        <v>0</v>
      </c>
      <c r="O132" t="s">
        <v>69</v>
      </c>
      <c r="P132" t="s">
        <v>21</v>
      </c>
    </row>
    <row r="133" spans="1:16" x14ac:dyDescent="0.25">
      <c r="A133">
        <v>131</v>
      </c>
      <c r="B133" t="s">
        <v>51</v>
      </c>
      <c r="C133" t="s">
        <v>4</v>
      </c>
      <c r="D133" s="1">
        <v>45667</v>
      </c>
      <c r="E133" t="s">
        <v>86</v>
      </c>
      <c r="F133" t="s">
        <v>87</v>
      </c>
      <c r="G133" t="s">
        <v>64</v>
      </c>
      <c r="H133">
        <v>-1.1000000000000001</v>
      </c>
      <c r="J133">
        <f>IF(H133&lt;0,H133,"")</f>
        <v>-1.1000000000000001</v>
      </c>
      <c r="K133">
        <v>21746.95</v>
      </c>
      <c r="L133">
        <f t="shared" si="13"/>
        <v>-1.1000000000000001</v>
      </c>
      <c r="M133">
        <f t="shared" si="14"/>
        <v>21746.95</v>
      </c>
      <c r="N133" s="3">
        <f t="shared" si="15"/>
        <v>0</v>
      </c>
      <c r="O133" t="s">
        <v>65</v>
      </c>
      <c r="P133" t="s">
        <v>32</v>
      </c>
    </row>
    <row r="134" spans="1:16" x14ac:dyDescent="0.25">
      <c r="A134">
        <v>132</v>
      </c>
      <c r="B134" t="s">
        <v>51</v>
      </c>
      <c r="C134" t="s">
        <v>4</v>
      </c>
      <c r="D134" s="1">
        <v>45669</v>
      </c>
      <c r="E134" t="s">
        <v>123</v>
      </c>
      <c r="F134" t="s">
        <v>124</v>
      </c>
      <c r="G134" t="s">
        <v>93</v>
      </c>
      <c r="H134">
        <v>-20</v>
      </c>
      <c r="J134">
        <f>IF(H134&lt;0,H134,"")</f>
        <v>-20</v>
      </c>
      <c r="K134">
        <v>21726.95</v>
      </c>
      <c r="L134">
        <f t="shared" si="13"/>
        <v>-20</v>
      </c>
      <c r="M134">
        <f t="shared" si="14"/>
        <v>21726.95</v>
      </c>
      <c r="N134" s="3">
        <f t="shared" si="15"/>
        <v>0</v>
      </c>
      <c r="O134" t="s">
        <v>61</v>
      </c>
      <c r="P134" t="s">
        <v>25</v>
      </c>
    </row>
    <row r="135" spans="1:16" x14ac:dyDescent="0.25">
      <c r="A135">
        <v>133</v>
      </c>
      <c r="B135" t="s">
        <v>51</v>
      </c>
      <c r="C135" t="s">
        <v>4</v>
      </c>
      <c r="D135" s="1">
        <v>45670</v>
      </c>
      <c r="E135" t="s">
        <v>95</v>
      </c>
      <c r="F135" t="s">
        <v>96</v>
      </c>
      <c r="G135" t="s">
        <v>54</v>
      </c>
      <c r="H135">
        <v>450</v>
      </c>
      <c r="I135">
        <f>IF(H135&gt;0,H135,"")</f>
        <v>450</v>
      </c>
      <c r="K135">
        <v>22176.95</v>
      </c>
      <c r="L135">
        <f t="shared" si="13"/>
        <v>450</v>
      </c>
      <c r="M135">
        <f t="shared" si="14"/>
        <v>22176.95</v>
      </c>
      <c r="N135" s="3">
        <f t="shared" si="15"/>
        <v>0</v>
      </c>
      <c r="O135" t="s">
        <v>69</v>
      </c>
      <c r="P135" t="s">
        <v>21</v>
      </c>
    </row>
    <row r="136" spans="1:16" x14ac:dyDescent="0.25">
      <c r="A136">
        <v>134</v>
      </c>
      <c r="B136" t="s">
        <v>51</v>
      </c>
      <c r="C136" t="s">
        <v>4</v>
      </c>
      <c r="D136" s="1">
        <v>45671</v>
      </c>
      <c r="E136" t="s">
        <v>125</v>
      </c>
      <c r="F136" t="s">
        <v>126</v>
      </c>
      <c r="G136" t="s">
        <v>64</v>
      </c>
      <c r="H136">
        <v>-3.25</v>
      </c>
      <c r="J136">
        <f>IF(H136&lt;0,H136,"")</f>
        <v>-3.25</v>
      </c>
      <c r="K136">
        <v>22173.7</v>
      </c>
      <c r="L136">
        <f t="shared" si="13"/>
        <v>-3.25</v>
      </c>
      <c r="M136">
        <f t="shared" si="14"/>
        <v>22173.7</v>
      </c>
      <c r="N136" s="3">
        <f t="shared" si="15"/>
        <v>0</v>
      </c>
      <c r="O136" t="s">
        <v>65</v>
      </c>
      <c r="P136" t="s">
        <v>32</v>
      </c>
    </row>
    <row r="137" spans="1:16" x14ac:dyDescent="0.25">
      <c r="A137">
        <v>135</v>
      </c>
      <c r="B137" t="s">
        <v>51</v>
      </c>
      <c r="C137" t="s">
        <v>4</v>
      </c>
      <c r="D137" s="1">
        <v>45671</v>
      </c>
      <c r="E137" t="s">
        <v>125</v>
      </c>
      <c r="F137" t="s">
        <v>126</v>
      </c>
      <c r="G137" t="s">
        <v>64</v>
      </c>
      <c r="H137">
        <v>-2.5499999999999998</v>
      </c>
      <c r="J137">
        <f>IF(H137&lt;0,H137,"")</f>
        <v>-2.5499999999999998</v>
      </c>
      <c r="K137">
        <v>22171.15</v>
      </c>
      <c r="L137">
        <f t="shared" si="13"/>
        <v>-2.5499999999999998</v>
      </c>
      <c r="M137">
        <f t="shared" si="14"/>
        <v>22171.15</v>
      </c>
      <c r="N137" s="3">
        <f t="shared" si="15"/>
        <v>0</v>
      </c>
      <c r="O137" t="s">
        <v>65</v>
      </c>
      <c r="P137" t="s">
        <v>32</v>
      </c>
    </row>
    <row r="138" spans="1:16" x14ac:dyDescent="0.25">
      <c r="A138">
        <v>136</v>
      </c>
      <c r="B138" t="s">
        <v>51</v>
      </c>
      <c r="C138" t="s">
        <v>4</v>
      </c>
      <c r="D138" s="1">
        <v>45672</v>
      </c>
      <c r="E138" t="s">
        <v>66</v>
      </c>
      <c r="F138" t="s">
        <v>67</v>
      </c>
      <c r="G138" t="s">
        <v>68</v>
      </c>
      <c r="H138">
        <v>850</v>
      </c>
      <c r="I138">
        <f>IF(H138&gt;0,H138,"")</f>
        <v>850</v>
      </c>
      <c r="K138">
        <v>23021.15</v>
      </c>
      <c r="L138">
        <f t="shared" si="13"/>
        <v>850</v>
      </c>
      <c r="M138">
        <f t="shared" si="14"/>
        <v>23021.15</v>
      </c>
      <c r="N138" s="3">
        <f t="shared" si="15"/>
        <v>0</v>
      </c>
      <c r="O138" t="s">
        <v>69</v>
      </c>
      <c r="P138" t="s">
        <v>21</v>
      </c>
    </row>
    <row r="139" spans="1:16" x14ac:dyDescent="0.25">
      <c r="A139">
        <v>137</v>
      </c>
      <c r="B139" t="s">
        <v>51</v>
      </c>
      <c r="C139" t="s">
        <v>4</v>
      </c>
      <c r="D139" s="1">
        <v>45674</v>
      </c>
      <c r="E139" t="s">
        <v>86</v>
      </c>
      <c r="F139" t="s">
        <v>87</v>
      </c>
      <c r="G139" t="s">
        <v>64</v>
      </c>
      <c r="H139">
        <v>-1.1000000000000001</v>
      </c>
      <c r="J139">
        <f>IF(H139&lt;0,H139,"")</f>
        <v>-1.1000000000000001</v>
      </c>
      <c r="K139">
        <v>23020.05</v>
      </c>
      <c r="L139">
        <f t="shared" si="13"/>
        <v>-1.1000000000000001</v>
      </c>
      <c r="M139">
        <f t="shared" si="14"/>
        <v>23020.050000000003</v>
      </c>
      <c r="N139" s="3">
        <f t="shared" si="15"/>
        <v>0</v>
      </c>
      <c r="O139" t="s">
        <v>65</v>
      </c>
      <c r="P139" t="s">
        <v>32</v>
      </c>
    </row>
    <row r="140" spans="1:16" x14ac:dyDescent="0.25">
      <c r="A140">
        <v>138</v>
      </c>
      <c r="B140" t="s">
        <v>51</v>
      </c>
      <c r="C140" t="s">
        <v>4</v>
      </c>
      <c r="D140" s="1">
        <v>45685</v>
      </c>
      <c r="E140" t="s">
        <v>84</v>
      </c>
      <c r="F140" t="s">
        <v>90</v>
      </c>
      <c r="G140" t="s">
        <v>54</v>
      </c>
      <c r="H140">
        <v>-48</v>
      </c>
      <c r="J140">
        <f>IF(H140&lt;0,H140,"")</f>
        <v>-48</v>
      </c>
      <c r="K140">
        <v>22972.05</v>
      </c>
      <c r="L140">
        <f t="shared" si="13"/>
        <v>-48</v>
      </c>
      <c r="M140">
        <f t="shared" si="14"/>
        <v>22972.05</v>
      </c>
      <c r="N140" s="3">
        <f t="shared" si="15"/>
        <v>0</v>
      </c>
      <c r="O140" t="s">
        <v>61</v>
      </c>
      <c r="P140" t="s">
        <v>7</v>
      </c>
    </row>
    <row r="141" spans="1:16" x14ac:dyDescent="0.25">
      <c r="A141">
        <v>139</v>
      </c>
      <c r="B141" t="s">
        <v>51</v>
      </c>
      <c r="C141" t="s">
        <v>4</v>
      </c>
      <c r="D141" s="1">
        <v>45685</v>
      </c>
      <c r="E141" t="s">
        <v>80</v>
      </c>
      <c r="F141" t="s">
        <v>81</v>
      </c>
      <c r="G141" t="s">
        <v>54</v>
      </c>
      <c r="H141">
        <v>1200</v>
      </c>
      <c r="I141">
        <f>IF(H141&gt;0,H141,"")</f>
        <v>1200</v>
      </c>
      <c r="K141">
        <v>24172.05</v>
      </c>
      <c r="L141">
        <f t="shared" si="13"/>
        <v>1200</v>
      </c>
      <c r="M141">
        <f t="shared" si="14"/>
        <v>24172.05</v>
      </c>
      <c r="N141" s="3">
        <f t="shared" si="15"/>
        <v>0</v>
      </c>
      <c r="O141" t="s">
        <v>69</v>
      </c>
      <c r="P141" t="s">
        <v>21</v>
      </c>
    </row>
    <row r="142" spans="1:16" x14ac:dyDescent="0.25">
      <c r="A142">
        <v>140</v>
      </c>
      <c r="B142" t="s">
        <v>51</v>
      </c>
      <c r="C142" t="s">
        <v>4</v>
      </c>
      <c r="D142" s="1">
        <v>45689</v>
      </c>
      <c r="E142" t="s">
        <v>107</v>
      </c>
      <c r="F142" t="s">
        <v>108</v>
      </c>
      <c r="G142" t="s">
        <v>54</v>
      </c>
      <c r="H142">
        <v>-1000</v>
      </c>
      <c r="J142">
        <f>IF(H142&lt;0,H142,"")</f>
        <v>-1000</v>
      </c>
      <c r="K142">
        <v>23172.05</v>
      </c>
      <c r="L142">
        <f t="shared" si="13"/>
        <v>-1000</v>
      </c>
      <c r="M142">
        <f t="shared" si="14"/>
        <v>23172.05</v>
      </c>
      <c r="N142" s="3">
        <f t="shared" si="15"/>
        <v>0</v>
      </c>
      <c r="O142" t="s">
        <v>55</v>
      </c>
      <c r="P142" t="s">
        <v>14</v>
      </c>
    </row>
    <row r="143" spans="1:16" x14ac:dyDescent="0.25">
      <c r="A143">
        <v>141</v>
      </c>
      <c r="B143" t="s">
        <v>51</v>
      </c>
      <c r="C143" t="s">
        <v>4</v>
      </c>
      <c r="D143" s="1">
        <v>45689</v>
      </c>
      <c r="E143" t="s">
        <v>107</v>
      </c>
      <c r="F143" t="s">
        <v>70</v>
      </c>
      <c r="G143" t="s">
        <v>54</v>
      </c>
      <c r="H143">
        <v>-4000</v>
      </c>
      <c r="J143">
        <f>IF(H143&lt;0,H143,"")</f>
        <v>-4000</v>
      </c>
      <c r="K143">
        <v>19172.05</v>
      </c>
      <c r="L143">
        <f t="shared" si="13"/>
        <v>-4000</v>
      </c>
      <c r="M143">
        <f t="shared" si="14"/>
        <v>19172.05</v>
      </c>
      <c r="N143" s="3">
        <f t="shared" si="15"/>
        <v>0</v>
      </c>
      <c r="O143" t="s">
        <v>127</v>
      </c>
      <c r="P143" t="s">
        <v>15</v>
      </c>
    </row>
    <row r="144" spans="1:16" x14ac:dyDescent="0.25">
      <c r="A144">
        <v>142</v>
      </c>
      <c r="B144" t="s">
        <v>51</v>
      </c>
      <c r="C144" t="s">
        <v>4</v>
      </c>
      <c r="D144" s="1">
        <v>45690</v>
      </c>
      <c r="E144" t="s">
        <v>91</v>
      </c>
      <c r="F144" t="s">
        <v>92</v>
      </c>
      <c r="G144" t="s">
        <v>93</v>
      </c>
      <c r="H144">
        <v>-750</v>
      </c>
      <c r="J144">
        <f>IF(H144&lt;0,H144,"")</f>
        <v>-750</v>
      </c>
      <c r="K144">
        <v>18422.05</v>
      </c>
      <c r="L144">
        <f t="shared" si="13"/>
        <v>-750</v>
      </c>
      <c r="M144">
        <f t="shared" si="14"/>
        <v>18422.05</v>
      </c>
      <c r="N144" s="3">
        <f t="shared" si="15"/>
        <v>0</v>
      </c>
      <c r="O144" t="s">
        <v>94</v>
      </c>
      <c r="P144" t="s">
        <v>27</v>
      </c>
    </row>
    <row r="145" spans="1:19" x14ac:dyDescent="0.25">
      <c r="A145">
        <v>143</v>
      </c>
      <c r="B145" t="s">
        <v>51</v>
      </c>
      <c r="C145" t="s">
        <v>4</v>
      </c>
      <c r="D145" s="1">
        <v>45691</v>
      </c>
      <c r="E145" t="s">
        <v>59</v>
      </c>
      <c r="F145">
        <v>87201</v>
      </c>
      <c r="G145" t="s">
        <v>60</v>
      </c>
      <c r="H145">
        <v>-73</v>
      </c>
      <c r="J145">
        <f>IF(H145&lt;0,H145,"")</f>
        <v>-73</v>
      </c>
      <c r="K145">
        <v>18349.05</v>
      </c>
      <c r="L145">
        <f t="shared" si="13"/>
        <v>-73</v>
      </c>
      <c r="M145">
        <f t="shared" si="14"/>
        <v>18349.05</v>
      </c>
      <c r="N145" s="3">
        <f t="shared" si="15"/>
        <v>0</v>
      </c>
      <c r="O145" t="s">
        <v>61</v>
      </c>
      <c r="P145" t="s">
        <v>5</v>
      </c>
    </row>
    <row r="146" spans="1:19" x14ac:dyDescent="0.25">
      <c r="A146">
        <v>144</v>
      </c>
      <c r="B146" t="s">
        <v>51</v>
      </c>
      <c r="C146" t="s">
        <v>4</v>
      </c>
      <c r="D146" s="1">
        <v>45695</v>
      </c>
      <c r="E146" t="s">
        <v>66</v>
      </c>
      <c r="F146" t="s">
        <v>67</v>
      </c>
      <c r="G146" t="s">
        <v>68</v>
      </c>
      <c r="H146">
        <v>3850</v>
      </c>
      <c r="I146">
        <f>IF(H146&gt;0,H146,"")</f>
        <v>3850</v>
      </c>
      <c r="K146">
        <v>22199.05</v>
      </c>
      <c r="L146">
        <f t="shared" si="13"/>
        <v>3850</v>
      </c>
      <c r="M146">
        <f t="shared" si="14"/>
        <v>22199.05</v>
      </c>
      <c r="N146" s="3">
        <f t="shared" si="15"/>
        <v>0</v>
      </c>
      <c r="O146" t="s">
        <v>69</v>
      </c>
      <c r="P146" t="s">
        <v>21</v>
      </c>
    </row>
    <row r="147" spans="1:19" x14ac:dyDescent="0.25">
      <c r="A147">
        <v>145</v>
      </c>
      <c r="B147" t="s">
        <v>51</v>
      </c>
      <c r="C147" t="s">
        <v>4</v>
      </c>
      <c r="D147" s="1">
        <v>45706</v>
      </c>
      <c r="E147" t="s">
        <v>95</v>
      </c>
      <c r="F147" t="s">
        <v>128</v>
      </c>
      <c r="G147" t="s">
        <v>54</v>
      </c>
      <c r="H147">
        <v>425</v>
      </c>
      <c r="I147">
        <f>IF(H147&gt;0,H147,"")</f>
        <v>425</v>
      </c>
      <c r="K147">
        <v>22624.05</v>
      </c>
      <c r="L147">
        <f t="shared" si="13"/>
        <v>425</v>
      </c>
      <c r="M147">
        <f t="shared" si="14"/>
        <v>22624.05</v>
      </c>
      <c r="N147" s="3">
        <f t="shared" si="15"/>
        <v>0</v>
      </c>
      <c r="O147" t="s">
        <v>69</v>
      </c>
      <c r="P147" t="s">
        <v>21</v>
      </c>
    </row>
    <row r="148" spans="1:19" x14ac:dyDescent="0.25">
      <c r="A148">
        <v>146</v>
      </c>
      <c r="B148" t="s">
        <v>51</v>
      </c>
      <c r="C148" t="s">
        <v>4</v>
      </c>
      <c r="D148" s="1">
        <v>45712</v>
      </c>
      <c r="E148" t="s">
        <v>80</v>
      </c>
      <c r="F148" t="s">
        <v>81</v>
      </c>
      <c r="G148" t="s">
        <v>54</v>
      </c>
      <c r="H148">
        <v>1400</v>
      </c>
      <c r="I148">
        <f>IF(H148&gt;0,H148,"")</f>
        <v>1400</v>
      </c>
      <c r="K148">
        <v>24024.05</v>
      </c>
      <c r="L148">
        <f t="shared" si="13"/>
        <v>1400</v>
      </c>
      <c r="M148">
        <f t="shared" si="14"/>
        <v>24024.05</v>
      </c>
      <c r="N148" s="3">
        <f t="shared" si="15"/>
        <v>0</v>
      </c>
      <c r="O148" t="s">
        <v>69</v>
      </c>
      <c r="P148" t="s">
        <v>21</v>
      </c>
    </row>
    <row r="149" spans="1:19" x14ac:dyDescent="0.25">
      <c r="A149">
        <v>147</v>
      </c>
      <c r="B149" t="s">
        <v>51</v>
      </c>
      <c r="C149" t="s">
        <v>4</v>
      </c>
      <c r="D149" s="1">
        <v>45716</v>
      </c>
      <c r="E149" t="s">
        <v>84</v>
      </c>
      <c r="F149" t="s">
        <v>90</v>
      </c>
      <c r="G149" t="s">
        <v>54</v>
      </c>
      <c r="H149">
        <v>-48</v>
      </c>
      <c r="J149">
        <f>IF(H149&lt;0,H149,"")</f>
        <v>-48</v>
      </c>
      <c r="K149">
        <v>23976.05</v>
      </c>
      <c r="L149">
        <f t="shared" si="13"/>
        <v>-48</v>
      </c>
      <c r="M149">
        <f t="shared" si="14"/>
        <v>23976.05</v>
      </c>
      <c r="N149" s="3">
        <f t="shared" si="15"/>
        <v>0</v>
      </c>
      <c r="O149" t="s">
        <v>61</v>
      </c>
      <c r="P149" t="s">
        <v>7</v>
      </c>
    </row>
    <row r="150" spans="1:19" x14ac:dyDescent="0.25">
      <c r="A150">
        <v>148</v>
      </c>
      <c r="B150" t="s">
        <v>51</v>
      </c>
      <c r="C150" t="s">
        <v>4</v>
      </c>
      <c r="D150" s="1">
        <v>45716</v>
      </c>
      <c r="E150" t="s">
        <v>95</v>
      </c>
      <c r="F150" t="s">
        <v>96</v>
      </c>
      <c r="G150" t="s">
        <v>54</v>
      </c>
      <c r="H150">
        <v>1275</v>
      </c>
      <c r="I150">
        <f>IF(H150&gt;0,H150,"")</f>
        <v>1275</v>
      </c>
      <c r="K150">
        <v>25251.05</v>
      </c>
      <c r="L150">
        <f t="shared" si="13"/>
        <v>1275</v>
      </c>
      <c r="M150">
        <f t="shared" si="14"/>
        <v>25251.05</v>
      </c>
      <c r="N150" s="3">
        <f t="shared" si="15"/>
        <v>0</v>
      </c>
      <c r="O150" t="s">
        <v>69</v>
      </c>
      <c r="P150" t="s">
        <v>21</v>
      </c>
    </row>
    <row r="151" spans="1:19" x14ac:dyDescent="0.25">
      <c r="A151">
        <v>149</v>
      </c>
      <c r="B151" t="s">
        <v>51</v>
      </c>
      <c r="C151" t="s">
        <v>4</v>
      </c>
      <c r="D151" s="1">
        <v>45717</v>
      </c>
      <c r="E151" t="s">
        <v>107</v>
      </c>
      <c r="F151" t="s">
        <v>108</v>
      </c>
      <c r="G151" t="s">
        <v>54</v>
      </c>
      <c r="H151">
        <v>-1000</v>
      </c>
      <c r="J151">
        <f>IF(H151&lt;0,H151,"")</f>
        <v>-1000</v>
      </c>
      <c r="K151">
        <v>24251.05</v>
      </c>
      <c r="L151">
        <f t="shared" si="13"/>
        <v>-1000</v>
      </c>
      <c r="M151">
        <f t="shared" si="14"/>
        <v>24251.05</v>
      </c>
      <c r="N151" s="3">
        <f t="shared" si="15"/>
        <v>0</v>
      </c>
      <c r="O151" t="s">
        <v>55</v>
      </c>
      <c r="P151" t="s">
        <v>14</v>
      </c>
    </row>
    <row r="152" spans="1:19" x14ac:dyDescent="0.25">
      <c r="A152">
        <v>150</v>
      </c>
      <c r="B152" t="s">
        <v>51</v>
      </c>
      <c r="C152" t="s">
        <v>4</v>
      </c>
      <c r="D152" s="1">
        <v>45718</v>
      </c>
      <c r="E152" t="s">
        <v>107</v>
      </c>
      <c r="F152" t="s">
        <v>70</v>
      </c>
      <c r="G152" t="s">
        <v>54</v>
      </c>
      <c r="H152">
        <v>-3370</v>
      </c>
      <c r="J152">
        <f>IF(H152&lt;0,H152,"")</f>
        <v>-3370</v>
      </c>
      <c r="K152">
        <v>20881.05</v>
      </c>
      <c r="L152">
        <f t="shared" si="13"/>
        <v>-3370</v>
      </c>
      <c r="M152">
        <f t="shared" si="14"/>
        <v>20881.05</v>
      </c>
      <c r="N152" s="3">
        <f t="shared" si="15"/>
        <v>0</v>
      </c>
      <c r="O152" t="s">
        <v>55</v>
      </c>
      <c r="P152" t="s">
        <v>15</v>
      </c>
    </row>
    <row r="153" spans="1:19" x14ac:dyDescent="0.25">
      <c r="A153">
        <v>151</v>
      </c>
      <c r="B153" t="s">
        <v>51</v>
      </c>
      <c r="C153" t="s">
        <v>4</v>
      </c>
      <c r="D153" s="1">
        <v>45719</v>
      </c>
      <c r="E153" t="s">
        <v>59</v>
      </c>
      <c r="F153">
        <v>87201</v>
      </c>
      <c r="G153" t="s">
        <v>60</v>
      </c>
      <c r="H153">
        <v>-73</v>
      </c>
      <c r="J153">
        <f>IF(H153&lt;0,H153,"")</f>
        <v>-73</v>
      </c>
      <c r="K153">
        <v>20808.05</v>
      </c>
      <c r="L153">
        <f t="shared" si="13"/>
        <v>-73</v>
      </c>
      <c r="M153">
        <f t="shared" si="14"/>
        <v>20808.05</v>
      </c>
      <c r="N153" s="3">
        <f t="shared" si="15"/>
        <v>0</v>
      </c>
      <c r="O153" t="s">
        <v>61</v>
      </c>
      <c r="P153" t="s">
        <v>5</v>
      </c>
    </row>
    <row r="154" spans="1:19" x14ac:dyDescent="0.25">
      <c r="A154">
        <v>152</v>
      </c>
      <c r="B154" t="s">
        <v>51</v>
      </c>
      <c r="C154" t="s">
        <v>4</v>
      </c>
      <c r="D154" s="1">
        <v>45719</v>
      </c>
      <c r="E154" t="s">
        <v>91</v>
      </c>
      <c r="F154" t="s">
        <v>92</v>
      </c>
      <c r="G154" t="s">
        <v>93</v>
      </c>
      <c r="H154">
        <v>-1250</v>
      </c>
      <c r="J154">
        <f>IF(H154&lt;0,H154,"")</f>
        <v>-1250</v>
      </c>
      <c r="K154">
        <v>19558.05</v>
      </c>
      <c r="L154">
        <f t="shared" si="13"/>
        <v>-1250</v>
      </c>
      <c r="M154">
        <f t="shared" si="14"/>
        <v>19558.05</v>
      </c>
      <c r="N154" s="3">
        <f t="shared" si="15"/>
        <v>0</v>
      </c>
      <c r="O154" t="s">
        <v>94</v>
      </c>
      <c r="P154" t="s">
        <v>27</v>
      </c>
    </row>
    <row r="155" spans="1:19" x14ac:dyDescent="0.25">
      <c r="A155">
        <v>153</v>
      </c>
      <c r="B155" t="s">
        <v>51</v>
      </c>
      <c r="C155" t="s">
        <v>4</v>
      </c>
      <c r="D155" s="1">
        <v>45721</v>
      </c>
      <c r="E155" t="s">
        <v>66</v>
      </c>
      <c r="F155" t="s">
        <v>67</v>
      </c>
      <c r="G155" t="s">
        <v>68</v>
      </c>
      <c r="H155">
        <v>2975</v>
      </c>
      <c r="I155">
        <f>IF(H155&gt;0,H155,"")</f>
        <v>2975</v>
      </c>
      <c r="K155">
        <v>22533.05</v>
      </c>
      <c r="L155">
        <f t="shared" si="13"/>
        <v>2975</v>
      </c>
      <c r="M155">
        <f t="shared" si="14"/>
        <v>22533.05</v>
      </c>
      <c r="N155" s="3">
        <f t="shared" si="15"/>
        <v>0</v>
      </c>
      <c r="O155" t="s">
        <v>69</v>
      </c>
      <c r="P155" t="s">
        <v>21</v>
      </c>
    </row>
    <row r="156" spans="1:19" x14ac:dyDescent="0.25">
      <c r="A156">
        <v>154</v>
      </c>
      <c r="B156" t="s">
        <v>51</v>
      </c>
      <c r="C156" t="s">
        <v>4</v>
      </c>
      <c r="D156" s="1">
        <v>45723</v>
      </c>
      <c r="E156" t="s">
        <v>66</v>
      </c>
      <c r="F156" t="s">
        <v>67</v>
      </c>
      <c r="G156" t="s">
        <v>68</v>
      </c>
      <c r="H156">
        <v>850</v>
      </c>
      <c r="I156">
        <f>IF(H156&gt;0,H156,"")</f>
        <v>850</v>
      </c>
      <c r="K156">
        <v>23383.05</v>
      </c>
      <c r="L156">
        <f t="shared" si="13"/>
        <v>850</v>
      </c>
      <c r="M156">
        <f t="shared" si="14"/>
        <v>23383.05</v>
      </c>
      <c r="N156" s="3">
        <f t="shared" si="15"/>
        <v>0</v>
      </c>
      <c r="O156" t="s">
        <v>69</v>
      </c>
      <c r="P156" t="s">
        <v>21</v>
      </c>
    </row>
    <row r="157" spans="1:19" x14ac:dyDescent="0.25">
      <c r="A157">
        <v>155</v>
      </c>
      <c r="B157" t="s">
        <v>51</v>
      </c>
      <c r="C157" t="s">
        <v>4</v>
      </c>
      <c r="D157" s="1">
        <v>45724</v>
      </c>
      <c r="E157" t="s">
        <v>129</v>
      </c>
      <c r="F157" t="s">
        <v>130</v>
      </c>
      <c r="G157" t="s">
        <v>93</v>
      </c>
      <c r="H157">
        <v>-415</v>
      </c>
      <c r="J157">
        <f>IF(H157&lt;0,H157,"")</f>
        <v>-415</v>
      </c>
      <c r="K157">
        <v>22968.05</v>
      </c>
      <c r="L157">
        <f t="shared" si="13"/>
        <v>-415</v>
      </c>
      <c r="M157">
        <f t="shared" si="14"/>
        <v>22968.05</v>
      </c>
      <c r="N157" s="3">
        <f t="shared" si="15"/>
        <v>0</v>
      </c>
      <c r="O157" t="s">
        <v>61</v>
      </c>
      <c r="P157" t="s">
        <v>18</v>
      </c>
    </row>
    <row r="158" spans="1:19" x14ac:dyDescent="0.25">
      <c r="A158">
        <v>156</v>
      </c>
      <c r="B158" t="s">
        <v>51</v>
      </c>
      <c r="C158" t="s">
        <v>4</v>
      </c>
      <c r="D158" s="1">
        <v>45727</v>
      </c>
      <c r="E158" t="s">
        <v>95</v>
      </c>
      <c r="F158" t="s">
        <v>96</v>
      </c>
      <c r="G158" t="s">
        <v>54</v>
      </c>
      <c r="H158">
        <v>1925</v>
      </c>
      <c r="I158">
        <f>IF(H158&gt;0,H158,"")</f>
        <v>1925</v>
      </c>
      <c r="K158">
        <v>24893.05</v>
      </c>
      <c r="L158">
        <f t="shared" si="13"/>
        <v>1925</v>
      </c>
      <c r="M158">
        <f t="shared" si="14"/>
        <v>24893.05</v>
      </c>
      <c r="N158" s="3">
        <f t="shared" si="15"/>
        <v>0</v>
      </c>
      <c r="O158" t="s">
        <v>69</v>
      </c>
      <c r="P158" t="s">
        <v>21</v>
      </c>
    </row>
    <row r="159" spans="1:19" x14ac:dyDescent="0.25">
      <c r="A159">
        <v>157</v>
      </c>
      <c r="B159" t="s">
        <v>51</v>
      </c>
      <c r="C159" t="s">
        <v>4</v>
      </c>
      <c r="D159" s="1">
        <v>45728</v>
      </c>
      <c r="E159" t="s">
        <v>82</v>
      </c>
      <c r="F159" t="s">
        <v>83</v>
      </c>
      <c r="G159" t="s">
        <v>64</v>
      </c>
      <c r="H159">
        <v>-5</v>
      </c>
      <c r="J159">
        <f>IF(H159&lt;0,H159,"")</f>
        <v>-5</v>
      </c>
      <c r="K159">
        <v>24888.05</v>
      </c>
      <c r="L159">
        <f t="shared" si="13"/>
        <v>-5</v>
      </c>
      <c r="M159">
        <f t="shared" si="14"/>
        <v>24888.05</v>
      </c>
      <c r="N159" s="3">
        <f t="shared" si="15"/>
        <v>0</v>
      </c>
      <c r="O159" t="s">
        <v>65</v>
      </c>
      <c r="P159" t="s">
        <v>32</v>
      </c>
    </row>
    <row r="160" spans="1:19" x14ac:dyDescent="0.25">
      <c r="A160">
        <v>158</v>
      </c>
      <c r="B160" t="s">
        <v>51</v>
      </c>
      <c r="C160" t="s">
        <v>4</v>
      </c>
      <c r="D160" s="1">
        <v>45742</v>
      </c>
      <c r="E160" t="s">
        <v>80</v>
      </c>
      <c r="F160" t="s">
        <v>81</v>
      </c>
      <c r="G160" t="s">
        <v>54</v>
      </c>
      <c r="H160">
        <v>600</v>
      </c>
      <c r="I160">
        <f>IF(H160&gt;0,H160,"")</f>
        <v>600</v>
      </c>
      <c r="K160">
        <v>25488.05</v>
      </c>
      <c r="L160">
        <f t="shared" si="13"/>
        <v>600</v>
      </c>
      <c r="M160">
        <f t="shared" si="14"/>
        <v>25488.05</v>
      </c>
      <c r="N160" s="3">
        <f t="shared" si="15"/>
        <v>0</v>
      </c>
      <c r="O160" t="s">
        <v>69</v>
      </c>
      <c r="P160" t="s">
        <v>21</v>
      </c>
      <c r="S160" s="4"/>
    </row>
    <row r="161" spans="1:19" x14ac:dyDescent="0.25">
      <c r="A161">
        <v>159</v>
      </c>
      <c r="B161" t="s">
        <v>51</v>
      </c>
      <c r="C161" t="s">
        <v>4</v>
      </c>
      <c r="D161" s="1">
        <v>45744</v>
      </c>
      <c r="E161" t="s">
        <v>84</v>
      </c>
      <c r="F161" t="s">
        <v>90</v>
      </c>
      <c r="G161" t="s">
        <v>54</v>
      </c>
      <c r="H161">
        <v>-48</v>
      </c>
      <c r="J161">
        <f>IF(H161&lt;0,H161,"")</f>
        <v>-48</v>
      </c>
      <c r="K161">
        <v>25440.05</v>
      </c>
      <c r="L161">
        <f t="shared" si="13"/>
        <v>-48</v>
      </c>
      <c r="M161">
        <f t="shared" si="14"/>
        <v>25440.05</v>
      </c>
      <c r="N161" s="3">
        <f t="shared" si="15"/>
        <v>0</v>
      </c>
      <c r="O161" t="s">
        <v>61</v>
      </c>
      <c r="P161" t="s">
        <v>7</v>
      </c>
    </row>
    <row r="162" spans="1:19" s="5" customFormat="1" x14ac:dyDescent="0.25">
      <c r="A162" s="5">
        <v>160</v>
      </c>
      <c r="B162" s="7" t="s">
        <v>51</v>
      </c>
      <c r="C162" s="7" t="s">
        <v>3</v>
      </c>
      <c r="D162" s="6">
        <v>45748</v>
      </c>
      <c r="E162" s="5" t="s">
        <v>107</v>
      </c>
      <c r="F162" s="5" t="s">
        <v>108</v>
      </c>
      <c r="G162" s="5" t="s">
        <v>54</v>
      </c>
      <c r="H162" s="5">
        <v>-1000</v>
      </c>
      <c r="J162" s="5">
        <v>1000</v>
      </c>
      <c r="K162" s="5">
        <v>24440.05</v>
      </c>
      <c r="L162" s="5">
        <f>I162-J162</f>
        <v>-1000</v>
      </c>
      <c r="M162" s="5">
        <f>M161+L162</f>
        <v>24440.05</v>
      </c>
      <c r="N162" s="5">
        <f>K162-M162</f>
        <v>0</v>
      </c>
      <c r="O162" s="5" t="s">
        <v>55</v>
      </c>
      <c r="P162" s="5" t="s">
        <v>13</v>
      </c>
      <c r="Q162" t="s">
        <v>14</v>
      </c>
      <c r="R162" s="5">
        <f>IF(P162=Q162,0,1)</f>
        <v>1</v>
      </c>
    </row>
    <row r="163" spans="1:19" x14ac:dyDescent="0.25">
      <c r="A163" s="5">
        <v>161</v>
      </c>
      <c r="B163" s="7" t="s">
        <v>51</v>
      </c>
      <c r="C163" s="7" t="s">
        <v>3</v>
      </c>
      <c r="D163" s="6">
        <v>45748</v>
      </c>
      <c r="E163" s="5" t="s">
        <v>59</v>
      </c>
      <c r="F163" s="5" t="s">
        <v>131</v>
      </c>
      <c r="G163" s="5" t="s">
        <v>60</v>
      </c>
      <c r="H163" s="5">
        <v>-73</v>
      </c>
      <c r="I163" s="5"/>
      <c r="J163" s="5">
        <v>73</v>
      </c>
      <c r="K163" s="5">
        <v>24367.05</v>
      </c>
      <c r="L163" s="5">
        <f>I163-J163</f>
        <v>-73</v>
      </c>
      <c r="M163" s="5">
        <f>M162+L163</f>
        <v>24367.05</v>
      </c>
      <c r="N163" s="5">
        <f>K163-M163</f>
        <v>0</v>
      </c>
      <c r="O163" s="5" t="s">
        <v>61</v>
      </c>
      <c r="P163" s="5" t="s">
        <v>5</v>
      </c>
      <c r="Q163" t="s">
        <v>5</v>
      </c>
      <c r="R163" s="5">
        <f>IF(P163=Q163,0,1)</f>
        <v>0</v>
      </c>
      <c r="S163" s="4"/>
    </row>
    <row r="164" spans="1:19" x14ac:dyDescent="0.25">
      <c r="A164" s="5">
        <v>162</v>
      </c>
      <c r="B164" s="7" t="s">
        <v>132</v>
      </c>
      <c r="C164" s="7" t="s">
        <v>4</v>
      </c>
      <c r="D164" s="6">
        <v>45754</v>
      </c>
      <c r="E164" s="5" t="s">
        <v>133</v>
      </c>
      <c r="F164" s="5" t="s">
        <v>134</v>
      </c>
      <c r="G164" s="5" t="s">
        <v>64</v>
      </c>
      <c r="H164" s="5">
        <v>-4</v>
      </c>
      <c r="I164" s="5"/>
      <c r="J164" s="5">
        <v>4</v>
      </c>
      <c r="K164" s="5">
        <v>24363.05</v>
      </c>
      <c r="L164" s="5">
        <f>I164-J164</f>
        <v>-4</v>
      </c>
      <c r="M164" s="5">
        <f>M163+L164</f>
        <v>24363.05</v>
      </c>
      <c r="N164" s="5">
        <f>K164-M164</f>
        <v>0</v>
      </c>
      <c r="O164" s="5" t="s">
        <v>65</v>
      </c>
      <c r="P164" s="5" t="s">
        <v>23</v>
      </c>
      <c r="Q164" t="s">
        <v>32</v>
      </c>
      <c r="R164" s="5">
        <f>IF(P164=Q164,0,1)</f>
        <v>1</v>
      </c>
    </row>
    <row r="165" spans="1:19" x14ac:dyDescent="0.25">
      <c r="A165" s="5">
        <v>163</v>
      </c>
      <c r="B165" s="7" t="s">
        <v>132</v>
      </c>
      <c r="C165" s="7" t="s">
        <v>4</v>
      </c>
      <c r="D165" s="6">
        <v>45755</v>
      </c>
      <c r="E165" s="5" t="s">
        <v>107</v>
      </c>
      <c r="F165" s="5" t="s">
        <v>70</v>
      </c>
      <c r="G165" s="5" t="s">
        <v>54</v>
      </c>
      <c r="H165" s="5">
        <v>-2500</v>
      </c>
      <c r="I165" s="5"/>
      <c r="J165" s="5">
        <v>2500</v>
      </c>
      <c r="K165" s="5">
        <v>21863.05</v>
      </c>
      <c r="L165" s="5">
        <f>I165-J165</f>
        <v>-2500</v>
      </c>
      <c r="M165" s="5">
        <f>M164+L165</f>
        <v>21863.05</v>
      </c>
      <c r="N165" s="5">
        <f>K165-M165</f>
        <v>0</v>
      </c>
      <c r="O165" s="5" t="s">
        <v>55</v>
      </c>
      <c r="P165" s="7" t="s">
        <v>13</v>
      </c>
      <c r="Q165" t="s">
        <v>15</v>
      </c>
      <c r="R165" s="5">
        <f>IF(P165=Q165,0,1)</f>
        <v>1</v>
      </c>
    </row>
    <row r="166" spans="1:19" x14ac:dyDescent="0.25">
      <c r="A166" s="5">
        <v>164</v>
      </c>
      <c r="B166" s="7" t="s">
        <v>132</v>
      </c>
      <c r="C166" s="7" t="s">
        <v>4</v>
      </c>
      <c r="D166" s="6">
        <v>45756</v>
      </c>
      <c r="E166" s="5" t="s">
        <v>66</v>
      </c>
      <c r="F166" s="5" t="s">
        <v>67</v>
      </c>
      <c r="G166" s="5" t="s">
        <v>68</v>
      </c>
      <c r="H166" s="5">
        <v>2550</v>
      </c>
      <c r="I166" s="5">
        <v>2550</v>
      </c>
      <c r="J166" s="5"/>
      <c r="K166" s="5">
        <v>24413.05</v>
      </c>
      <c r="L166" s="5">
        <f>I166-J166</f>
        <v>2550</v>
      </c>
      <c r="M166" s="5">
        <f>M165+L166</f>
        <v>24413.05</v>
      </c>
      <c r="N166" s="5">
        <f>K166-M166</f>
        <v>0</v>
      </c>
      <c r="O166" s="5" t="s">
        <v>69</v>
      </c>
      <c r="P166" s="5" t="s">
        <v>21</v>
      </c>
      <c r="Q166" t="s">
        <v>21</v>
      </c>
      <c r="R166" s="5">
        <f>IF(P166=Q166,0,1)</f>
        <v>0</v>
      </c>
    </row>
    <row r="167" spans="1:19" x14ac:dyDescent="0.25">
      <c r="A167" s="5">
        <v>165</v>
      </c>
      <c r="B167" s="7" t="s">
        <v>132</v>
      </c>
      <c r="C167" s="7" t="s">
        <v>4</v>
      </c>
      <c r="D167" s="6">
        <v>45758</v>
      </c>
      <c r="E167" s="5" t="s">
        <v>135</v>
      </c>
      <c r="F167" s="5" t="s">
        <v>96</v>
      </c>
      <c r="G167" s="5" t="s">
        <v>54</v>
      </c>
      <c r="H167" s="5">
        <v>1925</v>
      </c>
      <c r="I167" s="5">
        <v>1925</v>
      </c>
      <c r="J167" s="5"/>
      <c r="K167" s="5">
        <v>26338.05</v>
      </c>
      <c r="L167" s="5">
        <f>I167-J167</f>
        <v>1925</v>
      </c>
      <c r="M167" s="5">
        <f>M166+L167</f>
        <v>26338.05</v>
      </c>
      <c r="N167" s="5">
        <f>K167-M167</f>
        <v>0</v>
      </c>
      <c r="O167" s="5" t="s">
        <v>69</v>
      </c>
      <c r="P167" s="5" t="s">
        <v>21</v>
      </c>
      <c r="Q167" t="s">
        <v>21</v>
      </c>
      <c r="R167" s="5">
        <f>IF(P167=Q167,0,1)</f>
        <v>0</v>
      </c>
    </row>
    <row r="168" spans="1:19" x14ac:dyDescent="0.25">
      <c r="A168" s="5">
        <v>166</v>
      </c>
      <c r="B168" s="7" t="s">
        <v>132</v>
      </c>
      <c r="C168" s="7" t="s">
        <v>4</v>
      </c>
      <c r="D168" s="6">
        <v>45765</v>
      </c>
      <c r="E168" s="5" t="s">
        <v>82</v>
      </c>
      <c r="F168" s="5" t="s">
        <v>83</v>
      </c>
      <c r="G168" s="5" t="s">
        <v>64</v>
      </c>
      <c r="H168" s="5">
        <v>-7</v>
      </c>
      <c r="I168" s="5"/>
      <c r="J168" s="5">
        <v>7</v>
      </c>
      <c r="K168" s="5">
        <v>26331.05</v>
      </c>
      <c r="L168" s="5">
        <f>I168-J168</f>
        <v>-7</v>
      </c>
      <c r="M168" s="5">
        <f>M167+L168</f>
        <v>26331.05</v>
      </c>
      <c r="N168" s="5">
        <f>K168-M168</f>
        <v>0</v>
      </c>
      <c r="O168" s="5" t="s">
        <v>65</v>
      </c>
      <c r="P168" s="5" t="s">
        <v>23</v>
      </c>
      <c r="Q168" t="s">
        <v>32</v>
      </c>
      <c r="R168" s="5">
        <f>IF(P168=Q168,0,1)</f>
        <v>1</v>
      </c>
    </row>
    <row r="169" spans="1:19" x14ac:dyDescent="0.25">
      <c r="A169" s="5">
        <v>167</v>
      </c>
      <c r="B169" s="7" t="s">
        <v>132</v>
      </c>
      <c r="C169" s="7" t="s">
        <v>4</v>
      </c>
      <c r="D169" s="6">
        <v>45767</v>
      </c>
      <c r="E169" s="5" t="s">
        <v>82</v>
      </c>
      <c r="F169" s="5" t="s">
        <v>83</v>
      </c>
      <c r="G169" s="5" t="s">
        <v>64</v>
      </c>
      <c r="H169" s="5">
        <v>-7</v>
      </c>
      <c r="I169" s="5"/>
      <c r="J169" s="5">
        <v>7</v>
      </c>
      <c r="K169" s="5">
        <v>26324.05</v>
      </c>
      <c r="L169" s="5">
        <f>I169-J169</f>
        <v>-7</v>
      </c>
      <c r="M169" s="5">
        <f>M168+L169</f>
        <v>26324.05</v>
      </c>
      <c r="N169" s="5">
        <f>K169-M169</f>
        <v>0</v>
      </c>
      <c r="O169" s="5" t="s">
        <v>65</v>
      </c>
      <c r="P169" s="5" t="s">
        <v>23</v>
      </c>
      <c r="Q169" t="s">
        <v>32</v>
      </c>
      <c r="R169" s="5">
        <f>IF(P169=Q169,0,1)</f>
        <v>1</v>
      </c>
    </row>
    <row r="170" spans="1:19" x14ac:dyDescent="0.25">
      <c r="A170" s="5">
        <v>168</v>
      </c>
      <c r="B170" s="7" t="s">
        <v>132</v>
      </c>
      <c r="C170" s="7" t="s">
        <v>4</v>
      </c>
      <c r="D170" s="6">
        <v>45769</v>
      </c>
      <c r="E170" s="5" t="s">
        <v>66</v>
      </c>
      <c r="F170" s="5" t="s">
        <v>67</v>
      </c>
      <c r="G170" s="5" t="s">
        <v>68</v>
      </c>
      <c r="H170" s="5">
        <v>425</v>
      </c>
      <c r="I170" s="5">
        <v>425</v>
      </c>
      <c r="J170" s="5"/>
      <c r="K170" s="5">
        <v>26749.05</v>
      </c>
      <c r="L170" s="5">
        <f>I170-J170</f>
        <v>425</v>
      </c>
      <c r="M170" s="5">
        <f>M169+L170</f>
        <v>26749.05</v>
      </c>
      <c r="N170" s="5">
        <f>K170-M170</f>
        <v>0</v>
      </c>
      <c r="O170" s="5" t="s">
        <v>69</v>
      </c>
      <c r="P170" s="5" t="s">
        <v>21</v>
      </c>
      <c r="Q170" t="s">
        <v>21</v>
      </c>
      <c r="R170" s="5">
        <f>IF(P170=Q170,0,1)</f>
        <v>0</v>
      </c>
    </row>
    <row r="171" spans="1:19" x14ac:dyDescent="0.25">
      <c r="A171" s="5">
        <v>169</v>
      </c>
      <c r="B171" s="7" t="s">
        <v>132</v>
      </c>
      <c r="C171" s="7" t="s">
        <v>4</v>
      </c>
      <c r="D171" s="6">
        <v>45774</v>
      </c>
      <c r="E171" s="5" t="s">
        <v>82</v>
      </c>
      <c r="F171" s="5" t="s">
        <v>83</v>
      </c>
      <c r="G171" s="5" t="s">
        <v>64</v>
      </c>
      <c r="H171" s="5">
        <v>-7</v>
      </c>
      <c r="I171" s="5"/>
      <c r="J171" s="5">
        <v>7</v>
      </c>
      <c r="K171" s="5">
        <v>26742.05</v>
      </c>
      <c r="L171" s="5">
        <f>I171-J171</f>
        <v>-7</v>
      </c>
      <c r="M171" s="5">
        <f>M170+L171</f>
        <v>26742.05</v>
      </c>
      <c r="N171" s="5">
        <f>K171-M171</f>
        <v>0</v>
      </c>
      <c r="O171" s="5" t="s">
        <v>65</v>
      </c>
      <c r="P171" s="5" t="s">
        <v>23</v>
      </c>
      <c r="Q171" t="s">
        <v>32</v>
      </c>
      <c r="R171" s="5">
        <f>IF(P171=Q171,0,1)</f>
        <v>1</v>
      </c>
    </row>
    <row r="172" spans="1:19" x14ac:dyDescent="0.25">
      <c r="A172" s="5">
        <v>170</v>
      </c>
      <c r="B172" s="7" t="s">
        <v>132</v>
      </c>
      <c r="C172" s="7" t="s">
        <v>4</v>
      </c>
      <c r="D172" s="6">
        <v>45775</v>
      </c>
      <c r="E172" s="5" t="s">
        <v>84</v>
      </c>
      <c r="F172" s="5" t="s">
        <v>90</v>
      </c>
      <c r="G172" s="5" t="s">
        <v>54</v>
      </c>
      <c r="H172" s="5">
        <v>-48</v>
      </c>
      <c r="I172" s="5"/>
      <c r="J172" s="5">
        <v>48</v>
      </c>
      <c r="K172" s="5">
        <v>26694.05</v>
      </c>
      <c r="L172" s="5">
        <f>I172-J172</f>
        <v>-48</v>
      </c>
      <c r="M172" s="5">
        <f>M171+L172</f>
        <v>26694.05</v>
      </c>
      <c r="N172" s="5">
        <f>K172-M172</f>
        <v>0</v>
      </c>
      <c r="O172" s="5" t="s">
        <v>61</v>
      </c>
      <c r="P172" s="5" t="s">
        <v>24</v>
      </c>
      <c r="Q172" t="s">
        <v>7</v>
      </c>
      <c r="R172" s="5">
        <f>IF(P172=Q172,0,1)</f>
        <v>1</v>
      </c>
    </row>
    <row r="173" spans="1:19" x14ac:dyDescent="0.25">
      <c r="A173" s="5">
        <v>171</v>
      </c>
      <c r="B173" s="7" t="s">
        <v>132</v>
      </c>
      <c r="C173" s="7" t="s">
        <v>4</v>
      </c>
      <c r="D173" s="6">
        <v>45776</v>
      </c>
      <c r="E173" s="5" t="s">
        <v>80</v>
      </c>
      <c r="F173" s="5" t="s">
        <v>81</v>
      </c>
      <c r="G173" s="5" t="s">
        <v>54</v>
      </c>
      <c r="H173" s="5">
        <v>1800</v>
      </c>
      <c r="I173" s="5">
        <v>1800</v>
      </c>
      <c r="J173" s="5"/>
      <c r="K173" s="5">
        <v>28494.05</v>
      </c>
      <c r="L173" s="5">
        <f>I173-J173</f>
        <v>1800</v>
      </c>
      <c r="M173" s="5">
        <f>M172+L173</f>
        <v>28494.05</v>
      </c>
      <c r="N173" s="5">
        <f>K173-M173</f>
        <v>0</v>
      </c>
      <c r="O173" s="5" t="s">
        <v>69</v>
      </c>
      <c r="P173" s="5" t="s">
        <v>21</v>
      </c>
      <c r="Q173" t="s">
        <v>21</v>
      </c>
      <c r="R173" s="5">
        <f>IF(P173=Q173,0,1)</f>
        <v>0</v>
      </c>
    </row>
    <row r="174" spans="1:19" x14ac:dyDescent="0.25">
      <c r="A174" s="5">
        <v>172</v>
      </c>
      <c r="B174" s="7" t="s">
        <v>132</v>
      </c>
      <c r="C174" s="7" t="s">
        <v>4</v>
      </c>
      <c r="D174" s="6">
        <v>45778</v>
      </c>
      <c r="E174" s="5" t="s">
        <v>59</v>
      </c>
      <c r="F174" s="5" t="s">
        <v>131</v>
      </c>
      <c r="G174" s="5" t="s">
        <v>60</v>
      </c>
      <c r="H174" s="5">
        <v>-73</v>
      </c>
      <c r="I174" s="5"/>
      <c r="J174" s="5">
        <v>73</v>
      </c>
      <c r="K174" s="5">
        <v>28421.05</v>
      </c>
      <c r="L174" s="5">
        <f>I174-J174</f>
        <v>-73</v>
      </c>
      <c r="M174" s="5">
        <f>M173+L174</f>
        <v>28421.05</v>
      </c>
      <c r="N174" s="5">
        <f>K174-M174</f>
        <v>0</v>
      </c>
      <c r="O174" s="5" t="s">
        <v>61</v>
      </c>
      <c r="P174" s="5" t="s">
        <v>5</v>
      </c>
      <c r="Q174" t="s">
        <v>5</v>
      </c>
      <c r="R174" s="5">
        <f>IF(P174=Q174,0,1)</f>
        <v>0</v>
      </c>
    </row>
    <row r="175" spans="1:19" x14ac:dyDescent="0.25">
      <c r="A175" s="5">
        <v>173</v>
      </c>
      <c r="B175" s="7" t="s">
        <v>132</v>
      </c>
      <c r="C175" s="7" t="s">
        <v>4</v>
      </c>
      <c r="D175" s="6">
        <v>45778</v>
      </c>
      <c r="E175" s="5" t="s">
        <v>107</v>
      </c>
      <c r="F175" s="5" t="s">
        <v>108</v>
      </c>
      <c r="G175" s="5" t="s">
        <v>54</v>
      </c>
      <c r="H175" s="5">
        <v>-1000</v>
      </c>
      <c r="I175" s="5"/>
      <c r="J175" s="5">
        <v>1000</v>
      </c>
      <c r="K175" s="5">
        <v>27421.05</v>
      </c>
      <c r="L175" s="5">
        <f>I175-J175</f>
        <v>-1000</v>
      </c>
      <c r="M175" s="5">
        <f>M174+L175</f>
        <v>27421.05</v>
      </c>
      <c r="N175" s="5">
        <f>K175-M175</f>
        <v>0</v>
      </c>
      <c r="O175" s="5" t="s">
        <v>55</v>
      </c>
      <c r="P175" s="5" t="s">
        <v>13</v>
      </c>
      <c r="Q175" t="s">
        <v>14</v>
      </c>
      <c r="R175" s="5">
        <f>IF(P175=Q175,0,1)</f>
        <v>1</v>
      </c>
    </row>
    <row r="176" spans="1:19" x14ac:dyDescent="0.25">
      <c r="A176" s="5">
        <v>174</v>
      </c>
      <c r="B176" s="7" t="s">
        <v>132</v>
      </c>
      <c r="C176" s="7" t="s">
        <v>4</v>
      </c>
      <c r="D176" s="6">
        <v>45783</v>
      </c>
      <c r="E176" s="5" t="s">
        <v>62</v>
      </c>
      <c r="F176" s="5" t="s">
        <v>63</v>
      </c>
      <c r="G176" s="5" t="s">
        <v>64</v>
      </c>
      <c r="H176" s="5">
        <v>-4</v>
      </c>
      <c r="I176" s="5"/>
      <c r="J176" s="5">
        <v>4</v>
      </c>
      <c r="K176" s="5">
        <v>27417.05</v>
      </c>
      <c r="L176" s="5">
        <f>I176-J176</f>
        <v>-4</v>
      </c>
      <c r="M176" s="5">
        <f>M175+L176</f>
        <v>27417.05</v>
      </c>
      <c r="N176" s="5">
        <f>K176-M176</f>
        <v>0</v>
      </c>
      <c r="O176" s="5" t="s">
        <v>65</v>
      </c>
      <c r="P176" s="5" t="s">
        <v>32</v>
      </c>
      <c r="Q176" t="s">
        <v>32</v>
      </c>
      <c r="R176" s="5">
        <f>IF(P176=Q176,0,1)</f>
        <v>0</v>
      </c>
    </row>
    <row r="177" spans="1:18" x14ac:dyDescent="0.25">
      <c r="A177" s="5">
        <v>175</v>
      </c>
      <c r="B177" s="7" t="s">
        <v>132</v>
      </c>
      <c r="C177" s="7" t="s">
        <v>4</v>
      </c>
      <c r="D177" s="6">
        <v>45785</v>
      </c>
      <c r="E177" s="5" t="s">
        <v>66</v>
      </c>
      <c r="F177" s="5" t="s">
        <v>67</v>
      </c>
      <c r="G177" s="5" t="s">
        <v>68</v>
      </c>
      <c r="H177" s="5">
        <v>3825</v>
      </c>
      <c r="I177" s="5">
        <v>3825</v>
      </c>
      <c r="J177" s="5"/>
      <c r="K177" s="5">
        <v>31242.05</v>
      </c>
      <c r="L177" s="5">
        <f>I177-J177</f>
        <v>3825</v>
      </c>
      <c r="M177" s="5">
        <f>M176+L177</f>
        <v>31242.05</v>
      </c>
      <c r="N177" s="5">
        <f>K177-M177</f>
        <v>0</v>
      </c>
      <c r="O177" s="5" t="s">
        <v>69</v>
      </c>
      <c r="P177" s="5" t="s">
        <v>21</v>
      </c>
      <c r="Q177" t="s">
        <v>21</v>
      </c>
      <c r="R177" s="5">
        <f>IF(P177=Q177,0,1)</f>
        <v>0</v>
      </c>
    </row>
    <row r="178" spans="1:18" x14ac:dyDescent="0.25">
      <c r="A178" s="5">
        <v>176</v>
      </c>
      <c r="B178" s="7" t="s">
        <v>132</v>
      </c>
      <c r="C178" s="7" t="s">
        <v>4</v>
      </c>
      <c r="D178" s="6">
        <v>45786</v>
      </c>
      <c r="E178" s="5" t="s">
        <v>136</v>
      </c>
      <c r="F178" s="5" t="s">
        <v>137</v>
      </c>
      <c r="G178" s="5" t="s">
        <v>68</v>
      </c>
      <c r="H178" s="5">
        <v>1325</v>
      </c>
      <c r="I178" s="5">
        <v>1325</v>
      </c>
      <c r="J178" s="5"/>
      <c r="K178" s="5">
        <v>32567.05</v>
      </c>
      <c r="L178" s="5">
        <f>I178-J178</f>
        <v>1325</v>
      </c>
      <c r="M178" s="5">
        <f>M177+L178</f>
        <v>32567.05</v>
      </c>
      <c r="N178" s="5">
        <f>K178-M178</f>
        <v>0</v>
      </c>
      <c r="O178" s="5" t="s">
        <v>69</v>
      </c>
      <c r="P178" s="5" t="s">
        <v>21</v>
      </c>
      <c r="Q178" t="s">
        <v>21</v>
      </c>
      <c r="R178" s="5">
        <f>IF(P178=Q178,0,1)</f>
        <v>0</v>
      </c>
    </row>
    <row r="179" spans="1:18" x14ac:dyDescent="0.25">
      <c r="A179" s="5">
        <v>177</v>
      </c>
      <c r="B179" s="7" t="s">
        <v>132</v>
      </c>
      <c r="C179" s="7" t="s">
        <v>4</v>
      </c>
      <c r="D179" s="6">
        <v>45786</v>
      </c>
      <c r="E179" s="5" t="s">
        <v>135</v>
      </c>
      <c r="F179" s="5" t="s">
        <v>96</v>
      </c>
      <c r="G179" s="5" t="s">
        <v>54</v>
      </c>
      <c r="H179" s="5">
        <v>1075</v>
      </c>
      <c r="I179" s="5">
        <v>1075</v>
      </c>
      <c r="J179" s="5"/>
      <c r="K179" s="5">
        <v>33642.050000000003</v>
      </c>
      <c r="L179" s="5">
        <f>I179-J179</f>
        <v>1075</v>
      </c>
      <c r="M179" s="5">
        <f>M178+L179</f>
        <v>33642.050000000003</v>
      </c>
      <c r="N179" s="5">
        <f>K179-M179</f>
        <v>0</v>
      </c>
      <c r="O179" s="5" t="s">
        <v>69</v>
      </c>
      <c r="P179" s="5" t="s">
        <v>21</v>
      </c>
      <c r="Q179" t="s">
        <v>21</v>
      </c>
      <c r="R179" s="5">
        <f>IF(P179=Q179,0,1)</f>
        <v>0</v>
      </c>
    </row>
    <row r="180" spans="1:18" x14ac:dyDescent="0.25">
      <c r="A180" s="5">
        <v>178</v>
      </c>
      <c r="B180" s="7" t="s">
        <v>132</v>
      </c>
      <c r="C180" s="7" t="s">
        <v>4</v>
      </c>
      <c r="D180" s="6">
        <v>45786</v>
      </c>
      <c r="E180" s="5" t="s">
        <v>107</v>
      </c>
      <c r="F180" s="5" t="s">
        <v>70</v>
      </c>
      <c r="G180" s="5" t="s">
        <v>54</v>
      </c>
      <c r="H180" s="5">
        <v>-2500</v>
      </c>
      <c r="I180" s="5"/>
      <c r="J180" s="5">
        <v>2500</v>
      </c>
      <c r="K180" s="5">
        <v>31142.05</v>
      </c>
      <c r="L180" s="5">
        <f>I180-J180</f>
        <v>-2500</v>
      </c>
      <c r="M180" s="5">
        <f>M179+L180</f>
        <v>31142.050000000003</v>
      </c>
      <c r="N180" s="5">
        <f>K180-M180</f>
        <v>0</v>
      </c>
      <c r="O180" s="5" t="s">
        <v>55</v>
      </c>
      <c r="P180" s="7" t="s">
        <v>13</v>
      </c>
      <c r="Q180" t="s">
        <v>15</v>
      </c>
      <c r="R180" s="5">
        <f>IF(P180=Q180,0,1)</f>
        <v>1</v>
      </c>
    </row>
    <row r="181" spans="1:18" x14ac:dyDescent="0.25">
      <c r="A181" s="5">
        <v>179</v>
      </c>
      <c r="B181" s="7" t="s">
        <v>132</v>
      </c>
      <c r="C181" s="7" t="s">
        <v>4</v>
      </c>
      <c r="D181" s="6">
        <v>45786</v>
      </c>
      <c r="E181" s="5" t="s">
        <v>107</v>
      </c>
      <c r="F181" s="5" t="s">
        <v>70</v>
      </c>
      <c r="G181" s="5" t="s">
        <v>54</v>
      </c>
      <c r="H181" s="5">
        <v>-10000</v>
      </c>
      <c r="I181" s="5"/>
      <c r="J181" s="5">
        <v>10000</v>
      </c>
      <c r="K181" s="5">
        <v>21142.05</v>
      </c>
      <c r="L181" s="5">
        <f>I181-J181</f>
        <v>-10000</v>
      </c>
      <c r="M181" s="5">
        <f>M180+L181</f>
        <v>21142.050000000003</v>
      </c>
      <c r="N181" s="5">
        <f>K181-M181</f>
        <v>0</v>
      </c>
      <c r="O181" s="5" t="s">
        <v>55</v>
      </c>
      <c r="P181" s="7" t="s">
        <v>13</v>
      </c>
      <c r="Q181" t="s">
        <v>15</v>
      </c>
      <c r="R181" s="5">
        <f>IF(P181=Q181,0,1)</f>
        <v>1</v>
      </c>
    </row>
    <row r="182" spans="1:18" x14ac:dyDescent="0.25">
      <c r="A182" s="5">
        <v>180</v>
      </c>
      <c r="B182" s="7" t="s">
        <v>132</v>
      </c>
      <c r="C182" s="7" t="s">
        <v>4</v>
      </c>
      <c r="D182" s="6">
        <v>45787</v>
      </c>
      <c r="E182" s="5" t="s">
        <v>138</v>
      </c>
      <c r="F182" s="5" t="s">
        <v>92</v>
      </c>
      <c r="G182" s="5" t="s">
        <v>93</v>
      </c>
      <c r="H182" s="5">
        <v>-600</v>
      </c>
      <c r="I182" s="5"/>
      <c r="J182" s="5">
        <v>600</v>
      </c>
      <c r="K182" s="5">
        <v>20542.05</v>
      </c>
      <c r="L182" s="5">
        <f>I182-J182</f>
        <v>-600</v>
      </c>
      <c r="M182" s="5">
        <f>M181+L182</f>
        <v>20542.050000000003</v>
      </c>
      <c r="N182" s="5">
        <f>K182-M182</f>
        <v>0</v>
      </c>
      <c r="O182" s="5" t="s">
        <v>94</v>
      </c>
      <c r="P182" s="7" t="s">
        <v>29</v>
      </c>
      <c r="Q182" t="s">
        <v>27</v>
      </c>
      <c r="R182" s="5">
        <f>IF(P182=Q182,0,1)</f>
        <v>1</v>
      </c>
    </row>
    <row r="183" spans="1:18" x14ac:dyDescent="0.25">
      <c r="A183" s="5">
        <v>181</v>
      </c>
      <c r="B183" s="7" t="s">
        <v>132</v>
      </c>
      <c r="C183" s="7" t="s">
        <v>4</v>
      </c>
      <c r="D183" s="6">
        <v>45797</v>
      </c>
      <c r="E183" s="5" t="s">
        <v>102</v>
      </c>
      <c r="F183" s="5" t="s">
        <v>103</v>
      </c>
      <c r="G183" s="5" t="s">
        <v>93</v>
      </c>
      <c r="H183" s="5">
        <v>193.25</v>
      </c>
      <c r="I183" s="5">
        <v>193.25</v>
      </c>
      <c r="J183" s="5"/>
      <c r="K183" s="5">
        <v>20735.3</v>
      </c>
      <c r="L183" s="5">
        <f>I183-J183</f>
        <v>193.25</v>
      </c>
      <c r="M183" s="5">
        <f>M182+L183</f>
        <v>20735.300000000003</v>
      </c>
      <c r="N183" s="5">
        <f>K183-M183</f>
        <v>0</v>
      </c>
      <c r="O183" s="5" t="s">
        <v>104</v>
      </c>
      <c r="P183" s="5" t="s">
        <v>8</v>
      </c>
      <c r="Q183" t="s">
        <v>11</v>
      </c>
      <c r="R183" s="5">
        <f>IF(P183=Q183,0,1)</f>
        <v>1</v>
      </c>
    </row>
    <row r="184" spans="1:18" x14ac:dyDescent="0.25">
      <c r="A184" s="5">
        <v>182</v>
      </c>
      <c r="B184" s="7" t="s">
        <v>132</v>
      </c>
      <c r="C184" s="7" t="s">
        <v>4</v>
      </c>
      <c r="D184" s="6">
        <v>45802</v>
      </c>
      <c r="E184" s="5" t="s">
        <v>82</v>
      </c>
      <c r="F184" s="5" t="s">
        <v>83</v>
      </c>
      <c r="G184" s="5" t="s">
        <v>64</v>
      </c>
      <c r="H184" s="5">
        <v>-7.1</v>
      </c>
      <c r="I184" s="5"/>
      <c r="J184" s="5">
        <v>7.1</v>
      </c>
      <c r="K184" s="5">
        <v>20728.2</v>
      </c>
      <c r="L184" s="5">
        <f>I184-J184</f>
        <v>-7.1</v>
      </c>
      <c r="M184" s="5">
        <f>M183+L184</f>
        <v>20728.200000000004</v>
      </c>
      <c r="N184" s="5">
        <f>K184-M184</f>
        <v>0</v>
      </c>
      <c r="O184" s="5" t="s">
        <v>65</v>
      </c>
      <c r="P184" s="5" t="s">
        <v>23</v>
      </c>
      <c r="Q184" t="s">
        <v>32</v>
      </c>
      <c r="R184" s="5">
        <f>IF(P184=Q184,0,1)</f>
        <v>1</v>
      </c>
    </row>
    <row r="185" spans="1:18" x14ac:dyDescent="0.25">
      <c r="A185" s="5">
        <v>183</v>
      </c>
      <c r="B185" s="7" t="s">
        <v>132</v>
      </c>
      <c r="C185" s="7" t="s">
        <v>4</v>
      </c>
      <c r="D185" s="6">
        <v>45805</v>
      </c>
      <c r="E185" s="5" t="s">
        <v>84</v>
      </c>
      <c r="F185" s="5" t="s">
        <v>90</v>
      </c>
      <c r="G185" s="5" t="s">
        <v>54</v>
      </c>
      <c r="H185" s="5">
        <v>-48</v>
      </c>
      <c r="I185" s="5"/>
      <c r="J185" s="5">
        <v>48</v>
      </c>
      <c r="K185" s="5">
        <v>20680.2</v>
      </c>
      <c r="L185" s="5">
        <f>I185-J185</f>
        <v>-48</v>
      </c>
      <c r="M185" s="5">
        <f>M184+L185</f>
        <v>20680.200000000004</v>
      </c>
      <c r="N185" s="5">
        <f>K185-M185</f>
        <v>0</v>
      </c>
      <c r="O185" s="5" t="s">
        <v>61</v>
      </c>
      <c r="P185" s="5" t="s">
        <v>24</v>
      </c>
      <c r="Q185" t="s">
        <v>7</v>
      </c>
      <c r="R185" s="5">
        <f>IF(P185=Q185,0,1)</f>
        <v>1</v>
      </c>
    </row>
    <row r="186" spans="1:18" x14ac:dyDescent="0.25">
      <c r="A186" s="5">
        <v>184</v>
      </c>
      <c r="B186" s="7" t="s">
        <v>132</v>
      </c>
      <c r="C186" s="7" t="s">
        <v>4</v>
      </c>
      <c r="D186" s="6">
        <v>45805</v>
      </c>
      <c r="E186" s="5" t="s">
        <v>139</v>
      </c>
      <c r="F186" s="5" t="s">
        <v>140</v>
      </c>
      <c r="G186" s="5" t="s">
        <v>64</v>
      </c>
      <c r="H186" s="5">
        <v>-11.6</v>
      </c>
      <c r="I186" s="5"/>
      <c r="J186" s="5">
        <v>11.6</v>
      </c>
      <c r="K186" s="5">
        <v>20668.599999999999</v>
      </c>
      <c r="L186" s="5">
        <f>I186-J186</f>
        <v>-11.6</v>
      </c>
      <c r="M186" s="5">
        <f>M185+L186</f>
        <v>20668.600000000006</v>
      </c>
      <c r="N186" s="5">
        <f>K186-M186</f>
        <v>0</v>
      </c>
      <c r="O186" s="5" t="s">
        <v>65</v>
      </c>
      <c r="P186" s="5" t="s">
        <v>30</v>
      </c>
      <c r="Q186" t="s">
        <v>32</v>
      </c>
      <c r="R186" s="5">
        <f>IF(P186=Q186,0,1)</f>
        <v>1</v>
      </c>
    </row>
    <row r="187" spans="1:18" x14ac:dyDescent="0.25">
      <c r="A187" s="5">
        <v>185</v>
      </c>
      <c r="B187" s="7" t="s">
        <v>132</v>
      </c>
      <c r="C187" s="7" t="s">
        <v>4</v>
      </c>
      <c r="D187" s="6">
        <v>45807</v>
      </c>
      <c r="E187" s="5" t="s">
        <v>80</v>
      </c>
      <c r="F187" s="5" t="s">
        <v>81</v>
      </c>
      <c r="G187" s="5" t="s">
        <v>54</v>
      </c>
      <c r="H187" s="5">
        <v>1600</v>
      </c>
      <c r="I187" s="5">
        <v>1600</v>
      </c>
      <c r="J187" s="5"/>
      <c r="K187" s="5">
        <v>22268.6</v>
      </c>
      <c r="L187" s="5">
        <f>I187-J187</f>
        <v>1600</v>
      </c>
      <c r="M187" s="5">
        <f>M186+L187</f>
        <v>22268.600000000006</v>
      </c>
      <c r="N187" s="5">
        <f>K187-M187</f>
        <v>0</v>
      </c>
      <c r="O187" s="5" t="s">
        <v>69</v>
      </c>
      <c r="P187" s="5" t="s">
        <v>21</v>
      </c>
      <c r="Q187" t="s">
        <v>21</v>
      </c>
      <c r="R187" s="5">
        <f>IF(P187=Q187,0,1)</f>
        <v>0</v>
      </c>
    </row>
    <row r="188" spans="1:18" x14ac:dyDescent="0.25">
      <c r="A188" s="5">
        <v>186</v>
      </c>
      <c r="B188" s="7" t="s">
        <v>132</v>
      </c>
      <c r="C188" s="7" t="s">
        <v>4</v>
      </c>
      <c r="D188" s="6">
        <v>45809</v>
      </c>
      <c r="E188" s="5" t="s">
        <v>107</v>
      </c>
      <c r="F188" s="5" t="s">
        <v>108</v>
      </c>
      <c r="G188" s="5" t="s">
        <v>54</v>
      </c>
      <c r="H188" s="5">
        <v>-1000</v>
      </c>
      <c r="I188" s="5"/>
      <c r="J188" s="5">
        <v>1000</v>
      </c>
      <c r="K188" s="5">
        <v>21268.6</v>
      </c>
      <c r="L188" s="5">
        <f>I188-J188</f>
        <v>-1000</v>
      </c>
      <c r="M188" s="5">
        <f>M187+L188</f>
        <v>21268.600000000006</v>
      </c>
      <c r="N188" s="5">
        <f>K188-M188</f>
        <v>0</v>
      </c>
      <c r="O188" s="5" t="s">
        <v>55</v>
      </c>
      <c r="P188" s="5" t="s">
        <v>13</v>
      </c>
      <c r="Q188" t="s">
        <v>14</v>
      </c>
      <c r="R188" s="5">
        <f>IF(P188=Q188,0,1)</f>
        <v>1</v>
      </c>
    </row>
    <row r="189" spans="1:18" x14ac:dyDescent="0.25">
      <c r="A189" s="5">
        <v>187</v>
      </c>
      <c r="B189" s="7" t="s">
        <v>132</v>
      </c>
      <c r="C189" s="7" t="s">
        <v>4</v>
      </c>
      <c r="D189" s="6">
        <v>45810</v>
      </c>
      <c r="E189" s="5" t="s">
        <v>59</v>
      </c>
      <c r="F189" s="5" t="s">
        <v>131</v>
      </c>
      <c r="G189" s="5" t="s">
        <v>60</v>
      </c>
      <c r="H189" s="5">
        <v>-73</v>
      </c>
      <c r="I189" s="5"/>
      <c r="J189" s="5">
        <v>73</v>
      </c>
      <c r="K189" s="5">
        <v>21195.599999999999</v>
      </c>
      <c r="L189" s="5">
        <f>I189-J189</f>
        <v>-73</v>
      </c>
      <c r="M189" s="5">
        <f>M188+L189</f>
        <v>21195.600000000006</v>
      </c>
      <c r="N189" s="5">
        <f>K189-M189</f>
        <v>0</v>
      </c>
      <c r="O189" s="5" t="s">
        <v>61</v>
      </c>
      <c r="P189" s="5" t="s">
        <v>5</v>
      </c>
      <c r="Q189" t="s">
        <v>5</v>
      </c>
      <c r="R189" s="5">
        <f>IF(P189=Q189,0,1)</f>
        <v>0</v>
      </c>
    </row>
    <row r="190" spans="1:18" x14ac:dyDescent="0.25">
      <c r="A190" s="5">
        <v>188</v>
      </c>
      <c r="B190" s="7" t="s">
        <v>132</v>
      </c>
      <c r="C190" s="7" t="s">
        <v>4</v>
      </c>
      <c r="D190" s="6">
        <v>45814</v>
      </c>
      <c r="E190" s="5" t="s">
        <v>66</v>
      </c>
      <c r="F190" s="5" t="s">
        <v>67</v>
      </c>
      <c r="G190" s="5" t="s">
        <v>68</v>
      </c>
      <c r="H190" s="5">
        <v>2975</v>
      </c>
      <c r="I190" s="5">
        <v>2975</v>
      </c>
      <c r="J190" s="5"/>
      <c r="K190" s="5">
        <v>24170.6</v>
      </c>
      <c r="L190" s="5">
        <f>I190-J190</f>
        <v>2975</v>
      </c>
      <c r="M190" s="5">
        <f>M189+L190</f>
        <v>24170.600000000006</v>
      </c>
      <c r="N190" s="5">
        <f>K190-M190</f>
        <v>0</v>
      </c>
      <c r="O190" s="5" t="s">
        <v>69</v>
      </c>
      <c r="P190" s="5" t="s">
        <v>21</v>
      </c>
      <c r="Q190" t="s">
        <v>21</v>
      </c>
      <c r="R190" s="5">
        <f>IF(P190=Q190,0,1)</f>
        <v>0</v>
      </c>
    </row>
    <row r="191" spans="1:18" x14ac:dyDescent="0.25">
      <c r="A191" s="5">
        <v>189</v>
      </c>
      <c r="B191" s="7" t="s">
        <v>132</v>
      </c>
      <c r="C191" s="7" t="s">
        <v>4</v>
      </c>
      <c r="D191" s="6">
        <v>45817</v>
      </c>
      <c r="E191" s="5" t="s">
        <v>136</v>
      </c>
      <c r="F191" s="5" t="s">
        <v>137</v>
      </c>
      <c r="G191" s="5" t="s">
        <v>68</v>
      </c>
      <c r="H191" s="5">
        <v>425</v>
      </c>
      <c r="I191" s="5">
        <v>425</v>
      </c>
      <c r="J191" s="5"/>
      <c r="K191" s="5">
        <v>24595.599999999999</v>
      </c>
      <c r="L191" s="5">
        <f>I191-J191</f>
        <v>425</v>
      </c>
      <c r="M191" s="5">
        <f>M190+L191</f>
        <v>24595.600000000006</v>
      </c>
      <c r="N191" s="5">
        <f>K191-M191</f>
        <v>0</v>
      </c>
      <c r="O191" s="5" t="s">
        <v>69</v>
      </c>
      <c r="P191" s="5" t="s">
        <v>21</v>
      </c>
      <c r="Q191" t="s">
        <v>21</v>
      </c>
      <c r="R191" s="5">
        <f>IF(P191=Q191,0,1)</f>
        <v>0</v>
      </c>
    </row>
    <row r="192" spans="1:18" x14ac:dyDescent="0.25">
      <c r="A192" s="5">
        <v>190</v>
      </c>
      <c r="B192" s="7" t="s">
        <v>132</v>
      </c>
      <c r="C192" s="7" t="s">
        <v>4</v>
      </c>
      <c r="D192" s="6">
        <v>45817</v>
      </c>
      <c r="E192" s="5" t="s">
        <v>135</v>
      </c>
      <c r="F192" s="5" t="s">
        <v>96</v>
      </c>
      <c r="G192" s="5" t="s">
        <v>54</v>
      </c>
      <c r="H192" s="5">
        <v>1300</v>
      </c>
      <c r="I192" s="5">
        <v>1300</v>
      </c>
      <c r="J192" s="5"/>
      <c r="K192" s="5">
        <v>25895.599999999999</v>
      </c>
      <c r="L192" s="5">
        <f>I192-J192</f>
        <v>1300</v>
      </c>
      <c r="M192" s="5">
        <f>M191+L192</f>
        <v>25895.600000000006</v>
      </c>
      <c r="N192" s="5">
        <f>K192-M192</f>
        <v>0</v>
      </c>
      <c r="O192" s="5" t="s">
        <v>69</v>
      </c>
      <c r="P192" s="5" t="s">
        <v>21</v>
      </c>
      <c r="Q192" t="s">
        <v>21</v>
      </c>
      <c r="R192" s="5">
        <f>IF(P192=Q192,0,1)</f>
        <v>0</v>
      </c>
    </row>
    <row r="193" spans="1:18" x14ac:dyDescent="0.25">
      <c r="A193" s="5">
        <v>191</v>
      </c>
      <c r="B193" s="7" t="s">
        <v>132</v>
      </c>
      <c r="C193" s="7" t="s">
        <v>4</v>
      </c>
      <c r="D193" s="6">
        <v>45819</v>
      </c>
      <c r="E193" s="5" t="s">
        <v>66</v>
      </c>
      <c r="F193" s="5" t="s">
        <v>67</v>
      </c>
      <c r="G193" s="5" t="s">
        <v>68</v>
      </c>
      <c r="H193" s="5">
        <v>425</v>
      </c>
      <c r="I193" s="5">
        <v>425</v>
      </c>
      <c r="J193" s="5"/>
      <c r="K193" s="5">
        <v>26320.6</v>
      </c>
      <c r="L193" s="5">
        <f>I193-J193</f>
        <v>425</v>
      </c>
      <c r="M193" s="5">
        <f>M192+L193</f>
        <v>26320.600000000006</v>
      </c>
      <c r="N193" s="5">
        <f>K193-M193</f>
        <v>0</v>
      </c>
      <c r="O193" s="5" t="s">
        <v>69</v>
      </c>
      <c r="P193" s="5" t="s">
        <v>21</v>
      </c>
      <c r="Q193" t="s">
        <v>21</v>
      </c>
      <c r="R193" s="5">
        <f>IF(P193=Q193,0,1)</f>
        <v>0</v>
      </c>
    </row>
    <row r="194" spans="1:18" x14ac:dyDescent="0.25">
      <c r="A194" s="5">
        <v>192</v>
      </c>
      <c r="B194" s="7" t="s">
        <v>132</v>
      </c>
      <c r="C194" s="7" t="s">
        <v>4</v>
      </c>
      <c r="D194" s="6">
        <v>45832</v>
      </c>
      <c r="E194" s="5" t="s">
        <v>141</v>
      </c>
      <c r="F194" s="5" t="s">
        <v>142</v>
      </c>
      <c r="G194" s="5" t="s">
        <v>64</v>
      </c>
      <c r="H194" s="5">
        <v>-6.3</v>
      </c>
      <c r="I194" s="5"/>
      <c r="J194" s="5">
        <v>6.3</v>
      </c>
      <c r="K194" s="5">
        <v>26314.3</v>
      </c>
      <c r="L194" s="5">
        <f>I194-J194</f>
        <v>-6.3</v>
      </c>
      <c r="M194" s="5">
        <f>M193+L194</f>
        <v>26314.300000000007</v>
      </c>
      <c r="N194" s="5">
        <f>K194-M194</f>
        <v>0</v>
      </c>
      <c r="O194" s="5" t="s">
        <v>65</v>
      </c>
      <c r="P194" s="5" t="s">
        <v>32</v>
      </c>
      <c r="Q194" t="s">
        <v>32</v>
      </c>
      <c r="R194" s="5">
        <f>IF(P194=Q194,0,1)</f>
        <v>0</v>
      </c>
    </row>
    <row r="195" spans="1:18" x14ac:dyDescent="0.25">
      <c r="A195" s="5">
        <v>193</v>
      </c>
      <c r="B195" s="7" t="s">
        <v>132</v>
      </c>
      <c r="C195" s="7" t="s">
        <v>4</v>
      </c>
      <c r="D195" s="6">
        <v>45832</v>
      </c>
      <c r="E195" s="5" t="s">
        <v>76</v>
      </c>
      <c r="F195" s="5" t="s">
        <v>77</v>
      </c>
      <c r="G195" s="5" t="s">
        <v>64</v>
      </c>
      <c r="H195" s="5">
        <v>-16.8</v>
      </c>
      <c r="I195" s="5"/>
      <c r="J195" s="5">
        <v>16.8</v>
      </c>
      <c r="K195" s="5">
        <v>26297.5</v>
      </c>
      <c r="L195" s="5">
        <f>I195-J195</f>
        <v>-16.8</v>
      </c>
      <c r="M195" s="5">
        <f>M194+L195</f>
        <v>26297.500000000007</v>
      </c>
      <c r="N195" s="5">
        <f>K195-M195</f>
        <v>0</v>
      </c>
      <c r="O195" s="5" t="s">
        <v>65</v>
      </c>
      <c r="P195" s="5" t="s">
        <v>32</v>
      </c>
      <c r="Q195" t="s">
        <v>32</v>
      </c>
      <c r="R195" s="5">
        <f>IF(P195=Q195,0,1)</f>
        <v>0</v>
      </c>
    </row>
    <row r="196" spans="1:18" x14ac:dyDescent="0.25">
      <c r="A196" s="5">
        <v>194</v>
      </c>
      <c r="B196" s="7" t="s">
        <v>132</v>
      </c>
      <c r="C196" s="7" t="s">
        <v>4</v>
      </c>
      <c r="D196" s="6">
        <v>45835</v>
      </c>
      <c r="E196" s="5" t="s">
        <v>80</v>
      </c>
      <c r="F196" s="5" t="s">
        <v>81</v>
      </c>
      <c r="G196" s="5" t="s">
        <v>54</v>
      </c>
      <c r="H196" s="5">
        <v>2050</v>
      </c>
      <c r="I196" s="5">
        <v>2050</v>
      </c>
      <c r="J196" s="5"/>
      <c r="K196" s="5">
        <v>28347.5</v>
      </c>
      <c r="L196" s="5">
        <f>I196-J196</f>
        <v>2050</v>
      </c>
      <c r="M196" s="5">
        <f>M195+L196</f>
        <v>28347.500000000007</v>
      </c>
      <c r="N196" s="5">
        <f>K196-M196</f>
        <v>0</v>
      </c>
      <c r="O196" s="5" t="s">
        <v>69</v>
      </c>
      <c r="P196" s="5" t="s">
        <v>21</v>
      </c>
      <c r="Q196" t="s">
        <v>21</v>
      </c>
      <c r="R196" s="5">
        <f>IF(P196=Q196,0,1)</f>
        <v>0</v>
      </c>
    </row>
    <row r="197" spans="1:18" x14ac:dyDescent="0.25">
      <c r="A197" s="5">
        <v>195</v>
      </c>
      <c r="B197" s="7" t="s">
        <v>132</v>
      </c>
      <c r="C197" s="7" t="s">
        <v>4</v>
      </c>
      <c r="D197" s="6">
        <v>45835</v>
      </c>
      <c r="E197" s="5" t="s">
        <v>107</v>
      </c>
      <c r="F197" s="5" t="s">
        <v>70</v>
      </c>
      <c r="G197" s="5" t="s">
        <v>54</v>
      </c>
      <c r="H197" s="5">
        <v>-4000</v>
      </c>
      <c r="I197" s="5"/>
      <c r="J197" s="5">
        <v>4000</v>
      </c>
      <c r="K197" s="5">
        <v>24347.5</v>
      </c>
      <c r="L197" s="5">
        <f>I197-J197</f>
        <v>-4000</v>
      </c>
      <c r="M197" s="5">
        <f>M196+L197</f>
        <v>24347.500000000007</v>
      </c>
      <c r="N197" s="5">
        <f>K197-M197</f>
        <v>0</v>
      </c>
      <c r="O197" s="5" t="s">
        <v>55</v>
      </c>
      <c r="P197" s="7" t="s">
        <v>13</v>
      </c>
      <c r="Q197" t="s">
        <v>15</v>
      </c>
      <c r="R197" s="5">
        <f>IF(P197=Q197,0,1)</f>
        <v>1</v>
      </c>
    </row>
    <row r="198" spans="1:18" x14ac:dyDescent="0.25">
      <c r="A198" s="5">
        <v>196</v>
      </c>
      <c r="B198" s="7" t="s">
        <v>132</v>
      </c>
      <c r="C198" s="7" t="s">
        <v>4</v>
      </c>
      <c r="D198" s="6">
        <v>45836</v>
      </c>
      <c r="E198" s="5" t="s">
        <v>84</v>
      </c>
      <c r="F198" s="5" t="s">
        <v>90</v>
      </c>
      <c r="G198" s="5" t="s">
        <v>54</v>
      </c>
      <c r="H198" s="5">
        <v>-48</v>
      </c>
      <c r="I198" s="5"/>
      <c r="J198" s="5">
        <v>48</v>
      </c>
      <c r="K198" s="5">
        <v>24299.5</v>
      </c>
      <c r="L198" s="5">
        <f>I198-J198</f>
        <v>-48</v>
      </c>
      <c r="M198" s="5">
        <f>M197+L198</f>
        <v>24299.500000000007</v>
      </c>
      <c r="N198" s="5">
        <f>K198-M198</f>
        <v>0</v>
      </c>
      <c r="O198" s="5" t="s">
        <v>61</v>
      </c>
      <c r="P198" s="5" t="s">
        <v>24</v>
      </c>
      <c r="Q198" t="s">
        <v>7</v>
      </c>
      <c r="R198" s="5">
        <f>IF(P198=Q198,0,1)</f>
        <v>1</v>
      </c>
    </row>
    <row r="199" spans="1:18" x14ac:dyDescent="0.25">
      <c r="A199" s="5">
        <v>197</v>
      </c>
      <c r="B199" s="7" t="s">
        <v>132</v>
      </c>
      <c r="C199" s="7" t="s">
        <v>4</v>
      </c>
      <c r="D199" s="6">
        <v>45839</v>
      </c>
      <c r="E199" s="5" t="s">
        <v>107</v>
      </c>
      <c r="F199" s="5" t="s">
        <v>108</v>
      </c>
      <c r="G199" s="5" t="s">
        <v>54</v>
      </c>
      <c r="H199" s="5">
        <v>-1000</v>
      </c>
      <c r="I199" s="5"/>
      <c r="J199" s="5">
        <v>1000</v>
      </c>
      <c r="K199" s="5">
        <v>23299.5</v>
      </c>
      <c r="L199" s="5">
        <f>I199-J199</f>
        <v>-1000</v>
      </c>
      <c r="M199" s="5">
        <f>M198+L199</f>
        <v>23299.500000000007</v>
      </c>
      <c r="N199" s="5">
        <f>K199-M199</f>
        <v>0</v>
      </c>
      <c r="O199" s="5" t="s">
        <v>55</v>
      </c>
      <c r="P199" s="5" t="s">
        <v>13</v>
      </c>
      <c r="Q199" t="s">
        <v>14</v>
      </c>
      <c r="R199" s="5">
        <f>IF(P199=Q199,0,1)</f>
        <v>1</v>
      </c>
    </row>
    <row r="200" spans="1:18" x14ac:dyDescent="0.25">
      <c r="A200" s="5">
        <v>198</v>
      </c>
      <c r="B200" s="7" t="s">
        <v>132</v>
      </c>
      <c r="C200" s="7" t="s">
        <v>4</v>
      </c>
      <c r="D200" s="6">
        <v>45839</v>
      </c>
      <c r="E200" s="5" t="s">
        <v>59</v>
      </c>
      <c r="F200" s="5" t="s">
        <v>131</v>
      </c>
      <c r="G200" s="5" t="s">
        <v>60</v>
      </c>
      <c r="H200" s="5">
        <v>-73</v>
      </c>
      <c r="I200" s="5"/>
      <c r="J200" s="5">
        <v>73</v>
      </c>
      <c r="K200" s="5">
        <v>23226.5</v>
      </c>
      <c r="L200" s="5">
        <f>I200-J200</f>
        <v>-73</v>
      </c>
      <c r="M200" s="5">
        <f>M199+L200</f>
        <v>23226.500000000007</v>
      </c>
      <c r="N200" s="5">
        <f>K200-M200</f>
        <v>0</v>
      </c>
      <c r="O200" s="5" t="s">
        <v>61</v>
      </c>
      <c r="P200" s="5" t="s">
        <v>5</v>
      </c>
      <c r="Q200" t="s">
        <v>5</v>
      </c>
      <c r="R200" s="5">
        <f>IF(P200=Q200,0,1)</f>
        <v>0</v>
      </c>
    </row>
    <row r="201" spans="1:18" x14ac:dyDescent="0.25">
      <c r="A201" s="5">
        <v>199</v>
      </c>
      <c r="B201" s="7" t="s">
        <v>132</v>
      </c>
      <c r="C201" s="7" t="s">
        <v>4</v>
      </c>
      <c r="D201" s="6">
        <v>45839</v>
      </c>
      <c r="E201" s="5" t="s">
        <v>82</v>
      </c>
      <c r="F201" s="5" t="s">
        <v>83</v>
      </c>
      <c r="G201" s="5" t="s">
        <v>64</v>
      </c>
      <c r="H201" s="5">
        <v>-3.1</v>
      </c>
      <c r="I201" s="5"/>
      <c r="J201" s="5">
        <v>3.1</v>
      </c>
      <c r="K201" s="5">
        <v>23223.4</v>
      </c>
      <c r="L201" s="5">
        <f>I201-J201</f>
        <v>-3.1</v>
      </c>
      <c r="M201" s="5">
        <f>M200+L201</f>
        <v>23223.400000000009</v>
      </c>
      <c r="N201" s="5">
        <f>K201-M201</f>
        <v>0</v>
      </c>
      <c r="O201" s="5" t="s">
        <v>65</v>
      </c>
      <c r="P201" s="5" t="s">
        <v>23</v>
      </c>
      <c r="Q201" t="s">
        <v>32</v>
      </c>
      <c r="R201" s="5">
        <f>IF(P201=Q201,0,1)</f>
        <v>1</v>
      </c>
    </row>
    <row r="202" spans="1:18" x14ac:dyDescent="0.25">
      <c r="A202" s="5">
        <v>200</v>
      </c>
      <c r="B202" s="7" t="s">
        <v>132</v>
      </c>
      <c r="C202" s="7" t="s">
        <v>4</v>
      </c>
      <c r="D202" s="6">
        <v>45840</v>
      </c>
      <c r="E202" s="5" t="s">
        <v>135</v>
      </c>
      <c r="F202" s="5" t="s">
        <v>96</v>
      </c>
      <c r="G202" s="5" t="s">
        <v>54</v>
      </c>
      <c r="H202" s="5">
        <v>425</v>
      </c>
      <c r="I202" s="5">
        <v>425</v>
      </c>
      <c r="J202" s="5"/>
      <c r="K202" s="5">
        <v>23648.400000000001</v>
      </c>
      <c r="L202" s="5">
        <f>I202-J202</f>
        <v>425</v>
      </c>
      <c r="M202" s="5">
        <f>M201+L202</f>
        <v>23648.400000000009</v>
      </c>
      <c r="N202" s="5">
        <f>K202-M202</f>
        <v>0</v>
      </c>
      <c r="O202" s="5" t="s">
        <v>69</v>
      </c>
      <c r="P202" s="5" t="s">
        <v>21</v>
      </c>
      <c r="Q202" t="s">
        <v>21</v>
      </c>
      <c r="R202" s="5">
        <f>IF(P202=Q202,0,1)</f>
        <v>0</v>
      </c>
    </row>
    <row r="203" spans="1:18" x14ac:dyDescent="0.25">
      <c r="A203" s="5">
        <v>201</v>
      </c>
      <c r="B203" s="7" t="s">
        <v>132</v>
      </c>
      <c r="C203" s="7" t="s">
        <v>4</v>
      </c>
      <c r="D203" s="6">
        <v>45843</v>
      </c>
      <c r="E203" s="5" t="s">
        <v>143</v>
      </c>
      <c r="F203" s="5" t="s">
        <v>144</v>
      </c>
      <c r="G203" s="5" t="s">
        <v>64</v>
      </c>
      <c r="H203" s="5">
        <v>-22.22</v>
      </c>
      <c r="I203" s="5"/>
      <c r="J203" s="5">
        <v>22.22</v>
      </c>
      <c r="K203" s="5">
        <v>23626.18</v>
      </c>
      <c r="L203" s="5">
        <f>I203-J203</f>
        <v>-22.22</v>
      </c>
      <c r="M203" s="5">
        <f>M202+L203</f>
        <v>23626.180000000008</v>
      </c>
      <c r="N203" s="5">
        <f>K203-M203</f>
        <v>0</v>
      </c>
      <c r="O203" s="5" t="s">
        <v>73</v>
      </c>
      <c r="P203" s="5" t="s">
        <v>17</v>
      </c>
      <c r="Q203" t="s">
        <v>22</v>
      </c>
      <c r="R203" s="5">
        <f>IF(P203=Q203,0,1)</f>
        <v>1</v>
      </c>
    </row>
    <row r="204" spans="1:18" x14ac:dyDescent="0.25">
      <c r="A204" s="5">
        <v>202</v>
      </c>
      <c r="B204" s="7" t="s">
        <v>132</v>
      </c>
      <c r="C204" s="7" t="s">
        <v>4</v>
      </c>
      <c r="D204" s="6">
        <v>45844</v>
      </c>
      <c r="E204" s="5" t="s">
        <v>82</v>
      </c>
      <c r="F204" s="5" t="s">
        <v>83</v>
      </c>
      <c r="G204" s="5" t="s">
        <v>64</v>
      </c>
      <c r="H204" s="5">
        <v>-7</v>
      </c>
      <c r="I204" s="5"/>
      <c r="J204" s="5">
        <v>7</v>
      </c>
      <c r="K204" s="5">
        <v>23619.18</v>
      </c>
      <c r="L204" s="5">
        <f>I204-J204</f>
        <v>-7</v>
      </c>
      <c r="M204" s="5">
        <f>M203+L204</f>
        <v>23619.180000000008</v>
      </c>
      <c r="N204" s="5">
        <f>K204-M204</f>
        <v>0</v>
      </c>
      <c r="O204" s="5" t="s">
        <v>65</v>
      </c>
      <c r="P204" s="5" t="s">
        <v>23</v>
      </c>
      <c r="Q204" t="s">
        <v>32</v>
      </c>
      <c r="R204" s="5">
        <f>IF(P204=Q204,0,1)</f>
        <v>1</v>
      </c>
    </row>
    <row r="205" spans="1:18" x14ac:dyDescent="0.25">
      <c r="A205" s="5">
        <v>203</v>
      </c>
      <c r="B205" s="7" t="s">
        <v>132</v>
      </c>
      <c r="C205" s="7" t="s">
        <v>4</v>
      </c>
      <c r="D205" s="6">
        <v>45845</v>
      </c>
      <c r="E205" s="5" t="s">
        <v>138</v>
      </c>
      <c r="F205" s="5" t="s">
        <v>92</v>
      </c>
      <c r="G205" s="5" t="s">
        <v>93</v>
      </c>
      <c r="H205" s="5">
        <v>-1200</v>
      </c>
      <c r="I205" s="5"/>
      <c r="J205" s="5">
        <v>1200</v>
      </c>
      <c r="K205" s="5">
        <v>22419.18</v>
      </c>
      <c r="L205" s="5">
        <f>I205-J205</f>
        <v>-1200</v>
      </c>
      <c r="M205" s="5">
        <f>M204+L205</f>
        <v>22419.180000000008</v>
      </c>
      <c r="N205" s="5">
        <f>K205-M205</f>
        <v>0</v>
      </c>
      <c r="O205" s="5" t="s">
        <v>94</v>
      </c>
      <c r="P205" s="7" t="s">
        <v>29</v>
      </c>
      <c r="Q205" t="s">
        <v>27</v>
      </c>
      <c r="R205" s="5">
        <f>IF(P205=Q205,0,1)</f>
        <v>1</v>
      </c>
    </row>
    <row r="206" spans="1:18" x14ac:dyDescent="0.25">
      <c r="A206" s="5">
        <v>204</v>
      </c>
      <c r="B206" s="7" t="s">
        <v>132</v>
      </c>
      <c r="C206" s="7" t="s">
        <v>4</v>
      </c>
      <c r="D206" s="6">
        <v>45846</v>
      </c>
      <c r="E206" s="5" t="s">
        <v>145</v>
      </c>
      <c r="F206" s="5" t="s">
        <v>145</v>
      </c>
      <c r="G206" s="5" t="s">
        <v>64</v>
      </c>
      <c r="H206" s="5">
        <v>-78.36</v>
      </c>
      <c r="I206" s="5"/>
      <c r="J206" s="5">
        <v>78.36</v>
      </c>
      <c r="K206" s="5">
        <v>22340.82</v>
      </c>
      <c r="L206" s="5">
        <f>I206-J206</f>
        <v>-78.36</v>
      </c>
      <c r="M206" s="5">
        <f>M205+L206</f>
        <v>22340.820000000007</v>
      </c>
      <c r="N206" s="5">
        <f>K206-M206</f>
        <v>0</v>
      </c>
      <c r="O206" s="5" t="s">
        <v>73</v>
      </c>
      <c r="P206" s="5" t="s">
        <v>12</v>
      </c>
      <c r="Q206" t="s">
        <v>22</v>
      </c>
      <c r="R206" s="5">
        <f>IF(P206=Q206,0,1)</f>
        <v>1</v>
      </c>
    </row>
    <row r="207" spans="1:18" x14ac:dyDescent="0.25">
      <c r="A207" s="5">
        <v>205</v>
      </c>
      <c r="B207" s="7" t="s">
        <v>132</v>
      </c>
      <c r="C207" s="7" t="s">
        <v>4</v>
      </c>
      <c r="D207" s="6">
        <v>45846</v>
      </c>
      <c r="E207" s="5" t="s">
        <v>76</v>
      </c>
      <c r="F207" s="5" t="s">
        <v>77</v>
      </c>
      <c r="G207" s="5" t="s">
        <v>64</v>
      </c>
      <c r="H207" s="5">
        <v>-20.399999999999999</v>
      </c>
      <c r="I207" s="5"/>
      <c r="J207" s="5">
        <v>20.399999999999999</v>
      </c>
      <c r="K207" s="5">
        <v>22320.42</v>
      </c>
      <c r="L207" s="5">
        <f>I207-J207</f>
        <v>-20.399999999999999</v>
      </c>
      <c r="M207" s="5">
        <f>M206+L207</f>
        <v>22320.420000000006</v>
      </c>
      <c r="N207" s="5">
        <f>K207-M207</f>
        <v>0</v>
      </c>
      <c r="O207" s="5" t="s">
        <v>65</v>
      </c>
      <c r="P207" s="5" t="s">
        <v>32</v>
      </c>
      <c r="Q207" t="s">
        <v>32</v>
      </c>
      <c r="R207" s="5">
        <f>IF(P207=Q207,0,1)</f>
        <v>0</v>
      </c>
    </row>
    <row r="208" spans="1:18" x14ac:dyDescent="0.25">
      <c r="A208" s="5">
        <v>206</v>
      </c>
      <c r="B208" s="7" t="s">
        <v>132</v>
      </c>
      <c r="C208" s="7" t="s">
        <v>4</v>
      </c>
      <c r="D208" s="6">
        <v>45847</v>
      </c>
      <c r="E208" s="5" t="s">
        <v>66</v>
      </c>
      <c r="F208" s="5" t="s">
        <v>67</v>
      </c>
      <c r="G208" s="5" t="s">
        <v>68</v>
      </c>
      <c r="H208" s="5">
        <v>3360</v>
      </c>
      <c r="I208" s="5">
        <v>3360</v>
      </c>
      <c r="J208" s="5"/>
      <c r="K208" s="5">
        <v>25680.42</v>
      </c>
      <c r="L208" s="5">
        <f>I208-J208</f>
        <v>3360</v>
      </c>
      <c r="M208" s="5">
        <f>M207+L208</f>
        <v>25680.420000000006</v>
      </c>
      <c r="N208" s="5">
        <f>K208-M208</f>
        <v>0</v>
      </c>
      <c r="O208" s="5" t="s">
        <v>69</v>
      </c>
      <c r="P208" s="5" t="s">
        <v>21</v>
      </c>
      <c r="Q208" t="s">
        <v>21</v>
      </c>
      <c r="R208" s="5">
        <f>IF(P208=Q208,0,1)</f>
        <v>0</v>
      </c>
    </row>
    <row r="209" spans="1:18" x14ac:dyDescent="0.25">
      <c r="A209" s="5">
        <v>207</v>
      </c>
      <c r="B209" s="7" t="s">
        <v>132</v>
      </c>
      <c r="C209" s="7" t="s">
        <v>4</v>
      </c>
      <c r="D209" s="6">
        <v>45852</v>
      </c>
      <c r="E209" s="5" t="s">
        <v>146</v>
      </c>
      <c r="F209" s="5" t="s">
        <v>147</v>
      </c>
      <c r="G209" s="5" t="s">
        <v>93</v>
      </c>
      <c r="H209" s="5">
        <v>-10</v>
      </c>
      <c r="I209" s="5"/>
      <c r="J209" s="5">
        <v>10</v>
      </c>
      <c r="K209" s="5">
        <v>25670.42</v>
      </c>
      <c r="L209" s="5">
        <f>I209-J209</f>
        <v>-10</v>
      </c>
      <c r="M209" s="5">
        <f>M208+L209</f>
        <v>25670.420000000006</v>
      </c>
      <c r="N209" s="5">
        <f>K209-M209</f>
        <v>0</v>
      </c>
      <c r="O209" s="5" t="s">
        <v>65</v>
      </c>
      <c r="P209" s="5" t="s">
        <v>23</v>
      </c>
      <c r="Q209" t="s">
        <v>32</v>
      </c>
      <c r="R209" s="5">
        <f>IF(P209=Q209,0,1)</f>
        <v>1</v>
      </c>
    </row>
    <row r="210" spans="1:18" x14ac:dyDescent="0.25">
      <c r="A210" s="5">
        <v>208</v>
      </c>
      <c r="B210" s="7" t="s">
        <v>132</v>
      </c>
      <c r="C210" s="7" t="s">
        <v>4</v>
      </c>
      <c r="D210" s="6">
        <v>45853</v>
      </c>
      <c r="E210" s="5" t="s">
        <v>148</v>
      </c>
      <c r="F210" s="5" t="s">
        <v>149</v>
      </c>
      <c r="G210" s="5" t="s">
        <v>64</v>
      </c>
      <c r="H210" s="5">
        <v>-2.85</v>
      </c>
      <c r="I210" s="5"/>
      <c r="J210" s="5">
        <v>2.85</v>
      </c>
      <c r="K210" s="5">
        <v>25667.57</v>
      </c>
      <c r="L210" s="5">
        <f>I210-J210</f>
        <v>-2.85</v>
      </c>
      <c r="M210" s="5">
        <f>M209+L210</f>
        <v>25667.570000000007</v>
      </c>
      <c r="N210" s="5">
        <f>K210-M210</f>
        <v>0</v>
      </c>
      <c r="O210" s="5" t="s">
        <v>73</v>
      </c>
      <c r="P210" s="5" t="s">
        <v>17</v>
      </c>
      <c r="Q210" t="s">
        <v>22</v>
      </c>
      <c r="R210" s="5">
        <f>IF(P210=Q210,0,1)</f>
        <v>1</v>
      </c>
    </row>
    <row r="211" spans="1:18" x14ac:dyDescent="0.25">
      <c r="A211" s="5">
        <v>209</v>
      </c>
      <c r="B211" s="7" t="s">
        <v>132</v>
      </c>
      <c r="C211" s="7" t="s">
        <v>4</v>
      </c>
      <c r="D211" s="6">
        <v>45866</v>
      </c>
      <c r="E211" s="5" t="s">
        <v>84</v>
      </c>
      <c r="F211" s="5" t="s">
        <v>90</v>
      </c>
      <c r="G211" s="5" t="s">
        <v>54</v>
      </c>
      <c r="H211" s="5">
        <v>-48</v>
      </c>
      <c r="I211" s="5"/>
      <c r="J211" s="5">
        <v>48</v>
      </c>
      <c r="K211" s="5">
        <v>25619.57</v>
      </c>
      <c r="L211" s="5">
        <f>I211-J211</f>
        <v>-48</v>
      </c>
      <c r="M211" s="5">
        <f>M210+L211</f>
        <v>25619.570000000007</v>
      </c>
      <c r="N211" s="5">
        <f>K211-M211</f>
        <v>0</v>
      </c>
      <c r="O211" s="5" t="s">
        <v>61</v>
      </c>
      <c r="P211" s="5" t="s">
        <v>24</v>
      </c>
      <c r="Q211" t="s">
        <v>7</v>
      </c>
      <c r="R211" s="5">
        <f>IF(P211=Q211,0,1)</f>
        <v>1</v>
      </c>
    </row>
    <row r="212" spans="1:18" x14ac:dyDescent="0.25">
      <c r="A212" s="5">
        <v>210</v>
      </c>
      <c r="B212" s="7" t="s">
        <v>132</v>
      </c>
      <c r="C212" s="7" t="s">
        <v>4</v>
      </c>
      <c r="D212" s="6">
        <v>45867</v>
      </c>
      <c r="E212" s="5" t="s">
        <v>80</v>
      </c>
      <c r="F212" s="5" t="s">
        <v>81</v>
      </c>
      <c r="G212" s="5" t="s">
        <v>54</v>
      </c>
      <c r="H212" s="5">
        <v>1800</v>
      </c>
      <c r="I212" s="5">
        <v>1800</v>
      </c>
      <c r="J212" s="5"/>
      <c r="K212" s="5">
        <v>27419.57</v>
      </c>
      <c r="L212" s="5">
        <f>I212-J212</f>
        <v>1800</v>
      </c>
      <c r="M212" s="5">
        <f>M211+L212</f>
        <v>27419.570000000007</v>
      </c>
      <c r="N212" s="5">
        <f>K212-M212</f>
        <v>0</v>
      </c>
      <c r="O212" s="5" t="s">
        <v>69</v>
      </c>
      <c r="P212" s="5" t="s">
        <v>21</v>
      </c>
      <c r="Q212" t="s">
        <v>21</v>
      </c>
      <c r="R212" s="5">
        <f>IF(P212=Q212,0,1)</f>
        <v>0</v>
      </c>
    </row>
    <row r="213" spans="1:18" x14ac:dyDescent="0.25">
      <c r="A213" s="5">
        <v>211</v>
      </c>
      <c r="B213" s="7" t="s">
        <v>132</v>
      </c>
      <c r="C213" s="7" t="s">
        <v>4</v>
      </c>
      <c r="D213" s="6">
        <v>45870</v>
      </c>
      <c r="E213" s="5" t="s">
        <v>59</v>
      </c>
      <c r="F213" s="5" t="s">
        <v>131</v>
      </c>
      <c r="G213" s="5" t="s">
        <v>60</v>
      </c>
      <c r="H213" s="5">
        <v>-73</v>
      </c>
      <c r="I213" s="5"/>
      <c r="J213" s="5">
        <v>73</v>
      </c>
      <c r="K213" s="5">
        <v>27346.57</v>
      </c>
      <c r="L213" s="5">
        <f>I213-J213</f>
        <v>-73</v>
      </c>
      <c r="M213" s="5">
        <f>M212+L213</f>
        <v>27346.570000000007</v>
      </c>
      <c r="N213" s="5">
        <f>K213-M213</f>
        <v>0</v>
      </c>
      <c r="O213" s="5" t="s">
        <v>61</v>
      </c>
      <c r="P213" s="5" t="s">
        <v>5</v>
      </c>
      <c r="Q213" t="s">
        <v>5</v>
      </c>
      <c r="R213" s="5">
        <f>IF(P213=Q213,0,1)</f>
        <v>0</v>
      </c>
    </row>
    <row r="214" spans="1:18" x14ac:dyDescent="0.25">
      <c r="A214" s="5">
        <v>212</v>
      </c>
      <c r="B214" s="7" t="s">
        <v>132</v>
      </c>
      <c r="C214" s="7" t="s">
        <v>4</v>
      </c>
      <c r="D214" s="6">
        <v>45870</v>
      </c>
      <c r="E214" s="5" t="s">
        <v>107</v>
      </c>
      <c r="F214" s="5" t="s">
        <v>108</v>
      </c>
      <c r="G214" s="5" t="s">
        <v>54</v>
      </c>
      <c r="H214" s="5">
        <v>-1000</v>
      </c>
      <c r="I214" s="5"/>
      <c r="J214" s="5">
        <v>1000</v>
      </c>
      <c r="K214" s="5">
        <v>26346.57</v>
      </c>
      <c r="L214" s="5">
        <f>I214-J214</f>
        <v>-1000</v>
      </c>
      <c r="M214" s="5">
        <f>M213+L214</f>
        <v>26346.570000000007</v>
      </c>
      <c r="N214" s="5">
        <f>K214-M214</f>
        <v>0</v>
      </c>
      <c r="O214" s="5" t="s">
        <v>55</v>
      </c>
      <c r="P214" s="5" t="s">
        <v>13</v>
      </c>
      <c r="Q214" t="s">
        <v>14</v>
      </c>
      <c r="R214" s="5">
        <f>IF(P214=Q214,0,1)</f>
        <v>1</v>
      </c>
    </row>
    <row r="215" spans="1:18" x14ac:dyDescent="0.25">
      <c r="A215" s="5">
        <v>213</v>
      </c>
      <c r="B215" s="7" t="s">
        <v>132</v>
      </c>
      <c r="C215" s="7" t="s">
        <v>4</v>
      </c>
      <c r="D215" s="6">
        <v>45872</v>
      </c>
      <c r="E215" s="5" t="s">
        <v>107</v>
      </c>
      <c r="F215" s="5" t="s">
        <v>70</v>
      </c>
      <c r="G215" s="5" t="s">
        <v>54</v>
      </c>
      <c r="H215" s="5">
        <v>-3500</v>
      </c>
      <c r="I215" s="5"/>
      <c r="J215" s="5">
        <v>3500</v>
      </c>
      <c r="K215" s="5">
        <v>22846.57</v>
      </c>
      <c r="L215" s="5">
        <f>I215-J215</f>
        <v>-3500</v>
      </c>
      <c r="M215" s="5">
        <f>M214+L215</f>
        <v>22846.570000000007</v>
      </c>
      <c r="N215" s="5">
        <f>K215-M215</f>
        <v>0</v>
      </c>
      <c r="O215" s="5" t="s">
        <v>55</v>
      </c>
      <c r="P215" s="7" t="s">
        <v>13</v>
      </c>
      <c r="Q215" t="s">
        <v>15</v>
      </c>
      <c r="R215" s="5">
        <f>IF(P215=Q215,0,1)</f>
        <v>1</v>
      </c>
    </row>
    <row r="216" spans="1:18" x14ac:dyDescent="0.25">
      <c r="A216" s="5">
        <v>214</v>
      </c>
      <c r="B216" s="7" t="s">
        <v>132</v>
      </c>
      <c r="C216" s="7" t="s">
        <v>4</v>
      </c>
      <c r="D216" s="6">
        <v>45873</v>
      </c>
      <c r="E216" s="5" t="s">
        <v>138</v>
      </c>
      <c r="F216" s="5" t="s">
        <v>92</v>
      </c>
      <c r="G216" s="5" t="s">
        <v>93</v>
      </c>
      <c r="H216" s="5">
        <v>-600</v>
      </c>
      <c r="I216" s="5"/>
      <c r="J216" s="5">
        <v>600</v>
      </c>
      <c r="K216" s="5">
        <v>22246.57</v>
      </c>
      <c r="L216" s="5">
        <f>I216-J216</f>
        <v>-600</v>
      </c>
      <c r="M216" s="5">
        <f>M215+L216</f>
        <v>22246.570000000007</v>
      </c>
      <c r="N216" s="5">
        <f>K216-M216</f>
        <v>0</v>
      </c>
      <c r="O216" s="5" t="s">
        <v>94</v>
      </c>
      <c r="P216" s="7" t="s">
        <v>29</v>
      </c>
      <c r="Q216" t="s">
        <v>27</v>
      </c>
      <c r="R216" s="5">
        <f>IF(P216=Q216,0,1)</f>
        <v>1</v>
      </c>
    </row>
    <row r="217" spans="1:18" x14ac:dyDescent="0.25">
      <c r="A217" s="5">
        <v>215</v>
      </c>
      <c r="B217" s="7" t="s">
        <v>132</v>
      </c>
      <c r="C217" s="7" t="s">
        <v>4</v>
      </c>
      <c r="D217" s="6">
        <v>45875</v>
      </c>
      <c r="E217" s="5" t="s">
        <v>66</v>
      </c>
      <c r="F217" s="5" t="s">
        <v>67</v>
      </c>
      <c r="G217" s="5" t="s">
        <v>68</v>
      </c>
      <c r="H217" s="5">
        <v>3825</v>
      </c>
      <c r="I217" s="5">
        <v>3825</v>
      </c>
      <c r="J217" s="5"/>
      <c r="K217" s="5">
        <v>26071.57</v>
      </c>
      <c r="L217" s="5">
        <f>I217-J217</f>
        <v>3825</v>
      </c>
      <c r="M217" s="5">
        <f>M216+L217</f>
        <v>26071.570000000007</v>
      </c>
      <c r="N217" s="5">
        <f>K217-M217</f>
        <v>0</v>
      </c>
      <c r="O217" s="5" t="s">
        <v>69</v>
      </c>
      <c r="P217" s="5" t="s">
        <v>21</v>
      </c>
      <c r="Q217" t="s">
        <v>21</v>
      </c>
      <c r="R217" s="5">
        <f>IF(P217=Q217,0,1)</f>
        <v>0</v>
      </c>
    </row>
    <row r="218" spans="1:18" x14ac:dyDescent="0.25">
      <c r="A218" s="5">
        <v>216</v>
      </c>
      <c r="B218" s="7" t="s">
        <v>132</v>
      </c>
      <c r="C218" s="7" t="s">
        <v>4</v>
      </c>
      <c r="D218" s="6">
        <v>45875</v>
      </c>
      <c r="E218" s="5" t="s">
        <v>82</v>
      </c>
      <c r="F218" s="5" t="s">
        <v>83</v>
      </c>
      <c r="G218" s="5" t="s">
        <v>64</v>
      </c>
      <c r="H218" s="5">
        <v>-7</v>
      </c>
      <c r="I218" s="5"/>
      <c r="J218" s="5">
        <v>7</v>
      </c>
      <c r="K218" s="5">
        <v>26064.57</v>
      </c>
      <c r="L218" s="5">
        <f>I218-J218</f>
        <v>-7</v>
      </c>
      <c r="M218" s="5">
        <f>M217+L218</f>
        <v>26064.570000000007</v>
      </c>
      <c r="N218" s="5">
        <f>K218-M218</f>
        <v>0</v>
      </c>
      <c r="O218" s="5" t="s">
        <v>65</v>
      </c>
      <c r="P218" s="5" t="s">
        <v>23</v>
      </c>
      <c r="Q218" t="s">
        <v>32</v>
      </c>
      <c r="R218" s="5">
        <f>IF(P218=Q218,0,1)</f>
        <v>1</v>
      </c>
    </row>
    <row r="219" spans="1:18" x14ac:dyDescent="0.25">
      <c r="A219" s="5">
        <v>217</v>
      </c>
      <c r="B219" s="7" t="s">
        <v>132</v>
      </c>
      <c r="C219" s="7" t="s">
        <v>4</v>
      </c>
      <c r="D219" s="6">
        <v>45877</v>
      </c>
      <c r="E219" s="5" t="s">
        <v>150</v>
      </c>
      <c r="F219" s="5" t="s">
        <v>151</v>
      </c>
      <c r="G219" s="5" t="s">
        <v>64</v>
      </c>
      <c r="H219" s="5">
        <v>-23.95</v>
      </c>
      <c r="I219" s="5"/>
      <c r="J219" s="5">
        <v>23.95</v>
      </c>
      <c r="K219" s="5">
        <v>26040.62</v>
      </c>
      <c r="L219" s="5">
        <f>I219-J219</f>
        <v>-23.95</v>
      </c>
      <c r="M219" s="5">
        <f>M218+L219</f>
        <v>26040.620000000006</v>
      </c>
      <c r="N219" s="5">
        <f>K219-M219</f>
        <v>0</v>
      </c>
      <c r="O219" s="5" t="s">
        <v>73</v>
      </c>
      <c r="P219" s="5" t="s">
        <v>17</v>
      </c>
      <c r="Q219" t="s">
        <v>22</v>
      </c>
      <c r="R219" s="5">
        <f>IF(P219=Q219,0,1)</f>
        <v>1</v>
      </c>
    </row>
    <row r="220" spans="1:18" x14ac:dyDescent="0.25">
      <c r="A220" s="5">
        <v>218</v>
      </c>
      <c r="B220" s="7" t="s">
        <v>132</v>
      </c>
      <c r="C220" s="7" t="s">
        <v>4</v>
      </c>
      <c r="D220" s="6">
        <v>45880</v>
      </c>
      <c r="E220" s="5" t="s">
        <v>135</v>
      </c>
      <c r="F220" s="5" t="s">
        <v>96</v>
      </c>
      <c r="G220" s="5" t="s">
        <v>54</v>
      </c>
      <c r="H220" s="5">
        <v>850</v>
      </c>
      <c r="I220" s="5">
        <v>850</v>
      </c>
      <c r="J220" s="5"/>
      <c r="K220" s="5">
        <v>26890.62</v>
      </c>
      <c r="L220" s="5">
        <f>I220-J220</f>
        <v>850</v>
      </c>
      <c r="M220" s="5">
        <f>M219+L220</f>
        <v>26890.620000000006</v>
      </c>
      <c r="N220" s="5">
        <f>K220-M220</f>
        <v>0</v>
      </c>
      <c r="O220" s="5" t="s">
        <v>69</v>
      </c>
      <c r="P220" s="5" t="s">
        <v>21</v>
      </c>
      <c r="Q220" t="s">
        <v>21</v>
      </c>
      <c r="R220" s="5">
        <f>IF(P220=Q220,0,1)</f>
        <v>0</v>
      </c>
    </row>
    <row r="221" spans="1:18" x14ac:dyDescent="0.25">
      <c r="A221" s="5">
        <v>219</v>
      </c>
      <c r="B221" s="7" t="s">
        <v>132</v>
      </c>
      <c r="C221" s="7" t="s">
        <v>4</v>
      </c>
      <c r="D221" s="6">
        <v>45881</v>
      </c>
      <c r="E221" s="5" t="s">
        <v>136</v>
      </c>
      <c r="F221" s="5" t="s">
        <v>137</v>
      </c>
      <c r="G221" s="5" t="s">
        <v>68</v>
      </c>
      <c r="H221" s="5">
        <v>450</v>
      </c>
      <c r="I221" s="5">
        <v>450</v>
      </c>
      <c r="J221" s="5"/>
      <c r="K221" s="5">
        <v>27340.62</v>
      </c>
      <c r="L221" s="5">
        <f>I221-J221</f>
        <v>450</v>
      </c>
      <c r="M221" s="5">
        <f>M220+L221</f>
        <v>27340.620000000006</v>
      </c>
      <c r="N221" s="5">
        <f>K221-M221</f>
        <v>0</v>
      </c>
      <c r="O221" s="5" t="s">
        <v>69</v>
      </c>
      <c r="P221" s="5" t="s">
        <v>21</v>
      </c>
      <c r="Q221" t="s">
        <v>21</v>
      </c>
      <c r="R221" s="5">
        <f>IF(P221=Q221,0,1)</f>
        <v>0</v>
      </c>
    </row>
    <row r="222" spans="1:18" x14ac:dyDescent="0.25">
      <c r="A222" s="5">
        <v>220</v>
      </c>
      <c r="B222" s="7" t="s">
        <v>132</v>
      </c>
      <c r="C222" s="7" t="s">
        <v>4</v>
      </c>
      <c r="D222" s="6">
        <v>45886</v>
      </c>
      <c r="E222" s="5" t="s">
        <v>82</v>
      </c>
      <c r="F222" s="5" t="s">
        <v>83</v>
      </c>
      <c r="G222" s="5" t="s">
        <v>64</v>
      </c>
      <c r="H222" s="5">
        <v>-7</v>
      </c>
      <c r="I222" s="5"/>
      <c r="J222" s="5">
        <v>7</v>
      </c>
      <c r="K222" s="5">
        <v>27333.62</v>
      </c>
      <c r="L222" s="5">
        <f>I222-J222</f>
        <v>-7</v>
      </c>
      <c r="M222" s="5">
        <f>M221+L222</f>
        <v>27333.620000000006</v>
      </c>
      <c r="N222" s="5">
        <f>K222-M222</f>
        <v>0</v>
      </c>
      <c r="O222" s="5" t="s">
        <v>65</v>
      </c>
      <c r="P222" s="5" t="s">
        <v>23</v>
      </c>
      <c r="Q222" t="s">
        <v>32</v>
      </c>
      <c r="R222" s="5">
        <f>IF(P222=Q222,0,1)</f>
        <v>1</v>
      </c>
    </row>
    <row r="223" spans="1:18" x14ac:dyDescent="0.25">
      <c r="A223" s="5">
        <v>221</v>
      </c>
      <c r="B223" s="7" t="s">
        <v>132</v>
      </c>
      <c r="C223" s="7" t="s">
        <v>4</v>
      </c>
      <c r="D223" s="6">
        <v>45892</v>
      </c>
      <c r="E223" s="5" t="s">
        <v>152</v>
      </c>
      <c r="F223" s="5" t="s">
        <v>153</v>
      </c>
      <c r="G223" s="5" t="s">
        <v>93</v>
      </c>
      <c r="H223" s="5">
        <v>-2.5</v>
      </c>
      <c r="I223" s="5"/>
      <c r="J223" s="5">
        <v>2.5</v>
      </c>
      <c r="K223" s="5">
        <v>27331.119999999999</v>
      </c>
      <c r="L223" s="5">
        <f>I223-J223</f>
        <v>-2.5</v>
      </c>
      <c r="M223" s="5">
        <f>M222+L223</f>
        <v>27331.120000000006</v>
      </c>
      <c r="N223" s="5">
        <f>K223-M223</f>
        <v>0</v>
      </c>
      <c r="O223" s="5" t="s">
        <v>65</v>
      </c>
      <c r="P223" s="5" t="s">
        <v>32</v>
      </c>
      <c r="Q223" t="s">
        <v>32</v>
      </c>
      <c r="R223" s="5">
        <f>IF(P223=Q223,0,1)</f>
        <v>0</v>
      </c>
    </row>
    <row r="224" spans="1:18" x14ac:dyDescent="0.25">
      <c r="A224" s="5">
        <v>222</v>
      </c>
      <c r="B224" s="7" t="s">
        <v>132</v>
      </c>
      <c r="C224" s="7" t="s">
        <v>4</v>
      </c>
      <c r="D224" s="6">
        <v>45897</v>
      </c>
      <c r="E224" s="5" t="s">
        <v>84</v>
      </c>
      <c r="F224" s="5" t="s">
        <v>90</v>
      </c>
      <c r="G224" s="5" t="s">
        <v>54</v>
      </c>
      <c r="H224" s="5">
        <v>-48</v>
      </c>
      <c r="I224" s="5"/>
      <c r="J224" s="5">
        <v>48</v>
      </c>
      <c r="K224" s="5">
        <v>27283.119999999999</v>
      </c>
      <c r="L224" s="5">
        <f>I224-J224</f>
        <v>-48</v>
      </c>
      <c r="M224" s="5">
        <f>M223+L224</f>
        <v>27283.120000000006</v>
      </c>
      <c r="N224" s="5">
        <f>K224-M224</f>
        <v>0</v>
      </c>
      <c r="O224" s="5" t="s">
        <v>61</v>
      </c>
      <c r="P224" s="5" t="s">
        <v>24</v>
      </c>
      <c r="Q224" t="s">
        <v>7</v>
      </c>
      <c r="R224" s="5">
        <f>IF(P224=Q224,0,1)</f>
        <v>1</v>
      </c>
    </row>
    <row r="225" spans="1:18" x14ac:dyDescent="0.25">
      <c r="A225" s="5">
        <v>223</v>
      </c>
      <c r="B225" s="7" t="s">
        <v>132</v>
      </c>
      <c r="C225" s="7" t="s">
        <v>4</v>
      </c>
      <c r="D225" s="6">
        <v>45897</v>
      </c>
      <c r="E225" s="5" t="s">
        <v>146</v>
      </c>
      <c r="F225" s="5" t="s">
        <v>147</v>
      </c>
      <c r="G225" s="5" t="s">
        <v>154</v>
      </c>
      <c r="H225" s="5">
        <v>-10</v>
      </c>
      <c r="I225" s="5"/>
      <c r="J225" s="5">
        <v>10</v>
      </c>
      <c r="K225" s="5">
        <v>27273.119999999999</v>
      </c>
      <c r="L225" s="5">
        <f>I225-J225</f>
        <v>-10</v>
      </c>
      <c r="M225" s="5">
        <f>M224+L225</f>
        <v>27273.120000000006</v>
      </c>
      <c r="N225" s="5">
        <f>K225-M225</f>
        <v>0</v>
      </c>
      <c r="O225" s="5" t="s">
        <v>65</v>
      </c>
      <c r="P225" s="5" t="s">
        <v>23</v>
      </c>
      <c r="Q225" t="s">
        <v>32</v>
      </c>
      <c r="R225" s="5">
        <f>IF(P225=Q225,0,1)</f>
        <v>1</v>
      </c>
    </row>
    <row r="226" spans="1:18" x14ac:dyDescent="0.25">
      <c r="A226" s="5">
        <v>224</v>
      </c>
      <c r="B226" s="7" t="s">
        <v>132</v>
      </c>
      <c r="C226" s="7" t="s">
        <v>4</v>
      </c>
      <c r="D226" s="6">
        <v>45898</v>
      </c>
      <c r="E226" s="5" t="s">
        <v>80</v>
      </c>
      <c r="F226" s="5" t="s">
        <v>81</v>
      </c>
      <c r="G226" s="5" t="s">
        <v>54</v>
      </c>
      <c r="H226" s="5">
        <v>1600</v>
      </c>
      <c r="I226" s="5">
        <v>1600</v>
      </c>
      <c r="J226" s="5"/>
      <c r="K226" s="5">
        <v>28873.119999999999</v>
      </c>
      <c r="L226" s="5">
        <f>I226-J226</f>
        <v>1600</v>
      </c>
      <c r="M226" s="5">
        <f>M225+L226</f>
        <v>28873.120000000006</v>
      </c>
      <c r="N226" s="5">
        <f>K226-M226</f>
        <v>0</v>
      </c>
      <c r="O226" s="5" t="s">
        <v>69</v>
      </c>
      <c r="P226" s="5" t="s">
        <v>21</v>
      </c>
      <c r="Q226" t="s">
        <v>21</v>
      </c>
      <c r="R226" s="5">
        <f>IF(P226=Q226,0,1)</f>
        <v>0</v>
      </c>
    </row>
    <row r="227" spans="1:18" x14ac:dyDescent="0.25">
      <c r="A227" s="5">
        <v>225</v>
      </c>
      <c r="B227" s="7" t="s">
        <v>132</v>
      </c>
      <c r="C227" s="7" t="s">
        <v>4</v>
      </c>
      <c r="D227" s="6">
        <v>45901</v>
      </c>
      <c r="E227" s="5" t="s">
        <v>59</v>
      </c>
      <c r="F227" s="5" t="s">
        <v>131</v>
      </c>
      <c r="G227" s="5" t="s">
        <v>60</v>
      </c>
      <c r="H227" s="5">
        <v>-73</v>
      </c>
      <c r="I227" s="5"/>
      <c r="J227" s="5">
        <v>73</v>
      </c>
      <c r="K227" s="5">
        <v>28800.12</v>
      </c>
      <c r="L227" s="5">
        <f>I227-J227</f>
        <v>-73</v>
      </c>
      <c r="M227" s="5">
        <f>M226+L227</f>
        <v>28800.120000000006</v>
      </c>
      <c r="N227" s="5">
        <f>K227-M227</f>
        <v>0</v>
      </c>
      <c r="O227" s="5" t="s">
        <v>61</v>
      </c>
      <c r="P227" s="5" t="s">
        <v>5</v>
      </c>
      <c r="Q227" t="s">
        <v>5</v>
      </c>
      <c r="R227" s="5">
        <f>IF(P227=Q227,0,1)</f>
        <v>0</v>
      </c>
    </row>
    <row r="228" spans="1:18" x14ac:dyDescent="0.25">
      <c r="A228" s="5">
        <v>226</v>
      </c>
      <c r="B228" s="7" t="s">
        <v>132</v>
      </c>
      <c r="C228" s="7" t="s">
        <v>4</v>
      </c>
      <c r="D228" s="6">
        <v>45901</v>
      </c>
      <c r="E228" s="5" t="s">
        <v>107</v>
      </c>
      <c r="F228" s="5" t="s">
        <v>108</v>
      </c>
      <c r="G228" s="5" t="s">
        <v>54</v>
      </c>
      <c r="H228" s="5">
        <v>-1000</v>
      </c>
      <c r="I228" s="5"/>
      <c r="J228" s="5">
        <v>1000</v>
      </c>
      <c r="K228" s="5">
        <v>27800.12</v>
      </c>
      <c r="L228" s="5">
        <f>I228-J228</f>
        <v>-1000</v>
      </c>
      <c r="M228" s="5">
        <f>M227+L228</f>
        <v>27800.120000000006</v>
      </c>
      <c r="N228" s="5">
        <f>K228-M228</f>
        <v>0</v>
      </c>
      <c r="O228" s="5" t="s">
        <v>55</v>
      </c>
      <c r="P228" s="5" t="s">
        <v>13</v>
      </c>
      <c r="Q228" t="s">
        <v>14</v>
      </c>
      <c r="R228" s="5">
        <f>IF(P228=Q228,0,1)</f>
        <v>1</v>
      </c>
    </row>
    <row r="229" spans="1:18" x14ac:dyDescent="0.25">
      <c r="A229" s="5">
        <v>227</v>
      </c>
      <c r="B229" s="7" t="s">
        <v>132</v>
      </c>
      <c r="C229" s="7" t="s">
        <v>4</v>
      </c>
      <c r="D229" s="6">
        <v>45901</v>
      </c>
      <c r="E229" s="5" t="s">
        <v>107</v>
      </c>
      <c r="F229" s="5" t="s">
        <v>70</v>
      </c>
      <c r="G229" s="5" t="s">
        <v>54</v>
      </c>
      <c r="H229" s="5">
        <v>-3000</v>
      </c>
      <c r="I229" s="5"/>
      <c r="J229" s="5">
        <v>3000</v>
      </c>
      <c r="K229" s="5">
        <v>24800.12</v>
      </c>
      <c r="L229" s="5">
        <f>I229-J229</f>
        <v>-3000</v>
      </c>
      <c r="M229" s="5">
        <f>M228+L229</f>
        <v>24800.120000000006</v>
      </c>
      <c r="N229" s="5">
        <f>K229-M229</f>
        <v>0</v>
      </c>
      <c r="O229" s="5" t="s">
        <v>55</v>
      </c>
      <c r="P229" s="7" t="s">
        <v>13</v>
      </c>
      <c r="Q229" t="s">
        <v>15</v>
      </c>
      <c r="R229" s="5">
        <f>IF(P229=Q229,0,1)</f>
        <v>1</v>
      </c>
    </row>
    <row r="230" spans="1:18" x14ac:dyDescent="0.25">
      <c r="A230" s="5">
        <v>228</v>
      </c>
      <c r="B230" s="7" t="s">
        <v>132</v>
      </c>
      <c r="C230" s="7" t="s">
        <v>4</v>
      </c>
      <c r="D230" s="6">
        <v>45902</v>
      </c>
      <c r="E230" s="5" t="s">
        <v>138</v>
      </c>
      <c r="F230" s="5" t="s">
        <v>92</v>
      </c>
      <c r="G230" s="5" t="s">
        <v>93</v>
      </c>
      <c r="H230" s="5">
        <v>-600</v>
      </c>
      <c r="I230" s="5"/>
      <c r="J230" s="5">
        <v>600</v>
      </c>
      <c r="K230" s="5">
        <v>24200.12</v>
      </c>
      <c r="L230" s="5">
        <f>I230-J230</f>
        <v>-600</v>
      </c>
      <c r="M230" s="5">
        <f>M229+L230</f>
        <v>24200.120000000006</v>
      </c>
      <c r="N230" s="5">
        <f>K230-M230</f>
        <v>0</v>
      </c>
      <c r="O230" s="5" t="s">
        <v>94</v>
      </c>
      <c r="P230" s="7" t="s">
        <v>29</v>
      </c>
      <c r="Q230" t="s">
        <v>27</v>
      </c>
      <c r="R230" s="5">
        <f>IF(P230=Q230,0,1)</f>
        <v>1</v>
      </c>
    </row>
    <row r="231" spans="1:18" x14ac:dyDescent="0.25">
      <c r="A231" s="5">
        <v>229</v>
      </c>
      <c r="B231" s="7" t="s">
        <v>132</v>
      </c>
      <c r="C231" s="7" t="s">
        <v>4</v>
      </c>
      <c r="D231" s="6">
        <v>45904</v>
      </c>
      <c r="E231" s="5" t="s">
        <v>136</v>
      </c>
      <c r="F231" s="5" t="s">
        <v>137</v>
      </c>
      <c r="G231" s="5" t="s">
        <v>68</v>
      </c>
      <c r="H231" s="5">
        <v>785</v>
      </c>
      <c r="I231" s="5">
        <v>785</v>
      </c>
      <c r="J231" s="5"/>
      <c r="K231" s="5">
        <v>24985.119999999999</v>
      </c>
      <c r="L231" s="5">
        <f>I231-J231</f>
        <v>785</v>
      </c>
      <c r="M231" s="5">
        <f>M230+L231</f>
        <v>24985.120000000006</v>
      </c>
      <c r="N231" s="5">
        <f>K231-M231</f>
        <v>0</v>
      </c>
      <c r="O231" s="5" t="s">
        <v>69</v>
      </c>
      <c r="P231" s="5" t="s">
        <v>21</v>
      </c>
      <c r="Q231" t="s">
        <v>21</v>
      </c>
      <c r="R231" s="5">
        <f>IF(P231=Q231,0,1)</f>
        <v>0</v>
      </c>
    </row>
    <row r="232" spans="1:18" x14ac:dyDescent="0.25">
      <c r="A232" s="5">
        <v>230</v>
      </c>
      <c r="B232" s="7" t="s">
        <v>132</v>
      </c>
      <c r="C232" s="7" t="s">
        <v>4</v>
      </c>
      <c r="D232" s="6">
        <v>45904</v>
      </c>
      <c r="E232" s="5" t="s">
        <v>135</v>
      </c>
      <c r="F232" s="5" t="s">
        <v>96</v>
      </c>
      <c r="G232" s="5" t="s">
        <v>54</v>
      </c>
      <c r="H232" s="5">
        <v>850</v>
      </c>
      <c r="I232" s="5">
        <v>850</v>
      </c>
      <c r="J232" s="5"/>
      <c r="K232" s="5">
        <v>25835.119999999999</v>
      </c>
      <c r="L232" s="5">
        <f>I232-J232</f>
        <v>850</v>
      </c>
      <c r="M232" s="5">
        <f>M231+L232</f>
        <v>25835.120000000006</v>
      </c>
      <c r="N232" s="5">
        <f>K232-M232</f>
        <v>0</v>
      </c>
      <c r="O232" s="5" t="s">
        <v>69</v>
      </c>
      <c r="P232" s="5" t="s">
        <v>21</v>
      </c>
      <c r="Q232" t="s">
        <v>21</v>
      </c>
      <c r="R232" s="5">
        <f>IF(P232=Q232,0,1)</f>
        <v>0</v>
      </c>
    </row>
    <row r="233" spans="1:18" x14ac:dyDescent="0.25">
      <c r="A233" s="5">
        <v>231</v>
      </c>
      <c r="B233" s="7" t="s">
        <v>132</v>
      </c>
      <c r="C233" s="7" t="s">
        <v>4</v>
      </c>
      <c r="D233" s="6">
        <v>45905</v>
      </c>
      <c r="E233" s="5" t="s">
        <v>66</v>
      </c>
      <c r="F233" s="5" t="s">
        <v>67</v>
      </c>
      <c r="G233" s="5" t="s">
        <v>68</v>
      </c>
      <c r="H233" s="5">
        <v>1275</v>
      </c>
      <c r="I233" s="5">
        <v>1275</v>
      </c>
      <c r="J233" s="5"/>
      <c r="K233" s="5">
        <v>27110.12</v>
      </c>
      <c r="L233" s="5">
        <f>I233-J233</f>
        <v>1275</v>
      </c>
      <c r="M233" s="5">
        <f>M232+L233</f>
        <v>27110.120000000006</v>
      </c>
      <c r="N233" s="5">
        <f>K233-M233</f>
        <v>0</v>
      </c>
      <c r="O233" s="5" t="s">
        <v>69</v>
      </c>
      <c r="P233" s="5" t="s">
        <v>21</v>
      </c>
      <c r="Q233" t="s">
        <v>21</v>
      </c>
      <c r="R233" s="5">
        <f>IF(P233=Q233,0,1)</f>
        <v>0</v>
      </c>
    </row>
    <row r="234" spans="1:18" x14ac:dyDescent="0.25">
      <c r="A234" s="5">
        <v>232</v>
      </c>
      <c r="B234" s="7" t="s">
        <v>132</v>
      </c>
      <c r="C234" s="7" t="s">
        <v>4</v>
      </c>
      <c r="D234" s="6">
        <v>45909</v>
      </c>
      <c r="E234" s="5" t="s">
        <v>136</v>
      </c>
      <c r="F234" s="5" t="s">
        <v>137</v>
      </c>
      <c r="G234" s="5" t="s">
        <v>68</v>
      </c>
      <c r="H234" s="5">
        <v>90</v>
      </c>
      <c r="I234" s="5">
        <v>90</v>
      </c>
      <c r="J234" s="5"/>
      <c r="K234" s="5">
        <v>27200.12</v>
      </c>
      <c r="L234" s="5">
        <f>I234-J234</f>
        <v>90</v>
      </c>
      <c r="M234" s="5">
        <f>M233+L234</f>
        <v>27200.120000000006</v>
      </c>
      <c r="N234" s="5">
        <f>K234-M234</f>
        <v>0</v>
      </c>
      <c r="O234" s="5" t="s">
        <v>69</v>
      </c>
      <c r="P234" s="5" t="s">
        <v>21</v>
      </c>
      <c r="Q234" t="s">
        <v>21</v>
      </c>
      <c r="R234" s="5">
        <f>IF(P234=Q234,0,1)</f>
        <v>0</v>
      </c>
    </row>
    <row r="235" spans="1:18" x14ac:dyDescent="0.25">
      <c r="A235" s="5">
        <v>233</v>
      </c>
      <c r="B235" s="7" t="s">
        <v>132</v>
      </c>
      <c r="C235" s="7" t="s">
        <v>4</v>
      </c>
      <c r="D235" s="6">
        <v>45929</v>
      </c>
      <c r="E235" s="5" t="s">
        <v>80</v>
      </c>
      <c r="F235" s="5" t="s">
        <v>81</v>
      </c>
      <c r="G235" s="5" t="s">
        <v>54</v>
      </c>
      <c r="H235" s="5">
        <v>2050</v>
      </c>
      <c r="I235" s="5">
        <v>2050</v>
      </c>
      <c r="J235" s="5"/>
      <c r="K235" s="5">
        <v>29250.12</v>
      </c>
      <c r="L235" s="5">
        <f>I235-J235</f>
        <v>2050</v>
      </c>
      <c r="M235" s="5">
        <f>M234+L235</f>
        <v>29250.120000000006</v>
      </c>
      <c r="N235" s="5">
        <f>K235-M235</f>
        <v>0</v>
      </c>
      <c r="O235" s="5" t="s">
        <v>69</v>
      </c>
      <c r="P235" s="5" t="s">
        <v>21</v>
      </c>
      <c r="Q235" t="s">
        <v>21</v>
      </c>
      <c r="R235" s="5">
        <f>IF(P235=Q235,0,1)</f>
        <v>0</v>
      </c>
    </row>
    <row r="236" spans="1:18" x14ac:dyDescent="0.25">
      <c r="A236" s="5">
        <v>234</v>
      </c>
      <c r="B236" s="7" t="s">
        <v>132</v>
      </c>
      <c r="C236" s="7" t="s">
        <v>4</v>
      </c>
      <c r="D236" s="6">
        <v>45931</v>
      </c>
      <c r="E236" s="5" t="s">
        <v>88</v>
      </c>
      <c r="F236" s="5" t="s">
        <v>89</v>
      </c>
      <c r="G236" s="5" t="s">
        <v>60</v>
      </c>
      <c r="H236" s="5">
        <v>-332</v>
      </c>
      <c r="I236" s="5"/>
      <c r="J236" s="5">
        <v>332</v>
      </c>
      <c r="K236" s="5">
        <v>28918.12</v>
      </c>
      <c r="L236" s="5">
        <f>I236-J236</f>
        <v>-332</v>
      </c>
      <c r="M236" s="5">
        <f>M235+L236</f>
        <v>28918.120000000006</v>
      </c>
      <c r="N236" s="5">
        <f>K236-M236</f>
        <v>0</v>
      </c>
      <c r="O236" s="5" t="s">
        <v>61</v>
      </c>
      <c r="P236" s="5" t="s">
        <v>26</v>
      </c>
      <c r="Q236" t="s">
        <v>9</v>
      </c>
      <c r="R236" s="5">
        <f>IF(P236=Q236,0,1)</f>
        <v>1</v>
      </c>
    </row>
    <row r="237" spans="1:18" x14ac:dyDescent="0.25">
      <c r="A237" s="5">
        <v>235</v>
      </c>
      <c r="B237" s="7" t="s">
        <v>132</v>
      </c>
      <c r="C237" s="7" t="s">
        <v>4</v>
      </c>
      <c r="D237" s="6">
        <v>45931</v>
      </c>
      <c r="E237" s="5" t="s">
        <v>107</v>
      </c>
      <c r="F237" s="5" t="s">
        <v>108</v>
      </c>
      <c r="G237" s="5" t="s">
        <v>54</v>
      </c>
      <c r="H237" s="5">
        <v>-1000</v>
      </c>
      <c r="I237" s="5"/>
      <c r="J237" s="5">
        <v>1000</v>
      </c>
      <c r="K237" s="5">
        <v>27918.12</v>
      </c>
      <c r="L237" s="5">
        <f>I237-J237</f>
        <v>-1000</v>
      </c>
      <c r="M237" s="5">
        <f>M236+L237</f>
        <v>27918.120000000006</v>
      </c>
      <c r="N237" s="5">
        <f>K237-M237</f>
        <v>0</v>
      </c>
      <c r="O237" s="5" t="s">
        <v>55</v>
      </c>
      <c r="P237" s="5" t="s">
        <v>13</v>
      </c>
      <c r="Q237" t="s">
        <v>14</v>
      </c>
      <c r="R237" s="5">
        <f>IF(P237=Q237,0,1)</f>
        <v>1</v>
      </c>
    </row>
    <row r="238" spans="1:18" x14ac:dyDescent="0.25">
      <c r="A238" s="5">
        <v>236</v>
      </c>
      <c r="B238" s="7" t="s">
        <v>132</v>
      </c>
      <c r="C238" s="7" t="s">
        <v>4</v>
      </c>
      <c r="D238" s="6">
        <v>45931</v>
      </c>
      <c r="E238" s="5" t="s">
        <v>59</v>
      </c>
      <c r="F238" s="5" t="s">
        <v>131</v>
      </c>
      <c r="G238" s="5" t="s">
        <v>60</v>
      </c>
      <c r="H238" s="5">
        <v>-73</v>
      </c>
      <c r="I238" s="5"/>
      <c r="J238" s="5">
        <v>73</v>
      </c>
      <c r="K238" s="5">
        <v>27845.119999999999</v>
      </c>
      <c r="L238" s="5">
        <f>I238-J238</f>
        <v>-73</v>
      </c>
      <c r="M238" s="5">
        <f>M237+L238</f>
        <v>27845.120000000006</v>
      </c>
      <c r="N238" s="5">
        <f>K238-M238</f>
        <v>0</v>
      </c>
      <c r="O238" s="5" t="s">
        <v>61</v>
      </c>
      <c r="P238" s="5" t="s">
        <v>5</v>
      </c>
      <c r="Q238" t="s">
        <v>5</v>
      </c>
      <c r="R238" s="5">
        <f>IF(P238=Q238,0,1)</f>
        <v>0</v>
      </c>
    </row>
    <row r="239" spans="1:18" x14ac:dyDescent="0.25">
      <c r="A239" s="5">
        <v>237</v>
      </c>
      <c r="B239" s="7" t="s">
        <v>132</v>
      </c>
      <c r="C239" s="7" t="s">
        <v>4</v>
      </c>
      <c r="D239" s="6">
        <v>45933</v>
      </c>
      <c r="E239" s="5" t="s">
        <v>107</v>
      </c>
      <c r="F239" s="5" t="s">
        <v>70</v>
      </c>
      <c r="G239" s="5" t="s">
        <v>54</v>
      </c>
      <c r="H239" s="5">
        <v>-2000</v>
      </c>
      <c r="I239" s="5"/>
      <c r="J239" s="5">
        <v>2000</v>
      </c>
      <c r="K239" s="5">
        <v>25845.119999999999</v>
      </c>
      <c r="L239" s="5">
        <f>I239-J239</f>
        <v>-2000</v>
      </c>
      <c r="M239" s="5">
        <f>M238+L239</f>
        <v>25845.120000000006</v>
      </c>
      <c r="N239" s="5">
        <f>K239-M239</f>
        <v>0</v>
      </c>
      <c r="O239" s="5" t="s">
        <v>55</v>
      </c>
      <c r="P239" s="7" t="s">
        <v>13</v>
      </c>
      <c r="Q239" t="s">
        <v>15</v>
      </c>
      <c r="R239" s="5">
        <f>IF(P239=Q239,0,1)</f>
        <v>1</v>
      </c>
    </row>
    <row r="240" spans="1:18" x14ac:dyDescent="0.25">
      <c r="A240" s="5">
        <v>238</v>
      </c>
      <c r="B240" s="7" t="s">
        <v>132</v>
      </c>
      <c r="C240" s="7" t="s">
        <v>4</v>
      </c>
      <c r="D240" s="6">
        <v>45934</v>
      </c>
      <c r="E240" s="5" t="s">
        <v>138</v>
      </c>
      <c r="F240" s="5" t="s">
        <v>92</v>
      </c>
      <c r="G240" s="5" t="s">
        <v>93</v>
      </c>
      <c r="H240" s="5">
        <v>-600</v>
      </c>
      <c r="I240" s="5"/>
      <c r="J240" s="5">
        <v>600</v>
      </c>
      <c r="K240" s="5">
        <v>25245.119999999999</v>
      </c>
      <c r="L240" s="5">
        <f>I240-J240</f>
        <v>-600</v>
      </c>
      <c r="M240" s="5">
        <f>M239+L240</f>
        <v>25245.120000000006</v>
      </c>
      <c r="N240" s="5">
        <f>K240-M240</f>
        <v>0</v>
      </c>
      <c r="O240" s="5" t="s">
        <v>94</v>
      </c>
      <c r="P240" s="7" t="s">
        <v>28</v>
      </c>
      <c r="Q240" t="s">
        <v>27</v>
      </c>
      <c r="R240" s="5">
        <f>IF(P240=Q240,0,1)</f>
        <v>1</v>
      </c>
    </row>
    <row r="241" spans="1:18" x14ac:dyDescent="0.25">
      <c r="A241" s="5">
        <v>239</v>
      </c>
      <c r="B241" s="7" t="s">
        <v>132</v>
      </c>
      <c r="C241" s="7" t="s">
        <v>4</v>
      </c>
      <c r="D241" s="6">
        <v>45938</v>
      </c>
      <c r="E241" s="5" t="s">
        <v>66</v>
      </c>
      <c r="F241" s="5" t="s">
        <v>67</v>
      </c>
      <c r="G241" s="5" t="s">
        <v>68</v>
      </c>
      <c r="H241" s="5">
        <v>3400</v>
      </c>
      <c r="I241" s="5">
        <v>3400</v>
      </c>
      <c r="J241" s="5"/>
      <c r="K241" s="5">
        <v>28645.119999999999</v>
      </c>
      <c r="L241" s="5">
        <f>I241-J241</f>
        <v>3400</v>
      </c>
      <c r="M241" s="5">
        <f>M240+L241</f>
        <v>28645.120000000006</v>
      </c>
      <c r="N241" s="5">
        <f>K241-M241</f>
        <v>0</v>
      </c>
      <c r="O241" s="5" t="s">
        <v>69</v>
      </c>
      <c r="P241" s="5" t="s">
        <v>21</v>
      </c>
      <c r="Q241" t="s">
        <v>21</v>
      </c>
      <c r="R241" s="5">
        <f>IF(P241=Q241,0,1)</f>
        <v>0</v>
      </c>
    </row>
    <row r="242" spans="1:18" x14ac:dyDescent="0.25">
      <c r="A242" s="5">
        <v>240</v>
      </c>
      <c r="B242" s="7" t="s">
        <v>132</v>
      </c>
      <c r="C242" s="7" t="s">
        <v>4</v>
      </c>
      <c r="D242" s="6">
        <v>45951</v>
      </c>
      <c r="E242" s="5" t="s">
        <v>135</v>
      </c>
      <c r="F242" s="5" t="s">
        <v>96</v>
      </c>
      <c r="G242" s="5" t="s">
        <v>54</v>
      </c>
      <c r="H242" s="5">
        <v>450</v>
      </c>
      <c r="I242" s="5">
        <v>450</v>
      </c>
      <c r="J242" s="5"/>
      <c r="K242" s="5">
        <v>29095.119999999999</v>
      </c>
      <c r="L242" s="5">
        <f>I242-J242</f>
        <v>450</v>
      </c>
      <c r="M242" s="5">
        <f>M241+L242</f>
        <v>29095.120000000006</v>
      </c>
      <c r="N242" s="5">
        <f>K242-M242</f>
        <v>0</v>
      </c>
      <c r="O242" s="5" t="s">
        <v>69</v>
      </c>
      <c r="P242" s="5" t="s">
        <v>21</v>
      </c>
      <c r="Q242" t="s">
        <v>21</v>
      </c>
      <c r="R242" s="5">
        <f>IF(P242=Q242,0,1)</f>
        <v>0</v>
      </c>
    </row>
    <row r="243" spans="1:18" x14ac:dyDescent="0.25">
      <c r="A243" s="5">
        <v>241</v>
      </c>
      <c r="B243" s="7" t="s">
        <v>132</v>
      </c>
      <c r="C243" s="7" t="s">
        <v>4</v>
      </c>
      <c r="D243" s="6">
        <v>45952</v>
      </c>
      <c r="E243" s="5" t="s">
        <v>146</v>
      </c>
      <c r="F243" s="5" t="s">
        <v>147</v>
      </c>
      <c r="G243" s="5" t="s">
        <v>154</v>
      </c>
      <c r="H243" s="5">
        <v>-10</v>
      </c>
      <c r="I243" s="5"/>
      <c r="J243" s="5">
        <v>10</v>
      </c>
      <c r="K243" s="5">
        <v>29085.119999999999</v>
      </c>
      <c r="L243" s="5">
        <f>I243-J243</f>
        <v>-10</v>
      </c>
      <c r="M243" s="5">
        <f>M242+L243</f>
        <v>29085.120000000006</v>
      </c>
      <c r="N243" s="5">
        <f>K243-M243</f>
        <v>0</v>
      </c>
      <c r="O243" s="5" t="s">
        <v>65</v>
      </c>
      <c r="P243" s="5" t="s">
        <v>23</v>
      </c>
      <c r="Q243" t="s">
        <v>32</v>
      </c>
      <c r="R243" s="5">
        <f>IF(P243=Q243,0,1)</f>
        <v>1</v>
      </c>
    </row>
    <row r="244" spans="1:18" x14ac:dyDescent="0.25">
      <c r="A244" s="5">
        <v>242</v>
      </c>
      <c r="B244" s="7" t="s">
        <v>132</v>
      </c>
      <c r="C244" s="7" t="s">
        <v>4</v>
      </c>
      <c r="D244" s="6">
        <v>45954</v>
      </c>
      <c r="E244" s="5" t="s">
        <v>82</v>
      </c>
      <c r="F244" s="5" t="s">
        <v>83</v>
      </c>
      <c r="G244" s="5" t="s">
        <v>64</v>
      </c>
      <c r="H244" s="5">
        <v>-8</v>
      </c>
      <c r="I244" s="5"/>
      <c r="J244" s="5">
        <v>8</v>
      </c>
      <c r="K244" s="5">
        <v>29077.119999999999</v>
      </c>
      <c r="L244" s="5">
        <f>I244-J244</f>
        <v>-8</v>
      </c>
      <c r="M244" s="5">
        <f>M243+L244</f>
        <v>29077.120000000006</v>
      </c>
      <c r="N244" s="5">
        <f>K244-M244</f>
        <v>0</v>
      </c>
      <c r="O244" s="5" t="s">
        <v>65</v>
      </c>
      <c r="P244" s="5" t="s">
        <v>23</v>
      </c>
      <c r="Q244" t="s">
        <v>32</v>
      </c>
      <c r="R244" s="5">
        <f>IF(P244=Q244,0,1)</f>
        <v>1</v>
      </c>
    </row>
    <row r="245" spans="1:18" x14ac:dyDescent="0.25">
      <c r="A245" s="5">
        <v>243</v>
      </c>
      <c r="B245" s="7" t="s">
        <v>132</v>
      </c>
      <c r="C245" s="7" t="s">
        <v>4</v>
      </c>
      <c r="D245" s="6">
        <v>45959</v>
      </c>
      <c r="E245" s="5" t="s">
        <v>82</v>
      </c>
      <c r="F245" s="5" t="s">
        <v>83</v>
      </c>
      <c r="G245" s="5" t="s">
        <v>64</v>
      </c>
      <c r="H245" s="5">
        <v>-8</v>
      </c>
      <c r="I245" s="5"/>
      <c r="J245" s="5">
        <v>8</v>
      </c>
      <c r="K245" s="5">
        <v>29069.119999999999</v>
      </c>
      <c r="L245" s="5">
        <f>I245-J245</f>
        <v>-8</v>
      </c>
      <c r="M245" s="5">
        <f>M244+L245</f>
        <v>29069.120000000006</v>
      </c>
      <c r="N245" s="5">
        <f>K245-M245</f>
        <v>0</v>
      </c>
      <c r="O245" s="5" t="s">
        <v>65</v>
      </c>
      <c r="P245" s="5" t="s">
        <v>23</v>
      </c>
      <c r="Q245" t="s">
        <v>32</v>
      </c>
      <c r="R245" s="5">
        <f>IF(P245=Q245,0,1)</f>
        <v>1</v>
      </c>
    </row>
    <row r="246" spans="1:18" x14ac:dyDescent="0.25">
      <c r="A246" s="5">
        <v>244</v>
      </c>
      <c r="B246" s="7" t="s">
        <v>132</v>
      </c>
      <c r="C246" s="7" t="s">
        <v>4</v>
      </c>
      <c r="D246" s="6">
        <v>45959</v>
      </c>
      <c r="E246" s="5" t="s">
        <v>80</v>
      </c>
      <c r="F246" s="5" t="s">
        <v>81</v>
      </c>
      <c r="G246" s="5" t="s">
        <v>54</v>
      </c>
      <c r="H246" s="5">
        <v>1450</v>
      </c>
      <c r="I246" s="5">
        <v>1450</v>
      </c>
      <c r="J246" s="5"/>
      <c r="K246" s="5">
        <v>30519.119999999999</v>
      </c>
      <c r="L246" s="5">
        <f>I246-J246</f>
        <v>1450</v>
      </c>
      <c r="M246" s="5">
        <f>M245+L246</f>
        <v>30519.120000000006</v>
      </c>
      <c r="N246" s="5">
        <f>K246-M246</f>
        <v>0</v>
      </c>
      <c r="O246" s="5" t="s">
        <v>69</v>
      </c>
      <c r="P246" s="5" t="s">
        <v>21</v>
      </c>
      <c r="Q246" t="s">
        <v>21</v>
      </c>
      <c r="R246" s="5">
        <f>IF(P246=Q246,0,1)</f>
        <v>0</v>
      </c>
    </row>
    <row r="247" spans="1:18" x14ac:dyDescent="0.25">
      <c r="A247" s="5">
        <v>245</v>
      </c>
      <c r="B247" s="7" t="s">
        <v>132</v>
      </c>
      <c r="C247" s="7" t="s">
        <v>4</v>
      </c>
      <c r="D247" s="6">
        <v>45962</v>
      </c>
      <c r="E247" s="5" t="s">
        <v>107</v>
      </c>
      <c r="F247" s="5" t="s">
        <v>108</v>
      </c>
      <c r="G247" s="5" t="s">
        <v>54</v>
      </c>
      <c r="H247" s="5">
        <v>-1000</v>
      </c>
      <c r="I247" s="5"/>
      <c r="J247" s="5">
        <v>1000</v>
      </c>
      <c r="K247" s="5">
        <v>29519.119999999999</v>
      </c>
      <c r="L247" s="5">
        <f>I247-J247</f>
        <v>-1000</v>
      </c>
      <c r="M247" s="5">
        <f>M246+L247</f>
        <v>29519.120000000006</v>
      </c>
      <c r="N247" s="5">
        <f>K247-M247</f>
        <v>0</v>
      </c>
      <c r="O247" s="5" t="s">
        <v>55</v>
      </c>
      <c r="P247" s="5" t="s">
        <v>13</v>
      </c>
      <c r="Q247" t="s">
        <v>14</v>
      </c>
      <c r="R247" s="5">
        <f>IF(P247=Q247,0,1)</f>
        <v>1</v>
      </c>
    </row>
    <row r="248" spans="1:18" x14ac:dyDescent="0.25">
      <c r="A248" s="5">
        <v>246</v>
      </c>
      <c r="B248" s="7" t="s">
        <v>132</v>
      </c>
      <c r="C248" s="7" t="s">
        <v>4</v>
      </c>
      <c r="D248" s="6">
        <v>45965</v>
      </c>
      <c r="E248" s="5" t="s">
        <v>107</v>
      </c>
      <c r="F248" s="5" t="s">
        <v>70</v>
      </c>
      <c r="G248" s="5" t="s">
        <v>54</v>
      </c>
      <c r="H248" s="5">
        <v>-2000</v>
      </c>
      <c r="I248" s="5"/>
      <c r="J248" s="5">
        <v>2000</v>
      </c>
      <c r="K248" s="5">
        <v>27519.119999999999</v>
      </c>
      <c r="L248" s="5">
        <f>I248-J248</f>
        <v>-2000</v>
      </c>
      <c r="M248" s="5">
        <f>M247+L248</f>
        <v>27519.120000000006</v>
      </c>
      <c r="N248" s="5">
        <f>K248-M248</f>
        <v>0</v>
      </c>
      <c r="O248" s="5" t="s">
        <v>55</v>
      </c>
      <c r="P248" s="7" t="s">
        <v>13</v>
      </c>
      <c r="Q248" t="s">
        <v>15</v>
      </c>
      <c r="R248" s="5">
        <f>IF(P248=Q248,0,1)</f>
        <v>1</v>
      </c>
    </row>
    <row r="249" spans="1:18" x14ac:dyDescent="0.25">
      <c r="A249" s="5">
        <v>247</v>
      </c>
      <c r="B249" s="7" t="s">
        <v>132</v>
      </c>
      <c r="C249" s="7" t="s">
        <v>4</v>
      </c>
      <c r="D249" s="6">
        <v>45966</v>
      </c>
      <c r="E249" s="5" t="s">
        <v>155</v>
      </c>
      <c r="F249" s="5" t="s">
        <v>156</v>
      </c>
      <c r="G249" s="5" t="s">
        <v>64</v>
      </c>
      <c r="H249" s="5">
        <v>-2.99</v>
      </c>
      <c r="I249" s="5"/>
      <c r="J249" s="5">
        <v>2.99</v>
      </c>
      <c r="K249" s="5">
        <v>27516.13</v>
      </c>
      <c r="L249" s="5">
        <f>I249-J249</f>
        <v>-2.99</v>
      </c>
      <c r="M249" s="5">
        <f>M248+L249</f>
        <v>27516.130000000005</v>
      </c>
      <c r="N249" s="5">
        <f>K249-M249</f>
        <v>0</v>
      </c>
      <c r="O249" s="5" t="s">
        <v>73</v>
      </c>
      <c r="P249" s="5" t="s">
        <v>22</v>
      </c>
      <c r="Q249" t="s">
        <v>23</v>
      </c>
      <c r="R249" s="5">
        <f>IF(P249=Q249,0,1)</f>
        <v>1</v>
      </c>
    </row>
    <row r="250" spans="1:18" x14ac:dyDescent="0.25">
      <c r="A250" s="5">
        <v>248</v>
      </c>
      <c r="B250" s="7" t="s">
        <v>132</v>
      </c>
      <c r="C250" s="7" t="s">
        <v>4</v>
      </c>
      <c r="D250" s="6">
        <v>45966</v>
      </c>
      <c r="E250" s="5" t="s">
        <v>138</v>
      </c>
      <c r="F250" s="5" t="s">
        <v>92</v>
      </c>
      <c r="G250" s="5" t="s">
        <v>93</v>
      </c>
      <c r="H250" s="5">
        <v>-600</v>
      </c>
      <c r="I250" s="5"/>
      <c r="J250" s="5">
        <v>600</v>
      </c>
      <c r="K250" s="5">
        <v>26916.13</v>
      </c>
      <c r="L250" s="5">
        <f>I250-J250</f>
        <v>-600</v>
      </c>
      <c r="M250" s="5">
        <f>M249+L250</f>
        <v>26916.130000000005</v>
      </c>
      <c r="N250" s="5">
        <f>K250-M250</f>
        <v>0</v>
      </c>
      <c r="O250" s="5" t="s">
        <v>94</v>
      </c>
      <c r="P250" s="7" t="s">
        <v>28</v>
      </c>
      <c r="Q250" t="s">
        <v>27</v>
      </c>
      <c r="R250" s="5">
        <f>IF(P250=Q250,0,1)</f>
        <v>1</v>
      </c>
    </row>
    <row r="251" spans="1:18" x14ac:dyDescent="0.25">
      <c r="A251" s="5">
        <v>249</v>
      </c>
      <c r="B251" s="7" t="s">
        <v>132</v>
      </c>
      <c r="C251" s="7" t="s">
        <v>4</v>
      </c>
      <c r="D251" s="6">
        <v>45968</v>
      </c>
      <c r="E251" s="5" t="s">
        <v>136</v>
      </c>
      <c r="F251" s="5" t="s">
        <v>137</v>
      </c>
      <c r="G251" s="5" t="s">
        <v>68</v>
      </c>
      <c r="H251" s="5">
        <v>875</v>
      </c>
      <c r="I251" s="5">
        <v>875</v>
      </c>
      <c r="J251" s="5"/>
      <c r="K251" s="5">
        <v>27791.13</v>
      </c>
      <c r="L251" s="5">
        <f>I251-J251</f>
        <v>875</v>
      </c>
      <c r="M251" s="5">
        <f>M250+L251</f>
        <v>27791.130000000005</v>
      </c>
      <c r="N251" s="5">
        <f>K251-M251</f>
        <v>0</v>
      </c>
      <c r="O251" s="5" t="s">
        <v>69</v>
      </c>
      <c r="P251" s="5" t="s">
        <v>21</v>
      </c>
      <c r="Q251" t="s">
        <v>21</v>
      </c>
      <c r="R251" s="5">
        <f>IF(P251=Q251,0,1)</f>
        <v>0</v>
      </c>
    </row>
    <row r="252" spans="1:18" x14ac:dyDescent="0.25">
      <c r="A252" s="5">
        <v>250</v>
      </c>
      <c r="B252" s="7" t="s">
        <v>132</v>
      </c>
      <c r="C252" s="7" t="s">
        <v>4</v>
      </c>
      <c r="D252" s="6">
        <v>45973</v>
      </c>
      <c r="E252" s="5" t="s">
        <v>66</v>
      </c>
      <c r="F252" s="5" t="s">
        <v>67</v>
      </c>
      <c r="G252" s="5" t="s">
        <v>68</v>
      </c>
      <c r="H252" s="5">
        <v>3400</v>
      </c>
      <c r="I252" s="5">
        <v>3400</v>
      </c>
      <c r="J252" s="5"/>
      <c r="K252" s="5">
        <v>31191.13</v>
      </c>
      <c r="L252" s="5">
        <f>I252-J252</f>
        <v>3400</v>
      </c>
      <c r="M252" s="5">
        <f>M251+L252</f>
        <v>31191.130000000005</v>
      </c>
      <c r="N252" s="5">
        <f>K252-M252</f>
        <v>0</v>
      </c>
      <c r="O252" s="5" t="s">
        <v>69</v>
      </c>
      <c r="P252" s="5" t="s">
        <v>21</v>
      </c>
      <c r="Q252" t="s">
        <v>21</v>
      </c>
      <c r="R252" s="5">
        <f>IF(P252=Q252,0,1)</f>
        <v>0</v>
      </c>
    </row>
    <row r="253" spans="1:18" x14ac:dyDescent="0.25">
      <c r="A253" s="5">
        <v>251</v>
      </c>
      <c r="B253" s="7" t="s">
        <v>132</v>
      </c>
      <c r="C253" s="7" t="s">
        <v>4</v>
      </c>
      <c r="D253" s="6">
        <v>45974</v>
      </c>
      <c r="E253" s="5" t="s">
        <v>157</v>
      </c>
      <c r="F253" s="5" t="s">
        <v>158</v>
      </c>
      <c r="G253" s="5" t="s">
        <v>64</v>
      </c>
      <c r="H253" s="5">
        <v>-48.94</v>
      </c>
      <c r="I253" s="5"/>
      <c r="J253" s="5">
        <v>48.94</v>
      </c>
      <c r="K253" s="5">
        <v>31142.19</v>
      </c>
      <c r="L253" s="5">
        <f>I253-J253</f>
        <v>-48.94</v>
      </c>
      <c r="M253" s="5">
        <f>M252+L253</f>
        <v>31142.190000000006</v>
      </c>
      <c r="N253" s="5">
        <f>K253-M253</f>
        <v>0</v>
      </c>
      <c r="O253" s="5" t="s">
        <v>73</v>
      </c>
      <c r="P253" s="5" t="s">
        <v>12</v>
      </c>
      <c r="Q253" t="s">
        <v>183</v>
      </c>
      <c r="R253" s="5">
        <f>IF(P253=Q253,0,1)</f>
        <v>1</v>
      </c>
    </row>
    <row r="254" spans="1:18" x14ac:dyDescent="0.25">
      <c r="A254" s="5">
        <v>252</v>
      </c>
      <c r="B254" s="7" t="s">
        <v>132</v>
      </c>
      <c r="C254" s="7" t="s">
        <v>4</v>
      </c>
      <c r="D254" s="6">
        <v>45974</v>
      </c>
      <c r="E254" s="5" t="s">
        <v>157</v>
      </c>
      <c r="F254" s="5" t="s">
        <v>158</v>
      </c>
      <c r="G254" s="5" t="s">
        <v>64</v>
      </c>
      <c r="H254" s="5">
        <v>-48.94</v>
      </c>
      <c r="I254" s="5"/>
      <c r="J254" s="5">
        <v>48.94</v>
      </c>
      <c r="K254" s="5">
        <v>31093.25</v>
      </c>
      <c r="L254" s="5">
        <f>I254-J254</f>
        <v>-48.94</v>
      </c>
      <c r="M254" s="5">
        <f>M253+L254</f>
        <v>31093.250000000007</v>
      </c>
      <c r="N254" s="5">
        <f>K254-M254</f>
        <v>0</v>
      </c>
      <c r="O254" s="5" t="s">
        <v>73</v>
      </c>
      <c r="P254" s="5" t="s">
        <v>12</v>
      </c>
      <c r="Q254" t="s">
        <v>16</v>
      </c>
      <c r="R254" s="5">
        <f>IF(P254=Q254,0,1)</f>
        <v>1</v>
      </c>
    </row>
    <row r="255" spans="1:18" x14ac:dyDescent="0.25">
      <c r="A255" s="5">
        <v>253</v>
      </c>
      <c r="B255" s="7" t="s">
        <v>132</v>
      </c>
      <c r="C255" s="7" t="s">
        <v>4</v>
      </c>
      <c r="D255" s="6">
        <v>45979</v>
      </c>
      <c r="E255" s="5" t="s">
        <v>105</v>
      </c>
      <c r="F255" s="5" t="s">
        <v>106</v>
      </c>
      <c r="G255" s="5" t="s">
        <v>159</v>
      </c>
      <c r="H255" s="5">
        <v>-50</v>
      </c>
      <c r="I255" s="5"/>
      <c r="J255" s="5">
        <v>50</v>
      </c>
      <c r="K255" s="5">
        <v>31043.25</v>
      </c>
      <c r="L255" s="5">
        <f>I255-J255</f>
        <v>-50</v>
      </c>
      <c r="M255" s="5">
        <f>M254+L255</f>
        <v>31043.250000000007</v>
      </c>
      <c r="N255" s="5">
        <f>K255-M255</f>
        <v>0</v>
      </c>
      <c r="O255" s="5" t="s">
        <v>73</v>
      </c>
      <c r="P255" s="5" t="s">
        <v>12</v>
      </c>
      <c r="Q255" t="s">
        <v>183</v>
      </c>
      <c r="R255" s="5">
        <f>IF(P255=Q255,0,1)</f>
        <v>1</v>
      </c>
    </row>
    <row r="256" spans="1:18" x14ac:dyDescent="0.25">
      <c r="A256" s="5">
        <v>254</v>
      </c>
      <c r="B256" s="7" t="s">
        <v>132</v>
      </c>
      <c r="C256" s="7" t="s">
        <v>4</v>
      </c>
      <c r="D256" s="6">
        <v>45979</v>
      </c>
      <c r="E256" s="5" t="s">
        <v>160</v>
      </c>
      <c r="F256" s="5" t="s">
        <v>161</v>
      </c>
      <c r="G256" s="5" t="s">
        <v>159</v>
      </c>
      <c r="H256" s="5">
        <v>-50</v>
      </c>
      <c r="I256" s="5"/>
      <c r="J256" s="5">
        <v>50</v>
      </c>
      <c r="K256" s="5">
        <v>30993.25</v>
      </c>
      <c r="L256" s="5">
        <f>I256-J256</f>
        <v>-50</v>
      </c>
      <c r="M256" s="5">
        <f>M255+L256</f>
        <v>30993.250000000007</v>
      </c>
      <c r="N256" s="5">
        <f>K256-M256</f>
        <v>0</v>
      </c>
      <c r="O256" s="5" t="s">
        <v>73</v>
      </c>
      <c r="P256" s="5" t="s">
        <v>22</v>
      </c>
      <c r="Q256" t="s">
        <v>183</v>
      </c>
      <c r="R256" s="5">
        <f>IF(P256=Q256,0,1)</f>
        <v>1</v>
      </c>
    </row>
    <row r="257" spans="1:18" x14ac:dyDescent="0.25">
      <c r="A257" s="5">
        <v>255</v>
      </c>
      <c r="B257" s="7" t="s">
        <v>132</v>
      </c>
      <c r="C257" s="7" t="s">
        <v>4</v>
      </c>
      <c r="D257" s="6">
        <v>45980</v>
      </c>
      <c r="E257" s="5" t="s">
        <v>162</v>
      </c>
      <c r="F257" s="5" t="s">
        <v>163</v>
      </c>
      <c r="G257" s="5" t="s">
        <v>64</v>
      </c>
      <c r="H257" s="5">
        <v>-3.3</v>
      </c>
      <c r="I257" s="5"/>
      <c r="J257" s="5">
        <v>3.3</v>
      </c>
      <c r="K257" s="5">
        <v>30989.95</v>
      </c>
      <c r="L257" s="5">
        <f>I257-J257</f>
        <v>-3.3</v>
      </c>
      <c r="M257" s="5">
        <f>M256+L257</f>
        <v>30989.950000000008</v>
      </c>
      <c r="N257" s="5">
        <f>K257-M257</f>
        <v>0</v>
      </c>
      <c r="O257" s="5" t="s">
        <v>73</v>
      </c>
      <c r="P257" s="5" t="s">
        <v>17</v>
      </c>
      <c r="Q257" t="s">
        <v>22</v>
      </c>
      <c r="R257" s="5">
        <f>IF(P257=Q257,0,1)</f>
        <v>1</v>
      </c>
    </row>
    <row r="258" spans="1:18" x14ac:dyDescent="0.25">
      <c r="A258" s="5">
        <v>256</v>
      </c>
      <c r="B258" s="7" t="s">
        <v>132</v>
      </c>
      <c r="C258" s="7" t="s">
        <v>4</v>
      </c>
      <c r="D258" s="6">
        <v>45981</v>
      </c>
      <c r="E258" s="5" t="s">
        <v>164</v>
      </c>
      <c r="F258" s="5" t="s">
        <v>165</v>
      </c>
      <c r="G258" s="5" t="s">
        <v>54</v>
      </c>
      <c r="H258" s="5">
        <v>600</v>
      </c>
      <c r="I258" s="5">
        <v>600</v>
      </c>
      <c r="J258" s="5"/>
      <c r="K258" s="5">
        <v>31589.95</v>
      </c>
      <c r="L258" s="5">
        <f>I258-J258</f>
        <v>600</v>
      </c>
      <c r="M258" s="5">
        <f>M257+L258</f>
        <v>31589.950000000008</v>
      </c>
      <c r="N258" s="5">
        <f>K258-M258</f>
        <v>0</v>
      </c>
      <c r="O258" s="5" t="s">
        <v>69</v>
      </c>
      <c r="P258" s="5" t="s">
        <v>21</v>
      </c>
      <c r="Q258" t="s">
        <v>21</v>
      </c>
      <c r="R258" s="5">
        <f>IF(P258=Q258,0,1)</f>
        <v>0</v>
      </c>
    </row>
    <row r="259" spans="1:18" x14ac:dyDescent="0.25">
      <c r="A259" s="5">
        <v>257</v>
      </c>
      <c r="B259" s="7" t="s">
        <v>132</v>
      </c>
      <c r="C259" s="7" t="s">
        <v>4</v>
      </c>
      <c r="D259" s="6">
        <v>45989</v>
      </c>
      <c r="E259" s="5" t="s">
        <v>80</v>
      </c>
      <c r="F259" s="5" t="s">
        <v>81</v>
      </c>
      <c r="G259" s="5" t="s">
        <v>54</v>
      </c>
      <c r="H259" s="5">
        <v>1650</v>
      </c>
      <c r="I259" s="5">
        <v>1650</v>
      </c>
      <c r="J259" s="5"/>
      <c r="K259" s="5">
        <v>33239.949999999997</v>
      </c>
      <c r="L259" s="5">
        <f>I259-J259</f>
        <v>1650</v>
      </c>
      <c r="M259" s="5">
        <f>M258+L259</f>
        <v>33239.950000000012</v>
      </c>
      <c r="N259" s="5">
        <f>K259-M259</f>
        <v>0</v>
      </c>
      <c r="O259" s="5" t="s">
        <v>69</v>
      </c>
      <c r="P259" s="5" t="s">
        <v>21</v>
      </c>
      <c r="Q259" t="s">
        <v>21</v>
      </c>
      <c r="R259" s="5">
        <f>IF(P259=Q259,0,1)</f>
        <v>0</v>
      </c>
    </row>
    <row r="260" spans="1:18" x14ac:dyDescent="0.25">
      <c r="A260" s="5">
        <v>258</v>
      </c>
      <c r="B260" s="7" t="s">
        <v>132</v>
      </c>
      <c r="C260" s="7" t="s">
        <v>4</v>
      </c>
      <c r="D260" s="6">
        <v>45991</v>
      </c>
      <c r="E260" s="5" t="s">
        <v>80</v>
      </c>
      <c r="F260" s="5" t="s">
        <v>81</v>
      </c>
      <c r="G260" s="5" t="s">
        <v>54</v>
      </c>
      <c r="H260" s="5">
        <v>200</v>
      </c>
      <c r="I260" s="5">
        <v>200</v>
      </c>
      <c r="J260" s="5"/>
      <c r="K260" s="5">
        <v>33439.949999999997</v>
      </c>
      <c r="L260" s="5">
        <f>I260-J260</f>
        <v>200</v>
      </c>
      <c r="M260" s="5">
        <f>M259+L260</f>
        <v>33439.950000000012</v>
      </c>
      <c r="N260" s="5">
        <f>K260-M260</f>
        <v>0</v>
      </c>
      <c r="O260" s="5" t="s">
        <v>69</v>
      </c>
      <c r="P260" s="5" t="s">
        <v>21</v>
      </c>
      <c r="Q260" t="s">
        <v>21</v>
      </c>
      <c r="R260" s="5">
        <f>IF(P260=Q260,0,1)</f>
        <v>0</v>
      </c>
    </row>
    <row r="261" spans="1:18" x14ac:dyDescent="0.25">
      <c r="A261" s="5">
        <v>259</v>
      </c>
      <c r="B261" s="7" t="s">
        <v>132</v>
      </c>
      <c r="C261" s="7" t="s">
        <v>4</v>
      </c>
      <c r="D261" s="6">
        <v>45992</v>
      </c>
      <c r="E261" s="5" t="s">
        <v>107</v>
      </c>
      <c r="F261" s="5" t="s">
        <v>108</v>
      </c>
      <c r="G261" s="5" t="s">
        <v>54</v>
      </c>
      <c r="H261" s="5">
        <v>-1000</v>
      </c>
      <c r="I261" s="5"/>
      <c r="J261" s="5">
        <v>1000</v>
      </c>
      <c r="K261" s="5">
        <v>32439.95</v>
      </c>
      <c r="L261" s="5">
        <f>I261-J261</f>
        <v>-1000</v>
      </c>
      <c r="M261" s="5">
        <f>M260+L261</f>
        <v>32439.950000000012</v>
      </c>
      <c r="N261" s="5">
        <f>K261-M261</f>
        <v>0</v>
      </c>
      <c r="O261" s="5" t="s">
        <v>55</v>
      </c>
      <c r="P261" s="5" t="s">
        <v>13</v>
      </c>
      <c r="Q261" t="s">
        <v>14</v>
      </c>
      <c r="R261" s="5">
        <f>IF(P261=Q261,0,1)</f>
        <v>1</v>
      </c>
    </row>
    <row r="262" spans="1:18" x14ac:dyDescent="0.25">
      <c r="A262" s="5">
        <v>260</v>
      </c>
      <c r="B262" s="7" t="s">
        <v>132</v>
      </c>
      <c r="C262" s="7" t="s">
        <v>4</v>
      </c>
      <c r="D262" s="6">
        <v>45992</v>
      </c>
      <c r="E262" s="5" t="s">
        <v>107</v>
      </c>
      <c r="F262" s="5" t="s">
        <v>70</v>
      </c>
      <c r="G262" s="5" t="s">
        <v>54</v>
      </c>
      <c r="H262" s="5">
        <v>-2000</v>
      </c>
      <c r="I262" s="5"/>
      <c r="J262" s="5">
        <v>2000</v>
      </c>
      <c r="K262" s="5">
        <v>30439.95</v>
      </c>
      <c r="L262" s="5">
        <f>I262-J262</f>
        <v>-2000</v>
      </c>
      <c r="M262" s="5">
        <f>M261+L262</f>
        <v>30439.950000000012</v>
      </c>
      <c r="N262" s="5">
        <f>K262-M262</f>
        <v>0</v>
      </c>
      <c r="O262" s="5" t="s">
        <v>55</v>
      </c>
      <c r="P262" s="7" t="s">
        <v>13</v>
      </c>
      <c r="Q262" t="s">
        <v>15</v>
      </c>
      <c r="R262" s="5">
        <f>IF(P262=Q262,0,1)</f>
        <v>1</v>
      </c>
    </row>
    <row r="263" spans="1:18" x14ac:dyDescent="0.25">
      <c r="A263" s="5">
        <v>261</v>
      </c>
      <c r="B263" s="7" t="s">
        <v>132</v>
      </c>
      <c r="C263" s="7" t="s">
        <v>4</v>
      </c>
      <c r="D263" s="6">
        <v>45994</v>
      </c>
      <c r="E263" s="5" t="s">
        <v>120</v>
      </c>
      <c r="F263" s="5" t="s">
        <v>166</v>
      </c>
      <c r="G263" s="5" t="s">
        <v>54</v>
      </c>
      <c r="H263" s="5">
        <v>-151.47</v>
      </c>
      <c r="I263" s="5"/>
      <c r="J263" s="5">
        <v>151.47</v>
      </c>
      <c r="K263" s="5">
        <v>30288.48</v>
      </c>
      <c r="L263" s="5">
        <f>I263-J263</f>
        <v>-151.47</v>
      </c>
      <c r="M263" s="5">
        <f>M262+L263</f>
        <v>30288.48000000001</v>
      </c>
      <c r="N263" s="5">
        <f>K263-M263</f>
        <v>0</v>
      </c>
      <c r="O263" s="5" t="s">
        <v>167</v>
      </c>
      <c r="P263" s="7" t="s">
        <v>19</v>
      </c>
      <c r="Q263" t="s">
        <v>184</v>
      </c>
      <c r="R263" s="5">
        <f>IF(P263=Q263,0,1)</f>
        <v>1</v>
      </c>
    </row>
    <row r="264" spans="1:18" x14ac:dyDescent="0.25">
      <c r="A264" s="5">
        <v>262</v>
      </c>
      <c r="B264" s="7" t="s">
        <v>132</v>
      </c>
      <c r="C264" s="7" t="s">
        <v>4</v>
      </c>
      <c r="D264" s="6">
        <v>45994</v>
      </c>
      <c r="E264" s="5" t="s">
        <v>120</v>
      </c>
      <c r="F264" s="5" t="s">
        <v>168</v>
      </c>
      <c r="G264" s="5" t="s">
        <v>54</v>
      </c>
      <c r="H264" s="5">
        <v>-150</v>
      </c>
      <c r="I264" s="5"/>
      <c r="J264" s="5">
        <v>150</v>
      </c>
      <c r="K264" s="5">
        <v>30138.48</v>
      </c>
      <c r="L264" s="5">
        <f>I264-J264</f>
        <v>-150</v>
      </c>
      <c r="M264" s="5">
        <f>M263+L264</f>
        <v>30138.48000000001</v>
      </c>
      <c r="N264" s="5">
        <f>K264-M264</f>
        <v>0</v>
      </c>
      <c r="O264" s="5" t="s">
        <v>167</v>
      </c>
      <c r="P264" s="7" t="s">
        <v>19</v>
      </c>
      <c r="Q264" t="s">
        <v>184</v>
      </c>
      <c r="R264" s="5">
        <f>IF(P264=Q264,0,1)</f>
        <v>1</v>
      </c>
    </row>
    <row r="265" spans="1:18" x14ac:dyDescent="0.25">
      <c r="A265" s="5">
        <v>263</v>
      </c>
      <c r="B265" s="7" t="s">
        <v>132</v>
      </c>
      <c r="C265" s="7" t="s">
        <v>4</v>
      </c>
      <c r="D265" s="6">
        <v>45995</v>
      </c>
      <c r="E265" s="5" t="s">
        <v>138</v>
      </c>
      <c r="F265" s="5" t="s">
        <v>92</v>
      </c>
      <c r="G265" s="5" t="s">
        <v>93</v>
      </c>
      <c r="H265" s="5">
        <v>-600</v>
      </c>
      <c r="I265" s="5"/>
      <c r="J265" s="5">
        <v>600</v>
      </c>
      <c r="K265" s="5">
        <v>29538.48</v>
      </c>
      <c r="L265" s="5">
        <f>I265-J265</f>
        <v>-600</v>
      </c>
      <c r="M265" s="5">
        <f>M264+L265</f>
        <v>29538.48000000001</v>
      </c>
      <c r="N265" s="5">
        <f>K265-M265</f>
        <v>0</v>
      </c>
      <c r="O265" s="5" t="s">
        <v>94</v>
      </c>
      <c r="P265" s="7" t="s">
        <v>28</v>
      </c>
      <c r="Q265" t="s">
        <v>27</v>
      </c>
      <c r="R265" s="5">
        <f>IF(P265=Q265,0,1)</f>
        <v>1</v>
      </c>
    </row>
    <row r="266" spans="1:18" x14ac:dyDescent="0.25">
      <c r="A266" s="5">
        <v>264</v>
      </c>
      <c r="B266" s="7" t="s">
        <v>132</v>
      </c>
      <c r="C266" s="7" t="s">
        <v>4</v>
      </c>
      <c r="D266" s="6">
        <v>46008</v>
      </c>
      <c r="E266" s="5" t="s">
        <v>66</v>
      </c>
      <c r="F266" s="5" t="s">
        <v>67</v>
      </c>
      <c r="G266" s="5" t="s">
        <v>68</v>
      </c>
      <c r="H266" s="5">
        <v>2700</v>
      </c>
      <c r="I266" s="5">
        <v>2700</v>
      </c>
      <c r="J266" s="5"/>
      <c r="K266" s="5">
        <v>32238.48</v>
      </c>
      <c r="L266" s="5">
        <f>I266-J266</f>
        <v>2700</v>
      </c>
      <c r="M266" s="5">
        <f>M265+L266</f>
        <v>32238.48000000001</v>
      </c>
      <c r="N266" s="5">
        <f>K266-M266</f>
        <v>0</v>
      </c>
      <c r="O266" s="5" t="s">
        <v>69</v>
      </c>
      <c r="P266" s="5" t="s">
        <v>21</v>
      </c>
      <c r="Q266" t="s">
        <v>21</v>
      </c>
      <c r="R266" s="5">
        <f>IF(P266=Q266,0,1)</f>
        <v>0</v>
      </c>
    </row>
    <row r="267" spans="1:18" x14ac:dyDescent="0.25">
      <c r="A267" s="5">
        <v>265</v>
      </c>
      <c r="B267" s="7" t="s">
        <v>132</v>
      </c>
      <c r="C267" s="7" t="s">
        <v>4</v>
      </c>
      <c r="D267" s="6">
        <v>46010</v>
      </c>
      <c r="E267" s="5" t="s">
        <v>164</v>
      </c>
      <c r="F267" s="5" t="s">
        <v>165</v>
      </c>
      <c r="G267" s="5" t="s">
        <v>54</v>
      </c>
      <c r="H267" s="5">
        <v>1025</v>
      </c>
      <c r="I267" s="5">
        <v>1025</v>
      </c>
      <c r="J267" s="5"/>
      <c r="K267" s="5">
        <v>33263.480000000003</v>
      </c>
      <c r="L267" s="5">
        <f>I267-J267</f>
        <v>1025</v>
      </c>
      <c r="M267" s="5">
        <f>M266+L267</f>
        <v>33263.48000000001</v>
      </c>
      <c r="N267" s="5">
        <f>K267-M267</f>
        <v>0</v>
      </c>
      <c r="O267" s="5" t="s">
        <v>69</v>
      </c>
      <c r="P267" s="5" t="s">
        <v>21</v>
      </c>
      <c r="Q267" t="s">
        <v>21</v>
      </c>
      <c r="R267" s="5">
        <f>IF(P267=Q267,0,1)</f>
        <v>0</v>
      </c>
    </row>
    <row r="268" spans="1:18" x14ac:dyDescent="0.25">
      <c r="A268" s="5">
        <v>266</v>
      </c>
      <c r="B268" s="7" t="s">
        <v>132</v>
      </c>
      <c r="C268" s="7" t="s">
        <v>4</v>
      </c>
      <c r="D268" s="6">
        <v>46014</v>
      </c>
      <c r="E268" s="5" t="s">
        <v>120</v>
      </c>
      <c r="F268" s="5" t="s">
        <v>169</v>
      </c>
      <c r="G268" s="5" t="s">
        <v>54</v>
      </c>
      <c r="H268" s="5">
        <v>-11375.4</v>
      </c>
      <c r="I268" s="5"/>
      <c r="J268" s="5">
        <v>11375.4</v>
      </c>
      <c r="K268" s="5">
        <v>21888.080000000002</v>
      </c>
      <c r="L268" s="5">
        <f>I268-J268</f>
        <v>-11375.4</v>
      </c>
      <c r="M268" s="5">
        <f>M267+L268</f>
        <v>21888.080000000009</v>
      </c>
      <c r="N268" s="5">
        <f>K268-M268</f>
        <v>0</v>
      </c>
      <c r="O268" s="5" t="s">
        <v>122</v>
      </c>
      <c r="P268" s="7" t="s">
        <v>19</v>
      </c>
      <c r="Q268" t="s">
        <v>20</v>
      </c>
      <c r="R268" s="5">
        <f>IF(P268=Q268,0,1)</f>
        <v>1</v>
      </c>
    </row>
    <row r="269" spans="1:18" x14ac:dyDescent="0.25">
      <c r="A269" s="5">
        <v>267</v>
      </c>
      <c r="B269" s="7" t="s">
        <v>132</v>
      </c>
      <c r="C269" s="7" t="s">
        <v>4</v>
      </c>
      <c r="D269" s="6">
        <v>46018</v>
      </c>
      <c r="E269" s="5" t="s">
        <v>117</v>
      </c>
      <c r="F269" s="5" t="s">
        <v>118</v>
      </c>
      <c r="G269" s="5" t="s">
        <v>93</v>
      </c>
      <c r="H269" s="5">
        <v>-16</v>
      </c>
      <c r="I269" s="5"/>
      <c r="J269" s="5">
        <v>16</v>
      </c>
      <c r="K269" s="5">
        <v>21872.080000000002</v>
      </c>
      <c r="L269" s="5">
        <f>I269-J269</f>
        <v>-16</v>
      </c>
      <c r="M269" s="5">
        <f>M268+L269</f>
        <v>21872.080000000009</v>
      </c>
      <c r="N269" s="5">
        <f>K269-M269</f>
        <v>0</v>
      </c>
      <c r="O269" s="5" t="s">
        <v>61</v>
      </c>
      <c r="P269" s="5" t="s">
        <v>10</v>
      </c>
      <c r="Q269" t="s">
        <v>25</v>
      </c>
      <c r="R269" s="5">
        <f>IF(P269=Q269,0,1)</f>
        <v>1</v>
      </c>
    </row>
    <row r="270" spans="1:18" x14ac:dyDescent="0.25">
      <c r="A270" s="5">
        <v>268</v>
      </c>
      <c r="B270" s="7" t="s">
        <v>132</v>
      </c>
      <c r="C270" s="7" t="s">
        <v>4</v>
      </c>
      <c r="D270" s="6">
        <v>46022</v>
      </c>
      <c r="E270" s="5" t="s">
        <v>80</v>
      </c>
      <c r="F270" s="5" t="s">
        <v>81</v>
      </c>
      <c r="G270" s="5" t="s">
        <v>54</v>
      </c>
      <c r="H270" s="5">
        <v>1600</v>
      </c>
      <c r="I270" s="5">
        <v>1600</v>
      </c>
      <c r="J270" s="5"/>
      <c r="K270" s="5">
        <v>23472.080000000002</v>
      </c>
      <c r="L270" s="5">
        <f>I270-J270</f>
        <v>1600</v>
      </c>
      <c r="M270" s="5">
        <f>M269+L270</f>
        <v>23472.080000000009</v>
      </c>
      <c r="N270" s="5">
        <f>K270-M270</f>
        <v>0</v>
      </c>
      <c r="O270" s="5" t="s">
        <v>69</v>
      </c>
      <c r="P270" s="5" t="s">
        <v>21</v>
      </c>
      <c r="Q270" t="s">
        <v>21</v>
      </c>
      <c r="R270" s="5">
        <f>IF(P270=Q270,0,1)</f>
        <v>0</v>
      </c>
    </row>
    <row r="271" spans="1:18" x14ac:dyDescent="0.25">
      <c r="A271" s="5">
        <v>269</v>
      </c>
      <c r="B271" s="7" t="s">
        <v>132</v>
      </c>
      <c r="C271" s="7" t="s">
        <v>4</v>
      </c>
      <c r="D271" s="6">
        <v>46023</v>
      </c>
      <c r="E271" s="5" t="s">
        <v>107</v>
      </c>
      <c r="F271" s="5" t="s">
        <v>108</v>
      </c>
      <c r="G271" s="5" t="s">
        <v>54</v>
      </c>
      <c r="H271" s="5">
        <v>-1000</v>
      </c>
      <c r="I271" s="5"/>
      <c r="J271" s="5">
        <v>1000</v>
      </c>
      <c r="K271" s="5">
        <v>22472.080000000002</v>
      </c>
      <c r="L271" s="5">
        <f>I271-J271</f>
        <v>-1000</v>
      </c>
      <c r="M271" s="5">
        <f>M270+L271</f>
        <v>22472.080000000009</v>
      </c>
      <c r="N271" s="5">
        <f>K271-M271</f>
        <v>0</v>
      </c>
      <c r="O271" s="5" t="s">
        <v>55</v>
      </c>
      <c r="P271" s="5" t="s">
        <v>13</v>
      </c>
      <c r="Q271" t="s">
        <v>14</v>
      </c>
      <c r="R271" s="5">
        <f>IF(P271=Q271,0,1)</f>
        <v>1</v>
      </c>
    </row>
    <row r="272" spans="1:18" x14ac:dyDescent="0.25">
      <c r="A272" s="5">
        <v>270</v>
      </c>
      <c r="B272" s="7" t="s">
        <v>132</v>
      </c>
      <c r="C272" s="7" t="s">
        <v>4</v>
      </c>
      <c r="D272" s="6">
        <v>46024</v>
      </c>
      <c r="E272" s="5" t="s">
        <v>59</v>
      </c>
      <c r="F272" s="5" t="s">
        <v>131</v>
      </c>
      <c r="G272" s="5" t="s">
        <v>60</v>
      </c>
      <c r="H272" s="5">
        <v>-74</v>
      </c>
      <c r="I272" s="5"/>
      <c r="J272" s="5">
        <v>74</v>
      </c>
      <c r="K272" s="5">
        <v>22398.080000000002</v>
      </c>
      <c r="L272" s="5">
        <f>I272-J272</f>
        <v>-74</v>
      </c>
      <c r="M272" s="5">
        <f>M271+L272</f>
        <v>22398.080000000009</v>
      </c>
      <c r="N272" s="5">
        <f>K272-M272</f>
        <v>0</v>
      </c>
      <c r="O272" s="5" t="s">
        <v>61</v>
      </c>
      <c r="P272" s="5" t="s">
        <v>5</v>
      </c>
      <c r="Q272" t="s">
        <v>5</v>
      </c>
      <c r="R272" s="5">
        <f>IF(P272=Q272,0,1)</f>
        <v>0</v>
      </c>
    </row>
    <row r="273" spans="1:18" x14ac:dyDescent="0.25">
      <c r="A273" s="5">
        <v>271</v>
      </c>
      <c r="B273" s="7" t="s">
        <v>132</v>
      </c>
      <c r="C273" s="7" t="s">
        <v>4</v>
      </c>
      <c r="D273" s="6">
        <v>46026</v>
      </c>
      <c r="E273" s="5" t="s">
        <v>107</v>
      </c>
      <c r="F273" s="5" t="s">
        <v>70</v>
      </c>
      <c r="G273" s="5" t="s">
        <v>54</v>
      </c>
      <c r="H273" s="5">
        <v>-2500</v>
      </c>
      <c r="I273" s="5"/>
      <c r="J273" s="5">
        <v>2500</v>
      </c>
      <c r="K273" s="5">
        <v>19898.080000000002</v>
      </c>
      <c r="L273" s="5">
        <f>I273-J273</f>
        <v>-2500</v>
      </c>
      <c r="M273" s="5">
        <f>M272+L273</f>
        <v>19898.080000000009</v>
      </c>
      <c r="N273" s="5">
        <f>K273-M273</f>
        <v>0</v>
      </c>
      <c r="O273" s="5" t="s">
        <v>55</v>
      </c>
      <c r="P273" s="7" t="s">
        <v>13</v>
      </c>
      <c r="Q273" t="s">
        <v>15</v>
      </c>
      <c r="R273" s="5">
        <f>IF(P273=Q273,0,1)</f>
        <v>1</v>
      </c>
    </row>
    <row r="274" spans="1:18" x14ac:dyDescent="0.25">
      <c r="A274" s="5">
        <v>272</v>
      </c>
      <c r="B274" s="7" t="s">
        <v>132</v>
      </c>
      <c r="C274" s="7" t="s">
        <v>4</v>
      </c>
      <c r="D274" s="6">
        <v>46026</v>
      </c>
      <c r="E274" s="5" t="s">
        <v>120</v>
      </c>
      <c r="F274" s="5" t="s">
        <v>170</v>
      </c>
      <c r="G274" s="5" t="s">
        <v>54</v>
      </c>
      <c r="H274" s="5">
        <v>-149.91</v>
      </c>
      <c r="I274" s="5"/>
      <c r="J274" s="5">
        <v>149.91</v>
      </c>
      <c r="K274" s="5">
        <v>19748.169999999998</v>
      </c>
      <c r="L274" s="5">
        <f>I274-J274</f>
        <v>-149.91</v>
      </c>
      <c r="M274" s="5">
        <f>M273+L274</f>
        <v>19748.170000000009</v>
      </c>
      <c r="N274" s="5">
        <f>K274-M274</f>
        <v>0</v>
      </c>
      <c r="O274" s="5" t="s">
        <v>171</v>
      </c>
      <c r="P274" s="7" t="s">
        <v>19</v>
      </c>
      <c r="Q274" t="s">
        <v>184</v>
      </c>
      <c r="R274" s="5">
        <f>IF(P274=Q274,0,1)</f>
        <v>1</v>
      </c>
    </row>
    <row r="275" spans="1:18" x14ac:dyDescent="0.25">
      <c r="A275" s="5">
        <v>273</v>
      </c>
      <c r="B275" s="7" t="s">
        <v>132</v>
      </c>
      <c r="C275" s="7" t="s">
        <v>4</v>
      </c>
      <c r="D275" s="6">
        <v>46033</v>
      </c>
      <c r="E275" s="5" t="s">
        <v>82</v>
      </c>
      <c r="F275" s="5" t="s">
        <v>83</v>
      </c>
      <c r="G275" s="5" t="s">
        <v>64</v>
      </c>
      <c r="H275" s="5">
        <v>-8</v>
      </c>
      <c r="I275" s="5"/>
      <c r="J275" s="5">
        <v>8</v>
      </c>
      <c r="K275" s="5">
        <v>19740.169999999998</v>
      </c>
      <c r="L275" s="5">
        <f>I275-J275</f>
        <v>-8</v>
      </c>
      <c r="M275" s="5">
        <f>M274+L275</f>
        <v>19740.170000000009</v>
      </c>
      <c r="N275" s="5">
        <f>K275-M275</f>
        <v>0</v>
      </c>
      <c r="O275" s="5" t="s">
        <v>65</v>
      </c>
      <c r="P275" s="5" t="s">
        <v>23</v>
      </c>
      <c r="Q275" t="s">
        <v>32</v>
      </c>
      <c r="R275" s="5">
        <f>IF(P275=Q275,0,1)</f>
        <v>1</v>
      </c>
    </row>
    <row r="276" spans="1:18" x14ac:dyDescent="0.25">
      <c r="A276" s="5">
        <v>274</v>
      </c>
      <c r="B276" s="7" t="s">
        <v>132</v>
      </c>
      <c r="C276" s="7" t="s">
        <v>4</v>
      </c>
      <c r="D276" s="6">
        <v>46036</v>
      </c>
      <c r="E276" s="5" t="s">
        <v>66</v>
      </c>
      <c r="F276" s="5" t="s">
        <v>67</v>
      </c>
      <c r="G276" s="5" t="s">
        <v>68</v>
      </c>
      <c r="H276" s="5">
        <v>2675</v>
      </c>
      <c r="I276" s="5">
        <v>2675</v>
      </c>
      <c r="J276" s="5"/>
      <c r="K276" s="5">
        <v>22415.17</v>
      </c>
      <c r="L276" s="5">
        <f>I276-J276</f>
        <v>2675</v>
      </c>
      <c r="M276" s="5">
        <f>M275+L276</f>
        <v>22415.170000000009</v>
      </c>
      <c r="N276" s="5">
        <f>K276-M276</f>
        <v>0</v>
      </c>
      <c r="O276" s="5" t="s">
        <v>69</v>
      </c>
      <c r="P276" s="5" t="s">
        <v>21</v>
      </c>
      <c r="Q276" t="s">
        <v>21</v>
      </c>
      <c r="R276" s="5">
        <f>IF(P276=Q276,0,1)</f>
        <v>0</v>
      </c>
    </row>
    <row r="277" spans="1:18" x14ac:dyDescent="0.25">
      <c r="A277" s="5">
        <v>275</v>
      </c>
      <c r="B277" s="7" t="s">
        <v>132</v>
      </c>
      <c r="C277" s="7" t="s">
        <v>4</v>
      </c>
      <c r="D277" s="6">
        <v>46037</v>
      </c>
      <c r="E277" s="5" t="s">
        <v>135</v>
      </c>
      <c r="F277" s="5" t="s">
        <v>96</v>
      </c>
      <c r="G277" s="5" t="s">
        <v>54</v>
      </c>
      <c r="H277" s="5">
        <v>1275</v>
      </c>
      <c r="I277" s="5">
        <v>1275</v>
      </c>
      <c r="J277" s="5"/>
      <c r="K277" s="5">
        <v>23690.17</v>
      </c>
      <c r="L277" s="5">
        <f>I277-J277</f>
        <v>1275</v>
      </c>
      <c r="M277" s="5">
        <f>M276+L277</f>
        <v>23690.170000000009</v>
      </c>
      <c r="N277" s="5">
        <f>K277-M277</f>
        <v>0</v>
      </c>
      <c r="O277" s="5" t="s">
        <v>69</v>
      </c>
      <c r="P277" s="5" t="s">
        <v>21</v>
      </c>
      <c r="Q277" t="s">
        <v>21</v>
      </c>
      <c r="R277" s="5">
        <f>IF(P277=Q277,0,1)</f>
        <v>0</v>
      </c>
    </row>
    <row r="278" spans="1:18" x14ac:dyDescent="0.25">
      <c r="A278" s="5">
        <v>276</v>
      </c>
      <c r="B278" s="7" t="s">
        <v>132</v>
      </c>
      <c r="C278" s="7" t="s">
        <v>4</v>
      </c>
      <c r="D278" s="6">
        <v>46037</v>
      </c>
      <c r="E278" s="5" t="s">
        <v>172</v>
      </c>
      <c r="F278" s="5" t="s">
        <v>173</v>
      </c>
      <c r="G278" s="5" t="s">
        <v>93</v>
      </c>
      <c r="H278" s="5">
        <v>-456</v>
      </c>
      <c r="I278" s="5"/>
      <c r="J278" s="5">
        <v>456</v>
      </c>
      <c r="K278" s="5">
        <v>23234.17</v>
      </c>
      <c r="L278" s="5">
        <f>I278-J278</f>
        <v>-456</v>
      </c>
      <c r="M278" s="5">
        <f>M277+L278</f>
        <v>23234.170000000009</v>
      </c>
      <c r="N278" s="5">
        <f>K278-M278</f>
        <v>0</v>
      </c>
      <c r="O278" s="5" t="s">
        <v>61</v>
      </c>
      <c r="P278" s="5" t="s">
        <v>26</v>
      </c>
      <c r="Q278" t="s">
        <v>9</v>
      </c>
      <c r="R278" s="5">
        <f>IF(P278=Q278,0,1)</f>
        <v>1</v>
      </c>
    </row>
    <row r="279" spans="1:18" x14ac:dyDescent="0.25">
      <c r="A279" s="5">
        <v>277</v>
      </c>
      <c r="B279" s="7" t="s">
        <v>132</v>
      </c>
      <c r="C279" s="7" t="s">
        <v>4</v>
      </c>
      <c r="D279" s="6">
        <v>46042</v>
      </c>
      <c r="E279" s="5" t="s">
        <v>164</v>
      </c>
      <c r="F279" s="5" t="s">
        <v>165</v>
      </c>
      <c r="G279" s="5" t="s">
        <v>54</v>
      </c>
      <c r="H279" s="5">
        <v>1450</v>
      </c>
      <c r="I279" s="5">
        <v>1450</v>
      </c>
      <c r="J279" s="5"/>
      <c r="K279" s="5">
        <v>24684.17</v>
      </c>
      <c r="L279" s="5">
        <f>I279-J279</f>
        <v>1450</v>
      </c>
      <c r="M279" s="5">
        <f>M278+L279</f>
        <v>24684.170000000009</v>
      </c>
      <c r="N279" s="5">
        <f>K279-M279</f>
        <v>0</v>
      </c>
      <c r="O279" s="5" t="s">
        <v>69</v>
      </c>
      <c r="P279" s="5" t="s">
        <v>21</v>
      </c>
      <c r="Q279" t="s">
        <v>21</v>
      </c>
      <c r="R279" s="5">
        <f>IF(P279=Q279,0,1)</f>
        <v>0</v>
      </c>
    </row>
    <row r="280" spans="1:18" x14ac:dyDescent="0.25">
      <c r="A280" s="5">
        <v>278</v>
      </c>
      <c r="B280" s="7" t="s">
        <v>132</v>
      </c>
      <c r="C280" s="7" t="s">
        <v>4</v>
      </c>
      <c r="D280" s="6">
        <v>46048</v>
      </c>
      <c r="E280" s="5" t="s">
        <v>80</v>
      </c>
      <c r="F280" s="5" t="s">
        <v>81</v>
      </c>
      <c r="G280" s="5" t="s">
        <v>54</v>
      </c>
      <c r="H280" s="5">
        <v>1200</v>
      </c>
      <c r="I280" s="5">
        <v>1200</v>
      </c>
      <c r="J280" s="5"/>
      <c r="K280" s="5">
        <v>25884.17</v>
      </c>
      <c r="L280" s="5">
        <f>I280-J280</f>
        <v>1200</v>
      </c>
      <c r="M280" s="5">
        <f>M279+L280</f>
        <v>25884.170000000009</v>
      </c>
      <c r="N280" s="5">
        <f>K280-M280</f>
        <v>0</v>
      </c>
      <c r="O280" s="5" t="s">
        <v>69</v>
      </c>
      <c r="P280" s="5" t="s">
        <v>21</v>
      </c>
      <c r="Q280" t="s">
        <v>21</v>
      </c>
      <c r="R280" s="5">
        <f>IF(P280=Q280,0,1)</f>
        <v>0</v>
      </c>
    </row>
    <row r="281" spans="1:18" x14ac:dyDescent="0.25">
      <c r="A281" s="5">
        <v>279</v>
      </c>
      <c r="B281" s="7" t="s">
        <v>132</v>
      </c>
      <c r="C281" s="7" t="s">
        <v>4</v>
      </c>
      <c r="D281" s="6">
        <v>46052</v>
      </c>
      <c r="E281" s="5" t="s">
        <v>107</v>
      </c>
      <c r="F281" s="5" t="s">
        <v>70</v>
      </c>
      <c r="G281" s="5" t="s">
        <v>54</v>
      </c>
      <c r="H281" s="5">
        <v>-2000</v>
      </c>
      <c r="I281" s="5"/>
      <c r="J281" s="5">
        <v>2000</v>
      </c>
      <c r="K281" s="5">
        <v>23884.17</v>
      </c>
      <c r="L281" s="5">
        <f>I281-J281</f>
        <v>-2000</v>
      </c>
      <c r="M281" s="5">
        <f>M280+L281</f>
        <v>23884.170000000009</v>
      </c>
      <c r="N281" s="5">
        <f>K281-M281</f>
        <v>0</v>
      </c>
      <c r="O281" s="5" t="s">
        <v>55</v>
      </c>
      <c r="P281" s="7" t="s">
        <v>13</v>
      </c>
      <c r="Q281" t="s">
        <v>15</v>
      </c>
      <c r="R281" s="5">
        <f>IF(P281=Q281,0,1)</f>
        <v>1</v>
      </c>
    </row>
    <row r="282" spans="1:18" x14ac:dyDescent="0.25">
      <c r="A282" s="5">
        <v>280</v>
      </c>
      <c r="B282" s="7" t="s">
        <v>132</v>
      </c>
      <c r="C282" s="7" t="s">
        <v>4</v>
      </c>
      <c r="D282" s="6">
        <v>46054</v>
      </c>
      <c r="E282" s="5" t="s">
        <v>107</v>
      </c>
      <c r="F282" s="5" t="s">
        <v>108</v>
      </c>
      <c r="G282" s="5" t="s">
        <v>54</v>
      </c>
      <c r="H282" s="5">
        <v>-1000</v>
      </c>
      <c r="I282" s="5"/>
      <c r="J282" s="5">
        <v>1000</v>
      </c>
      <c r="K282" s="5">
        <v>22884.17</v>
      </c>
      <c r="L282" s="5">
        <f>I282-J282</f>
        <v>-1000</v>
      </c>
      <c r="M282" s="5">
        <f>M281+L282</f>
        <v>22884.170000000009</v>
      </c>
      <c r="N282" s="5">
        <f>K282-M282</f>
        <v>0</v>
      </c>
      <c r="O282" s="5" t="s">
        <v>55</v>
      </c>
      <c r="P282" s="5" t="s">
        <v>13</v>
      </c>
      <c r="Q282" t="s">
        <v>14</v>
      </c>
      <c r="R282" s="5">
        <f>IF(P282=Q282,0,1)</f>
        <v>1</v>
      </c>
    </row>
    <row r="283" spans="1:18" x14ac:dyDescent="0.25">
      <c r="A283" s="5">
        <v>281</v>
      </c>
      <c r="B283" s="7" t="s">
        <v>132</v>
      </c>
      <c r="C283" s="7" t="s">
        <v>4</v>
      </c>
      <c r="D283" s="6">
        <v>46055</v>
      </c>
      <c r="E283" s="5" t="s">
        <v>59</v>
      </c>
      <c r="F283" s="5" t="s">
        <v>131</v>
      </c>
      <c r="G283" s="5" t="s">
        <v>60</v>
      </c>
      <c r="H283" s="5">
        <v>-74</v>
      </c>
      <c r="I283" s="5"/>
      <c r="J283" s="5">
        <v>74</v>
      </c>
      <c r="K283" s="5">
        <v>22810.17</v>
      </c>
      <c r="L283" s="5">
        <f>I283-J283</f>
        <v>-74</v>
      </c>
      <c r="M283" s="5">
        <f>M282+L283</f>
        <v>22810.170000000009</v>
      </c>
      <c r="N283" s="5">
        <f>K283-M283</f>
        <v>0</v>
      </c>
      <c r="O283" s="5" t="s">
        <v>61</v>
      </c>
      <c r="P283" s="5" t="s">
        <v>5</v>
      </c>
      <c r="Q283" t="s">
        <v>5</v>
      </c>
      <c r="R283" s="5">
        <f>IF(P283=Q283,0,1)</f>
        <v>0</v>
      </c>
    </row>
    <row r="284" spans="1:18" x14ac:dyDescent="0.25">
      <c r="A284" s="5">
        <v>282</v>
      </c>
      <c r="B284" s="7" t="s">
        <v>132</v>
      </c>
      <c r="C284" s="7" t="s">
        <v>4</v>
      </c>
      <c r="D284" s="6">
        <v>46055</v>
      </c>
      <c r="E284" s="5" t="s">
        <v>138</v>
      </c>
      <c r="F284" s="5" t="s">
        <v>92</v>
      </c>
      <c r="G284" s="5" t="s">
        <v>93</v>
      </c>
      <c r="H284" s="5">
        <v>-1600</v>
      </c>
      <c r="I284" s="5"/>
      <c r="J284" s="5">
        <v>1600</v>
      </c>
      <c r="K284" s="5">
        <v>21210.17</v>
      </c>
      <c r="L284" s="5">
        <f>I284-J284</f>
        <v>-1600</v>
      </c>
      <c r="M284" s="5">
        <f>M283+L284</f>
        <v>21210.170000000009</v>
      </c>
      <c r="N284" s="5">
        <f>K284-M284</f>
        <v>0</v>
      </c>
      <c r="O284" s="5" t="s">
        <v>94</v>
      </c>
      <c r="P284" s="7" t="s">
        <v>28</v>
      </c>
      <c r="Q284" t="s">
        <v>27</v>
      </c>
      <c r="R284" s="5">
        <f>IF(P284=Q284,0,1)</f>
        <v>1</v>
      </c>
    </row>
    <row r="285" spans="1:18" x14ac:dyDescent="0.25">
      <c r="A285" s="5">
        <v>283</v>
      </c>
      <c r="B285" s="7" t="s">
        <v>132</v>
      </c>
      <c r="C285" s="7" t="s">
        <v>4</v>
      </c>
      <c r="D285" s="6">
        <v>46058</v>
      </c>
      <c r="E285" s="5" t="s">
        <v>135</v>
      </c>
      <c r="F285" s="5" t="s">
        <v>96</v>
      </c>
      <c r="G285" s="5" t="s">
        <v>54</v>
      </c>
      <c r="H285" s="5">
        <v>1750</v>
      </c>
      <c r="I285" s="5">
        <v>1750</v>
      </c>
      <c r="J285" s="5"/>
      <c r="K285" s="5">
        <v>22960.17</v>
      </c>
      <c r="L285" s="5">
        <f>I285-J285</f>
        <v>1750</v>
      </c>
      <c r="M285" s="5">
        <f>M284+L285</f>
        <v>22960.170000000009</v>
      </c>
      <c r="N285" s="5">
        <f>K285-M285</f>
        <v>0</v>
      </c>
      <c r="O285" s="5" t="s">
        <v>69</v>
      </c>
      <c r="P285" s="5" t="s">
        <v>21</v>
      </c>
      <c r="Q285" t="s">
        <v>21</v>
      </c>
      <c r="R285" s="5">
        <f>IF(P285=Q285,0,1)</f>
        <v>0</v>
      </c>
    </row>
    <row r="286" spans="1:18" x14ac:dyDescent="0.25">
      <c r="A286" s="5">
        <v>284</v>
      </c>
      <c r="B286" s="7" t="s">
        <v>132</v>
      </c>
      <c r="C286" s="7" t="s">
        <v>4</v>
      </c>
      <c r="D286" s="6">
        <v>46064</v>
      </c>
      <c r="E286" s="5" t="s">
        <v>66</v>
      </c>
      <c r="F286" s="5" t="s">
        <v>67</v>
      </c>
      <c r="G286" s="5" t="s">
        <v>68</v>
      </c>
      <c r="H286" s="5">
        <v>2700</v>
      </c>
      <c r="I286" s="5">
        <v>2700</v>
      </c>
      <c r="J286" s="5"/>
      <c r="K286" s="5">
        <v>25660.17</v>
      </c>
      <c r="L286" s="5">
        <f>I286-J286</f>
        <v>2700</v>
      </c>
      <c r="M286" s="5">
        <f>M285+L286</f>
        <v>25660.170000000009</v>
      </c>
      <c r="N286" s="5">
        <f>K286-M286</f>
        <v>0</v>
      </c>
      <c r="O286" s="5" t="s">
        <v>69</v>
      </c>
      <c r="P286" s="5" t="s">
        <v>21</v>
      </c>
      <c r="Q286" t="s">
        <v>21</v>
      </c>
      <c r="R286" s="5">
        <f>IF(P286=Q286,0,1)</f>
        <v>0</v>
      </c>
    </row>
    <row r="287" spans="1:18" x14ac:dyDescent="0.25">
      <c r="A287" s="5">
        <v>285</v>
      </c>
      <c r="B287" s="7" t="s">
        <v>132</v>
      </c>
      <c r="C287" s="7" t="s">
        <v>4</v>
      </c>
      <c r="D287" s="6">
        <v>46070</v>
      </c>
      <c r="E287" s="5" t="s">
        <v>164</v>
      </c>
      <c r="F287" s="5" t="s">
        <v>165</v>
      </c>
      <c r="G287" s="5" t="s">
        <v>54</v>
      </c>
      <c r="H287" s="5">
        <v>2600</v>
      </c>
      <c r="I287" s="5">
        <v>2600</v>
      </c>
      <c r="J287" s="5"/>
      <c r="K287" s="5">
        <v>28260.17</v>
      </c>
      <c r="L287" s="5">
        <f>I287-J287</f>
        <v>2600</v>
      </c>
      <c r="M287" s="5">
        <f>M286+L287</f>
        <v>28260.170000000009</v>
      </c>
      <c r="N287" s="5">
        <f>K287-M287</f>
        <v>0</v>
      </c>
      <c r="O287" s="5" t="s">
        <v>69</v>
      </c>
      <c r="P287" s="5" t="s">
        <v>21</v>
      </c>
      <c r="Q287" t="s">
        <v>21</v>
      </c>
      <c r="R287" s="5">
        <f>IF(P287=Q287,0,1)</f>
        <v>0</v>
      </c>
    </row>
    <row r="288" spans="1:18" x14ac:dyDescent="0.25">
      <c r="A288" s="5">
        <v>286</v>
      </c>
      <c r="B288" s="7" t="s">
        <v>132</v>
      </c>
      <c r="C288" s="7" t="s">
        <v>4</v>
      </c>
      <c r="D288" s="6">
        <v>46072</v>
      </c>
      <c r="E288" s="5" t="s">
        <v>120</v>
      </c>
      <c r="F288" s="5" t="s">
        <v>174</v>
      </c>
      <c r="G288" s="5" t="s">
        <v>54</v>
      </c>
      <c r="H288" s="5">
        <v>-150.97999999999999</v>
      </c>
      <c r="I288" s="5"/>
      <c r="J288" s="5">
        <v>150.97999999999999</v>
      </c>
      <c r="K288" s="5">
        <v>28109.19</v>
      </c>
      <c r="L288" s="5">
        <f>I288-J288</f>
        <v>-150.97999999999999</v>
      </c>
      <c r="M288" s="5">
        <f>M287+L288</f>
        <v>28109.19000000001</v>
      </c>
      <c r="N288" s="5">
        <f>K288-M288</f>
        <v>0</v>
      </c>
      <c r="O288" s="5" t="s">
        <v>167</v>
      </c>
      <c r="P288" s="7" t="s">
        <v>19</v>
      </c>
      <c r="Q288" t="s">
        <v>184</v>
      </c>
      <c r="R288" s="5">
        <f>IF(P288=Q288,0,1)</f>
        <v>1</v>
      </c>
    </row>
    <row r="289" spans="1:18" x14ac:dyDescent="0.25">
      <c r="A289" s="5">
        <v>287</v>
      </c>
      <c r="B289" s="7" t="s">
        <v>132</v>
      </c>
      <c r="C289" s="7" t="s">
        <v>4</v>
      </c>
      <c r="D289" s="6">
        <v>46072</v>
      </c>
      <c r="E289" s="5" t="s">
        <v>175</v>
      </c>
      <c r="F289" s="5" t="s">
        <v>176</v>
      </c>
      <c r="G289" s="5" t="s">
        <v>54</v>
      </c>
      <c r="H289" s="5">
        <v>-634</v>
      </c>
      <c r="I289" s="5"/>
      <c r="J289" s="5">
        <v>634</v>
      </c>
      <c r="K289" s="5">
        <v>27475.19</v>
      </c>
      <c r="L289" s="5">
        <f>I289-J289</f>
        <v>-634</v>
      </c>
      <c r="M289" s="5">
        <f>M288+L289</f>
        <v>27475.19000000001</v>
      </c>
      <c r="N289" s="5">
        <f>K289-M289</f>
        <v>0</v>
      </c>
      <c r="O289" s="5" t="s">
        <v>61</v>
      </c>
      <c r="P289" s="5" t="s">
        <v>6</v>
      </c>
      <c r="Q289" t="s">
        <v>7</v>
      </c>
      <c r="R289" s="5">
        <f>IF(P289=Q289,0,1)</f>
        <v>1</v>
      </c>
    </row>
    <row r="290" spans="1:18" x14ac:dyDescent="0.25">
      <c r="A290" s="5">
        <v>288</v>
      </c>
      <c r="B290" s="7" t="s">
        <v>132</v>
      </c>
      <c r="C290" s="7" t="s">
        <v>4</v>
      </c>
      <c r="D290" s="6">
        <v>46076</v>
      </c>
      <c r="E290" s="5" t="s">
        <v>80</v>
      </c>
      <c r="F290" s="5" t="s">
        <v>81</v>
      </c>
      <c r="G290" s="5" t="s">
        <v>54</v>
      </c>
      <c r="H290" s="5">
        <v>800</v>
      </c>
      <c r="I290" s="5">
        <v>800</v>
      </c>
      <c r="J290" s="5"/>
      <c r="K290" s="5">
        <v>28275.19</v>
      </c>
      <c r="L290" s="5">
        <f>I290-J290</f>
        <v>800</v>
      </c>
      <c r="M290" s="5">
        <f>M289+L290</f>
        <v>28275.19000000001</v>
      </c>
      <c r="N290" s="5">
        <f>K290-M290</f>
        <v>0</v>
      </c>
      <c r="O290" s="5" t="s">
        <v>69</v>
      </c>
      <c r="P290" s="5" t="s">
        <v>21</v>
      </c>
      <c r="Q290" t="s">
        <v>21</v>
      </c>
      <c r="R290" s="5">
        <f>IF(P290=Q290,0,1)</f>
        <v>0</v>
      </c>
    </row>
    <row r="291" spans="1:18" x14ac:dyDescent="0.25">
      <c r="A291" s="5">
        <v>289</v>
      </c>
      <c r="B291" s="7" t="s">
        <v>132</v>
      </c>
      <c r="C291" s="7" t="s">
        <v>4</v>
      </c>
      <c r="D291" s="6">
        <v>46078</v>
      </c>
      <c r="E291" s="5" t="s">
        <v>66</v>
      </c>
      <c r="F291" s="5" t="s">
        <v>67</v>
      </c>
      <c r="G291" s="5" t="s">
        <v>68</v>
      </c>
      <c r="H291" s="5">
        <v>596</v>
      </c>
      <c r="I291" s="5">
        <v>596</v>
      </c>
      <c r="J291" s="5"/>
      <c r="K291" s="5">
        <v>28871.19</v>
      </c>
      <c r="L291" s="5">
        <f>I291-J291</f>
        <v>596</v>
      </c>
      <c r="M291" s="5">
        <f>M290+L291</f>
        <v>28871.19000000001</v>
      </c>
      <c r="N291" s="5">
        <f>K291-M291</f>
        <v>0</v>
      </c>
      <c r="O291" s="5" t="s">
        <v>69</v>
      </c>
      <c r="P291" s="5" t="s">
        <v>21</v>
      </c>
      <c r="Q291" t="s">
        <v>185</v>
      </c>
      <c r="R291" s="5">
        <f>IF(P291=Q291,0,1)</f>
        <v>1</v>
      </c>
    </row>
    <row r="292" spans="1:18" x14ac:dyDescent="0.25">
      <c r="A292" s="5">
        <v>290</v>
      </c>
      <c r="B292" s="7" t="s">
        <v>132</v>
      </c>
      <c r="C292" s="7" t="s">
        <v>4</v>
      </c>
      <c r="D292" s="6">
        <v>46080</v>
      </c>
      <c r="E292" s="5" t="s">
        <v>107</v>
      </c>
      <c r="F292" s="5" t="s">
        <v>70</v>
      </c>
      <c r="G292" s="5" t="s">
        <v>54</v>
      </c>
      <c r="H292" s="5">
        <v>-2250</v>
      </c>
      <c r="I292" s="5"/>
      <c r="J292" s="5">
        <v>2250</v>
      </c>
      <c r="K292" s="5">
        <v>26621.19</v>
      </c>
      <c r="L292" s="5">
        <f>I292-J292</f>
        <v>-2250</v>
      </c>
      <c r="M292" s="5">
        <f>M291+L292</f>
        <v>26621.19000000001</v>
      </c>
      <c r="N292" s="5">
        <f>K292-M292</f>
        <v>0</v>
      </c>
      <c r="O292" s="5" t="s">
        <v>55</v>
      </c>
      <c r="P292" s="7" t="s">
        <v>13</v>
      </c>
      <c r="Q292" t="s">
        <v>15</v>
      </c>
      <c r="R292" s="5">
        <f>IF(P292=Q292,0,1)</f>
        <v>1</v>
      </c>
    </row>
    <row r="293" spans="1:18" x14ac:dyDescent="0.25">
      <c r="A293" s="5">
        <v>291</v>
      </c>
      <c r="B293" s="7" t="s">
        <v>132</v>
      </c>
      <c r="C293" s="7" t="s">
        <v>4</v>
      </c>
      <c r="D293" s="6">
        <v>46081</v>
      </c>
      <c r="E293" s="5" t="s">
        <v>177</v>
      </c>
      <c r="F293" s="5" t="s">
        <v>178</v>
      </c>
      <c r="G293" s="5" t="s">
        <v>93</v>
      </c>
      <c r="H293" s="5">
        <v>-425</v>
      </c>
      <c r="I293" s="5"/>
      <c r="J293" s="5">
        <v>425</v>
      </c>
      <c r="K293" s="5">
        <v>26196.19</v>
      </c>
      <c r="L293" s="5">
        <f>I293-J293</f>
        <v>-425</v>
      </c>
      <c r="M293" s="5">
        <f>M292+L293</f>
        <v>26196.19000000001</v>
      </c>
      <c r="N293" s="5">
        <f>K293-M293</f>
        <v>0</v>
      </c>
      <c r="O293" s="5" t="s">
        <v>61</v>
      </c>
      <c r="P293" s="5" t="s">
        <v>18</v>
      </c>
      <c r="Q293" t="s">
        <v>18</v>
      </c>
      <c r="R293" s="5">
        <f>IF(P293=Q293,0,1)</f>
        <v>0</v>
      </c>
    </row>
    <row r="294" spans="1:18" x14ac:dyDescent="0.25">
      <c r="A294" s="5">
        <v>292</v>
      </c>
      <c r="B294" s="7" t="s">
        <v>132</v>
      </c>
      <c r="C294" s="7" t="s">
        <v>4</v>
      </c>
      <c r="D294" s="6">
        <v>46082</v>
      </c>
      <c r="E294" s="5" t="s">
        <v>107</v>
      </c>
      <c r="F294" s="5" t="s">
        <v>108</v>
      </c>
      <c r="G294" s="5" t="s">
        <v>54</v>
      </c>
      <c r="H294" s="5">
        <v>-1000</v>
      </c>
      <c r="I294" s="5"/>
      <c r="J294" s="5">
        <v>1000</v>
      </c>
      <c r="K294" s="5">
        <v>25196.19</v>
      </c>
      <c r="L294" s="5">
        <f>I294-J294</f>
        <v>-1000</v>
      </c>
      <c r="M294" s="5">
        <f>M293+L294</f>
        <v>25196.19000000001</v>
      </c>
      <c r="N294" s="5">
        <f>K294-M294</f>
        <v>0</v>
      </c>
      <c r="O294" s="5" t="s">
        <v>55</v>
      </c>
      <c r="P294" s="5" t="s">
        <v>13</v>
      </c>
      <c r="Q294" t="s">
        <v>14</v>
      </c>
      <c r="R294" s="5">
        <f>IF(P294=Q294,0,1)</f>
        <v>1</v>
      </c>
    </row>
    <row r="295" spans="1:18" x14ac:dyDescent="0.25">
      <c r="A295" s="5">
        <v>293</v>
      </c>
      <c r="B295" s="7" t="s">
        <v>132</v>
      </c>
      <c r="C295" s="7" t="s">
        <v>4</v>
      </c>
      <c r="D295" s="6">
        <v>46083</v>
      </c>
      <c r="E295" s="5" t="s">
        <v>59</v>
      </c>
      <c r="F295" s="5" t="s">
        <v>131</v>
      </c>
      <c r="G295" s="5" t="s">
        <v>60</v>
      </c>
      <c r="H295" s="5">
        <v>-74</v>
      </c>
      <c r="I295" s="5"/>
      <c r="J295" s="5">
        <v>74</v>
      </c>
      <c r="K295" s="5">
        <v>25122.19</v>
      </c>
      <c r="L295" s="5">
        <f>I295-J295</f>
        <v>-74</v>
      </c>
      <c r="M295" s="5">
        <f>M294+L295</f>
        <v>25122.19000000001</v>
      </c>
      <c r="N295" s="5">
        <f>K295-M295</f>
        <v>0</v>
      </c>
      <c r="O295" s="5" t="s">
        <v>61</v>
      </c>
      <c r="P295" s="5" t="s">
        <v>5</v>
      </c>
      <c r="Q295" t="s">
        <v>5</v>
      </c>
      <c r="R295" s="5">
        <f>IF(P295=Q295,0,1)</f>
        <v>0</v>
      </c>
    </row>
    <row r="296" spans="1:18" x14ac:dyDescent="0.25">
      <c r="A296" s="5">
        <v>294</v>
      </c>
      <c r="B296" s="7" t="s">
        <v>132</v>
      </c>
      <c r="C296" s="7" t="s">
        <v>4</v>
      </c>
      <c r="D296" s="6">
        <v>46085</v>
      </c>
      <c r="E296" s="5" t="s">
        <v>179</v>
      </c>
      <c r="F296" s="5" t="s">
        <v>180</v>
      </c>
      <c r="G296" s="5" t="s">
        <v>93</v>
      </c>
      <c r="H296" s="5">
        <v>-15</v>
      </c>
      <c r="I296" s="5"/>
      <c r="J296" s="5">
        <v>15</v>
      </c>
      <c r="K296" s="5">
        <v>25107.19</v>
      </c>
      <c r="L296" s="5">
        <f>I296-J296</f>
        <v>-15</v>
      </c>
      <c r="M296" s="5">
        <f>M295+L296</f>
        <v>25107.19000000001</v>
      </c>
      <c r="N296" s="5">
        <f>K296-M296</f>
        <v>0</v>
      </c>
      <c r="O296" s="5" t="s">
        <v>61</v>
      </c>
      <c r="P296" s="5" t="s">
        <v>24</v>
      </c>
      <c r="Q296" t="s">
        <v>25</v>
      </c>
      <c r="R296" s="5">
        <f>IF(P296=Q296,0,1)</f>
        <v>0</v>
      </c>
    </row>
    <row r="297" spans="1:18" x14ac:dyDescent="0.25">
      <c r="A297" s="5">
        <v>295</v>
      </c>
      <c r="B297" s="7" t="s">
        <v>132</v>
      </c>
      <c r="C297" s="7" t="s">
        <v>4</v>
      </c>
      <c r="D297" s="6">
        <v>46087</v>
      </c>
      <c r="E297" s="5" t="s">
        <v>66</v>
      </c>
      <c r="F297" s="5" t="s">
        <v>67</v>
      </c>
      <c r="G297" s="5" t="s">
        <v>68</v>
      </c>
      <c r="H297" s="5">
        <v>3100</v>
      </c>
      <c r="I297" s="5">
        <v>3100</v>
      </c>
      <c r="J297" s="5"/>
      <c r="K297" s="5">
        <v>28207.19</v>
      </c>
      <c r="L297" s="5">
        <f>I297-J297</f>
        <v>3100</v>
      </c>
      <c r="M297" s="5">
        <f>M296+L297</f>
        <v>28207.19000000001</v>
      </c>
      <c r="N297" s="5">
        <f>K297-M297</f>
        <v>0</v>
      </c>
      <c r="O297" s="5" t="s">
        <v>69</v>
      </c>
      <c r="P297" s="5" t="s">
        <v>21</v>
      </c>
      <c r="Q297" t="s">
        <v>21</v>
      </c>
      <c r="R297" s="5">
        <f>IF(P297=Q297,0,1)</f>
        <v>0</v>
      </c>
    </row>
    <row r="298" spans="1:18" x14ac:dyDescent="0.25">
      <c r="A298" s="5">
        <v>296</v>
      </c>
      <c r="B298" s="7" t="s">
        <v>132</v>
      </c>
      <c r="C298" s="7" t="s">
        <v>4</v>
      </c>
      <c r="D298" s="6">
        <v>46091</v>
      </c>
      <c r="E298" s="5" t="s">
        <v>135</v>
      </c>
      <c r="F298" s="5" t="s">
        <v>96</v>
      </c>
      <c r="G298" s="5" t="s">
        <v>54</v>
      </c>
      <c r="H298" s="5">
        <v>2150</v>
      </c>
      <c r="I298" s="5">
        <v>2150</v>
      </c>
      <c r="J298" s="5"/>
      <c r="K298" s="5">
        <v>30357.19</v>
      </c>
      <c r="L298" s="5">
        <f>I298-J298</f>
        <v>2150</v>
      </c>
      <c r="M298" s="5">
        <f>M297+L298</f>
        <v>30357.19000000001</v>
      </c>
      <c r="N298" s="5">
        <f>K298-M298</f>
        <v>0</v>
      </c>
      <c r="O298" s="5" t="s">
        <v>69</v>
      </c>
      <c r="P298" s="5" t="s">
        <v>21</v>
      </c>
      <c r="Q298" t="s">
        <v>21</v>
      </c>
      <c r="R298" s="5">
        <f>IF(P298=Q298,0,1)</f>
        <v>0</v>
      </c>
    </row>
    <row r="299" spans="1:18" x14ac:dyDescent="0.25">
      <c r="A299" s="5">
        <v>297</v>
      </c>
      <c r="B299" s="7" t="s">
        <v>132</v>
      </c>
      <c r="C299" s="7" t="s">
        <v>4</v>
      </c>
      <c r="D299" s="6">
        <v>46091</v>
      </c>
      <c r="E299" s="5" t="s">
        <v>138</v>
      </c>
      <c r="F299" s="5" t="s">
        <v>92</v>
      </c>
      <c r="G299" s="5" t="s">
        <v>93</v>
      </c>
      <c r="H299" s="5">
        <v>-1100</v>
      </c>
      <c r="I299" s="5"/>
      <c r="J299" s="5">
        <v>1100</v>
      </c>
      <c r="K299" s="5">
        <v>29257.19</v>
      </c>
      <c r="L299" s="5">
        <f>I299-J299</f>
        <v>-1100</v>
      </c>
      <c r="M299" s="5">
        <f>M298+L299</f>
        <v>29257.19000000001</v>
      </c>
      <c r="N299" s="5">
        <f>K299-M299</f>
        <v>0</v>
      </c>
      <c r="O299" s="5" t="s">
        <v>94</v>
      </c>
      <c r="P299" s="7" t="s">
        <v>28</v>
      </c>
      <c r="Q299" t="s">
        <v>27</v>
      </c>
      <c r="R299" s="5">
        <f>IF(P299=Q299,0,1)</f>
        <v>1</v>
      </c>
    </row>
    <row r="300" spans="1:18" x14ac:dyDescent="0.25">
      <c r="A300" s="5">
        <v>298</v>
      </c>
      <c r="B300" s="7" t="s">
        <v>132</v>
      </c>
      <c r="C300" s="7" t="s">
        <v>4</v>
      </c>
      <c r="D300" s="6">
        <v>46092</v>
      </c>
      <c r="E300" s="5" t="s">
        <v>66</v>
      </c>
      <c r="F300" s="5" t="s">
        <v>181</v>
      </c>
      <c r="G300" s="5" t="s">
        <v>68</v>
      </c>
      <c r="H300" s="5">
        <v>900</v>
      </c>
      <c r="I300" s="5">
        <v>900</v>
      </c>
      <c r="J300" s="5"/>
      <c r="K300" s="5">
        <v>30157.19</v>
      </c>
      <c r="L300" s="5">
        <f>I300-J300</f>
        <v>900</v>
      </c>
      <c r="M300" s="5">
        <f>M299+L300</f>
        <v>30157.19000000001</v>
      </c>
      <c r="N300" s="5">
        <f>K300-M300</f>
        <v>0</v>
      </c>
      <c r="O300" s="5" t="s">
        <v>69</v>
      </c>
      <c r="P300" s="5" t="s">
        <v>21</v>
      </c>
      <c r="Q300" t="s">
        <v>21</v>
      </c>
      <c r="R300" s="5">
        <f>IF(P300=Q300,0,1)</f>
        <v>0</v>
      </c>
    </row>
    <row r="301" spans="1:18" x14ac:dyDescent="0.25">
      <c r="A301" s="5">
        <v>299</v>
      </c>
      <c r="B301" s="7" t="s">
        <v>132</v>
      </c>
      <c r="C301" s="7" t="s">
        <v>4</v>
      </c>
      <c r="D301" s="6">
        <v>46099</v>
      </c>
      <c r="E301" s="5" t="s">
        <v>66</v>
      </c>
      <c r="F301" s="5" t="s">
        <v>181</v>
      </c>
      <c r="G301" s="5" t="s">
        <v>68</v>
      </c>
      <c r="H301" s="5">
        <v>425.04</v>
      </c>
      <c r="I301" s="5">
        <v>425.04</v>
      </c>
      <c r="J301" s="5"/>
      <c r="K301" s="5">
        <v>30582.23</v>
      </c>
      <c r="L301" s="5">
        <f>I301-J301</f>
        <v>425.04</v>
      </c>
      <c r="M301" s="5">
        <f>M300+L301</f>
        <v>30582.23000000001</v>
      </c>
      <c r="N301" s="5">
        <f>K301-M301</f>
        <v>0</v>
      </c>
      <c r="O301" s="5" t="s">
        <v>69</v>
      </c>
      <c r="P301" s="5" t="s">
        <v>21</v>
      </c>
      <c r="Q301" t="s">
        <v>21</v>
      </c>
      <c r="R301" s="5">
        <f>IF(P301=Q301,0,1)</f>
        <v>0</v>
      </c>
    </row>
    <row r="302" spans="1:18" x14ac:dyDescent="0.25">
      <c r="A302" s="5">
        <v>300</v>
      </c>
      <c r="B302" s="7" t="s">
        <v>132</v>
      </c>
      <c r="C302" s="7" t="s">
        <v>4</v>
      </c>
      <c r="D302" s="6">
        <v>46105</v>
      </c>
      <c r="E302" s="5" t="s">
        <v>164</v>
      </c>
      <c r="F302" s="5" t="s">
        <v>165</v>
      </c>
      <c r="G302" s="5" t="s">
        <v>54</v>
      </c>
      <c r="H302" s="5">
        <v>1450</v>
      </c>
      <c r="I302" s="5">
        <v>1450</v>
      </c>
      <c r="J302" s="5"/>
      <c r="K302" s="5">
        <v>32032.23</v>
      </c>
      <c r="L302" s="5">
        <f>I302-J302</f>
        <v>1450</v>
      </c>
      <c r="M302" s="5">
        <f>M301+L302</f>
        <v>32032.23000000001</v>
      </c>
      <c r="N302" s="5">
        <f>K302-M302</f>
        <v>0</v>
      </c>
      <c r="O302" s="5" t="s">
        <v>69</v>
      </c>
      <c r="P302" s="5" t="s">
        <v>21</v>
      </c>
      <c r="Q302" t="s">
        <v>21</v>
      </c>
      <c r="R302" s="5">
        <f>IF(P302=Q302,0,1)</f>
        <v>0</v>
      </c>
    </row>
    <row r="303" spans="1:18" x14ac:dyDescent="0.25">
      <c r="A303" s="5">
        <v>301</v>
      </c>
      <c r="B303" s="7" t="s">
        <v>132</v>
      </c>
      <c r="C303" s="7" t="s">
        <v>4</v>
      </c>
      <c r="D303" s="6">
        <v>46106</v>
      </c>
      <c r="E303" s="5" t="s">
        <v>66</v>
      </c>
      <c r="F303" s="5" t="s">
        <v>181</v>
      </c>
      <c r="G303" s="5" t="s">
        <v>68</v>
      </c>
      <c r="H303" s="5">
        <v>850.08</v>
      </c>
      <c r="I303" s="5">
        <v>850.08</v>
      </c>
      <c r="J303" s="5"/>
      <c r="K303" s="5">
        <v>32882.31</v>
      </c>
      <c r="L303" s="5">
        <f>I303-J303</f>
        <v>850.08</v>
      </c>
      <c r="M303" s="5">
        <f>M302+L303</f>
        <v>32882.310000000012</v>
      </c>
      <c r="N303" s="5">
        <f>K303-M303</f>
        <v>0</v>
      </c>
      <c r="O303" s="5" t="s">
        <v>69</v>
      </c>
      <c r="P303" s="5" t="s">
        <v>21</v>
      </c>
      <c r="Q303" t="s">
        <v>21</v>
      </c>
      <c r="R303" s="5">
        <f>IF(P303=Q303,0,1)</f>
        <v>0</v>
      </c>
    </row>
    <row r="304" spans="1:18" x14ac:dyDescent="0.25">
      <c r="A304" s="5">
        <v>302</v>
      </c>
      <c r="B304" s="7" t="s">
        <v>132</v>
      </c>
      <c r="C304" s="7" t="s">
        <v>4</v>
      </c>
      <c r="D304" s="6">
        <v>46106</v>
      </c>
      <c r="E304" s="5" t="s">
        <v>179</v>
      </c>
      <c r="F304" s="5" t="s">
        <v>182</v>
      </c>
      <c r="G304" s="5" t="s">
        <v>64</v>
      </c>
      <c r="H304" s="5">
        <v>-45</v>
      </c>
      <c r="I304" s="5"/>
      <c r="J304" s="5">
        <v>45</v>
      </c>
      <c r="K304" s="5">
        <v>32837.31</v>
      </c>
      <c r="L304" s="5">
        <f>I304-J304</f>
        <v>-45</v>
      </c>
      <c r="M304" s="5">
        <f>M303+L304</f>
        <v>32837.310000000012</v>
      </c>
      <c r="N304" s="5">
        <f>K304-M304</f>
        <v>0</v>
      </c>
      <c r="O304" s="5" t="s">
        <v>61</v>
      </c>
      <c r="P304" s="5" t="s">
        <v>24</v>
      </c>
      <c r="Q304" t="s">
        <v>25</v>
      </c>
      <c r="R304" s="5">
        <f>IF(P304=Q304,0,1)</f>
        <v>0</v>
      </c>
    </row>
    <row r="305" spans="1:18" x14ac:dyDescent="0.25">
      <c r="A305" s="5">
        <v>303</v>
      </c>
      <c r="B305" s="7" t="s">
        <v>132</v>
      </c>
      <c r="C305" s="7" t="s">
        <v>4</v>
      </c>
      <c r="D305" s="6">
        <v>46109</v>
      </c>
      <c r="E305" s="5" t="s">
        <v>82</v>
      </c>
      <c r="F305" s="5" t="s">
        <v>83</v>
      </c>
      <c r="G305" s="5" t="s">
        <v>64</v>
      </c>
      <c r="H305" s="5">
        <v>-7.1</v>
      </c>
      <c r="I305" s="5"/>
      <c r="J305" s="5">
        <v>7.1</v>
      </c>
      <c r="K305" s="5">
        <v>32830.21</v>
      </c>
      <c r="L305" s="5">
        <f>I305-J305</f>
        <v>-7.1</v>
      </c>
      <c r="M305" s="5">
        <f>M304+L305</f>
        <v>32830.210000000014</v>
      </c>
      <c r="N305" s="5">
        <f>K305-M305</f>
        <v>0</v>
      </c>
      <c r="O305" s="5" t="s">
        <v>65</v>
      </c>
      <c r="P305" s="5" t="s">
        <v>23</v>
      </c>
      <c r="Q305" t="s">
        <v>32</v>
      </c>
      <c r="R305" s="5">
        <f>IF(P305=Q305,0,1)</f>
        <v>1</v>
      </c>
    </row>
    <row r="306" spans="1:18" x14ac:dyDescent="0.25">
      <c r="A306" s="5">
        <v>304</v>
      </c>
      <c r="B306" s="7" t="s">
        <v>132</v>
      </c>
      <c r="C306" s="7" t="s">
        <v>4</v>
      </c>
      <c r="D306" s="6">
        <v>46111</v>
      </c>
      <c r="E306" s="5" t="s">
        <v>80</v>
      </c>
      <c r="F306" s="5" t="s">
        <v>81</v>
      </c>
      <c r="G306" s="5" t="s">
        <v>54</v>
      </c>
      <c r="H306" s="5">
        <v>850</v>
      </c>
      <c r="I306" s="5">
        <v>850</v>
      </c>
      <c r="J306" s="5"/>
      <c r="K306" s="5">
        <v>33680.21</v>
      </c>
      <c r="L306" s="5">
        <f>I306-J306</f>
        <v>850</v>
      </c>
      <c r="M306" s="5">
        <f>M305+L306</f>
        <v>33680.210000000014</v>
      </c>
      <c r="N306" s="5">
        <f>K306-M306</f>
        <v>0</v>
      </c>
      <c r="O306" s="5" t="s">
        <v>69</v>
      </c>
      <c r="P306" s="5" t="s">
        <v>21</v>
      </c>
      <c r="Q306" t="s">
        <v>21</v>
      </c>
      <c r="R306" s="5">
        <f>IF(P306=Q306,0,1)</f>
        <v>0</v>
      </c>
    </row>
    <row r="307" spans="1:18" x14ac:dyDescent="0.25">
      <c r="A307" s="5">
        <v>305</v>
      </c>
      <c r="B307" s="7" t="s">
        <v>132</v>
      </c>
      <c r="C307" s="7" t="s">
        <v>4</v>
      </c>
      <c r="D307" s="6">
        <v>46112</v>
      </c>
      <c r="E307" s="5" t="s">
        <v>138</v>
      </c>
      <c r="F307" s="5" t="s">
        <v>92</v>
      </c>
      <c r="G307" s="5" t="s">
        <v>93</v>
      </c>
      <c r="H307" s="5">
        <v>-2000</v>
      </c>
      <c r="I307" s="5"/>
      <c r="J307" s="5">
        <v>2000</v>
      </c>
      <c r="K307" s="5">
        <v>31680.21</v>
      </c>
      <c r="L307" s="5">
        <f>I307-J307</f>
        <v>-2000</v>
      </c>
      <c r="M307" s="5">
        <f>M306+L307</f>
        <v>31680.210000000014</v>
      </c>
      <c r="N307" s="5">
        <f>K307-M307</f>
        <v>0</v>
      </c>
      <c r="O307" s="5" t="s">
        <v>94</v>
      </c>
      <c r="P307" s="7" t="s">
        <v>28</v>
      </c>
      <c r="Q307" t="s">
        <v>27</v>
      </c>
      <c r="R307" s="5">
        <f>IF(P307=Q307,0,1)</f>
        <v>1</v>
      </c>
    </row>
  </sheetData>
  <autoFilter ref="A161:S307" xr:uid="{00000000-0001-0000-0000-000000000000}">
    <sortState xmlns:xlrd2="http://schemas.microsoft.com/office/spreadsheetml/2017/richdata2" ref="A162:S307">
      <sortCondition ref="A161:A307"/>
    </sortState>
  </autoFilter>
  <sortState xmlns:xlrd2="http://schemas.microsoft.com/office/spreadsheetml/2017/richdata2" ref="A3:P309">
    <sortCondition ref="A3:A309"/>
  </sortState>
  <pageMargins left="0.7" right="0.7" top="0.75" bottom="0.75" header="0.3" footer="0.3"/>
  <pageSetup orientation="portrait" horizontalDpi="1200" verticalDpi="1200" r:id="rId1"/>
  <headerFooter>
    <oddHeader>&amp;C&amp;"Aptos"&amp;12&amp;K000000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34"/>
  <sheetViews>
    <sheetView zoomScale="80" zoomScaleNormal="80" workbookViewId="0">
      <selection activeCell="O8" sqref="O8"/>
    </sheetView>
  </sheetViews>
  <sheetFormatPr defaultRowHeight="15" x14ac:dyDescent="0.25"/>
  <cols>
    <col min="1" max="1" width="14.7109375" customWidth="1"/>
    <col min="2" max="2" width="15.5703125" bestFit="1" customWidth="1"/>
    <col min="3" max="3" width="10.7109375" bestFit="1" customWidth="1"/>
    <col min="6" max="6" width="11.28515625" bestFit="1" customWidth="1"/>
    <col min="7" max="7" width="10.28515625" bestFit="1" customWidth="1"/>
    <col min="9" max="9" width="43.85546875" customWidth="1"/>
    <col min="10" max="10" width="17" customWidth="1"/>
    <col min="11" max="12" width="16.42578125" customWidth="1"/>
    <col min="13" max="13" width="11.28515625" bestFit="1" customWidth="1"/>
    <col min="14" max="14" width="10.28515625" bestFit="1" customWidth="1"/>
    <col min="15" max="15" width="10.28515625" customWidth="1"/>
    <col min="17" max="17" width="10.140625" bestFit="1" customWidth="1"/>
    <col min="19" max="19" width="11.7109375" customWidth="1"/>
    <col min="25" max="25" width="11.28515625" bestFit="1" customWidth="1"/>
    <col min="26" max="26" width="11.28515625" customWidth="1"/>
  </cols>
  <sheetData>
    <row r="3" spans="1:3" x14ac:dyDescent="0.25">
      <c r="A3" t="s">
        <v>0</v>
      </c>
      <c r="B3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5</v>
      </c>
      <c r="B5">
        <f>SUMIFS('RAW 2025'!$L:$L,'RAW 2025'!$C:$C,$B$4,'RAW 2025'!$P:$P,$A5)</f>
        <v>-73</v>
      </c>
      <c r="C5">
        <f>SUMIFS('RAW 2025'!$L:$L,'RAW 2025'!$C:$C,$C$4,'RAW 2025'!$P:$P,$A5)</f>
        <v>-1383</v>
      </c>
    </row>
    <row r="6" spans="1:3" x14ac:dyDescent="0.25">
      <c r="A6" t="s">
        <v>6</v>
      </c>
      <c r="B6">
        <f>SUMIFS('RAW 2025'!$L:$L,'RAW 2025'!$C:$C,$B$4,'RAW 2025'!$P:$P,$A6)</f>
        <v>0</v>
      </c>
      <c r="C6">
        <f>SUMIFS('RAW 2025'!$L:$L,'RAW 2025'!$C:$C,$C$4,'RAW 2025'!$P:$P,$A6)</f>
        <v>-634</v>
      </c>
    </row>
    <row r="7" spans="1:3" x14ac:dyDescent="0.25">
      <c r="A7" t="s">
        <v>7</v>
      </c>
      <c r="B7">
        <f>SUMIFS('RAW 2025'!$L:$L,'RAW 2025'!$C:$C,$B$4,'RAW 2025'!$P:$P,$A7)</f>
        <v>0</v>
      </c>
      <c r="C7">
        <f>SUMIFS('RAW 2025'!$L:$L,'RAW 2025'!$C:$C,$C$4,'RAW 2025'!$P:$P,$A7)</f>
        <v>-1016</v>
      </c>
    </row>
    <row r="8" spans="1:3" x14ac:dyDescent="0.25">
      <c r="A8" t="s">
        <v>8</v>
      </c>
      <c r="B8">
        <f>SUMIFS('RAW 2025'!$L:$L,'RAW 2025'!$C:$C,$B$4,'RAW 2025'!$P:$P,$A8)</f>
        <v>0</v>
      </c>
      <c r="C8">
        <f>SUMIFS('RAW 2025'!$L:$L,'RAW 2025'!$C:$C,$C$4,'RAW 2025'!$P:$P,$A8)</f>
        <v>193.25</v>
      </c>
    </row>
    <row r="9" spans="1:3" x14ac:dyDescent="0.25">
      <c r="A9" t="s">
        <v>9</v>
      </c>
      <c r="B9">
        <f>SUMIFS('RAW 2025'!$L:$L,'RAW 2025'!$C:$C,$B$4,'RAW 2025'!$P:$P,$A9)</f>
        <v>0</v>
      </c>
      <c r="C9">
        <f>SUMIFS('RAW 2025'!$L:$L,'RAW 2025'!$C:$C,$C$4,'RAW 2025'!$P:$P,$A9)</f>
        <v>-443.09000000000003</v>
      </c>
    </row>
    <row r="10" spans="1:3" x14ac:dyDescent="0.25">
      <c r="A10" t="s">
        <v>10</v>
      </c>
      <c r="B10">
        <f>SUMIFS('RAW 2025'!$L:$L,'RAW 2025'!$C:$C,$B$4,'RAW 2025'!$P:$P,$A10)</f>
        <v>0</v>
      </c>
      <c r="C10">
        <f>SUMIFS('RAW 2025'!$L:$L,'RAW 2025'!$C:$C,$C$4,'RAW 2025'!$P:$P,$A10)</f>
        <v>-16</v>
      </c>
    </row>
    <row r="11" spans="1:3" x14ac:dyDescent="0.25">
      <c r="A11" t="s">
        <v>11</v>
      </c>
      <c r="B11">
        <f>SUMIFS('RAW 2025'!$L:$L,'RAW 2025'!$C:$C,$B$4,'RAW 2025'!$P:$P,$A11)</f>
        <v>0</v>
      </c>
      <c r="C11">
        <f>SUMIFS('RAW 2025'!$L:$L,'RAW 2025'!$C:$C,$C$4,'RAW 2025'!$P:$P,$A11)</f>
        <v>-428.77</v>
      </c>
    </row>
    <row r="12" spans="1:3" x14ac:dyDescent="0.25">
      <c r="A12" t="s">
        <v>12</v>
      </c>
      <c r="B12">
        <f>SUMIFS('RAW 2025'!$L:$L,'RAW 2025'!$C:$C,$B$4,'RAW 2025'!$P:$P,$A12)</f>
        <v>0</v>
      </c>
      <c r="C12">
        <f>SUMIFS('RAW 2025'!$L:$L,'RAW 2025'!$C:$C,$C$4,'RAW 2025'!$P:$P,$A12)</f>
        <v>-226.24</v>
      </c>
    </row>
    <row r="13" spans="1:3" x14ac:dyDescent="0.25">
      <c r="A13" t="s">
        <v>13</v>
      </c>
      <c r="B13">
        <f>SUMIFS('RAW 2025'!$L:$L,'RAW 2025'!$C:$C,$B$4,'RAW 2025'!$P:$P,$A13)</f>
        <v>-1000</v>
      </c>
      <c r="C13">
        <f>SUMIFS('RAW 2025'!$L:$L,'RAW 2025'!$C:$C,$C$4,'RAW 2025'!$P:$P,$A13)</f>
        <v>-49250</v>
      </c>
    </row>
    <row r="14" spans="1:3" x14ac:dyDescent="0.25">
      <c r="A14" t="s">
        <v>14</v>
      </c>
      <c r="B14">
        <f>SUMIFS('RAW 2025'!$L:$L,'RAW 2025'!$C:$C,$B$4,'RAW 2025'!$P:$P,$A14)</f>
        <v>0</v>
      </c>
      <c r="C14">
        <f>SUMIFS('RAW 2025'!$L:$L,'RAW 2025'!$C:$C,$C$4,'RAW 2025'!$P:$P,$A14)</f>
        <v>-11100</v>
      </c>
    </row>
    <row r="15" spans="1:3" x14ac:dyDescent="0.25">
      <c r="A15" t="s">
        <v>15</v>
      </c>
      <c r="B15">
        <f>SUMIFS('RAW 2025'!$L:$L,'RAW 2025'!$C:$C,$B$4,'RAW 2025'!$P:$P,$A15)</f>
        <v>0</v>
      </c>
      <c r="C15">
        <f>SUMIFS('RAW 2025'!$L:$L,'RAW 2025'!$C:$C,$C$4,'RAW 2025'!$P:$P,$A15)</f>
        <v>-40370</v>
      </c>
    </row>
    <row r="16" spans="1:3" x14ac:dyDescent="0.25">
      <c r="A16" t="s">
        <v>16</v>
      </c>
      <c r="B16">
        <f>SUMIFS('RAW 2025'!$L:$L,'RAW 2025'!$C:$C,$B$4,'RAW 2025'!$P:$P,$A16)</f>
        <v>0</v>
      </c>
      <c r="C16">
        <f>SUMIFS('RAW 2025'!$L:$L,'RAW 2025'!$C:$C,$C$4,'RAW 2025'!$P:$P,$A16)</f>
        <v>-57.4</v>
      </c>
    </row>
    <row r="17" spans="1:3" x14ac:dyDescent="0.25">
      <c r="A17" t="s">
        <v>17</v>
      </c>
      <c r="B17">
        <f>SUMIFS('RAW 2025'!$L:$L,'RAW 2025'!$C:$C,$B$4,'RAW 2025'!$P:$P,$A17)</f>
        <v>0</v>
      </c>
      <c r="C17">
        <f>SUMIFS('RAW 2025'!$L:$L,'RAW 2025'!$C:$C,$C$4,'RAW 2025'!$P:$P,$A17)</f>
        <v>-52.319999999999993</v>
      </c>
    </row>
    <row r="18" spans="1:3" x14ac:dyDescent="0.25">
      <c r="A18" t="s">
        <v>18</v>
      </c>
      <c r="B18">
        <f>SUMIFS('RAW 2025'!$L:$L,'RAW 2025'!$C:$C,$B$4,'RAW 2025'!$P:$P,$A18)</f>
        <v>0</v>
      </c>
      <c r="C18">
        <f>SUMIFS('RAW 2025'!$L:$L,'RAW 2025'!$C:$C,$C$4,'RAW 2025'!$P:$P,$A18)</f>
        <v>-840</v>
      </c>
    </row>
    <row r="19" spans="1:3" x14ac:dyDescent="0.25">
      <c r="A19" t="s">
        <v>19</v>
      </c>
      <c r="B19">
        <f>SUMIFS('RAW 2025'!$L:$L,'RAW 2025'!$C:$C,$B$4,'RAW 2025'!$P:$P,$A19)</f>
        <v>0</v>
      </c>
      <c r="C19">
        <f>SUMIFS('RAW 2025'!$L:$L,'RAW 2025'!$C:$C,$C$4,'RAW 2025'!$P:$P,$A19)</f>
        <v>-11977.759999999998</v>
      </c>
    </row>
    <row r="20" spans="1:3" x14ac:dyDescent="0.25">
      <c r="A20" t="s">
        <v>20</v>
      </c>
      <c r="B20">
        <f>SUMIFS('RAW 2025'!$L:$L,'RAW 2025'!$C:$C,$B$4,'RAW 2025'!$P:$P,$A20)</f>
        <v>0</v>
      </c>
      <c r="C20">
        <f>SUMIFS('RAW 2025'!$L:$L,'RAW 2025'!$C:$C,$C$4,'RAW 2025'!$P:$P,$A20)</f>
        <v>-9231.15</v>
      </c>
    </row>
    <row r="21" spans="1:3" x14ac:dyDescent="0.25">
      <c r="A21" t="s">
        <v>21</v>
      </c>
      <c r="B21">
        <f>SUMIFS('RAW 2025'!$L:$L,'RAW 2025'!$C:$C,$B$4,'RAW 2025'!$P:$P,$A21)</f>
        <v>0</v>
      </c>
      <c r="C21">
        <f>SUMIFS('RAW 2025'!$L:$L,'RAW 2025'!$C:$C,$C$4,'RAW 2025'!$P:$P,$A21)</f>
        <v>165330.12</v>
      </c>
    </row>
    <row r="22" spans="1:3" x14ac:dyDescent="0.25">
      <c r="A22" t="s">
        <v>22</v>
      </c>
      <c r="B22">
        <f>SUMIFS('RAW 2025'!$L:$L,'RAW 2025'!$C:$C,$B$4,'RAW 2025'!$P:$P,$A22)</f>
        <v>0</v>
      </c>
      <c r="C22">
        <f>SUMIFS('RAW 2025'!$L:$L,'RAW 2025'!$C:$C,$C$4,'RAW 2025'!$P:$P,$A22)</f>
        <v>-101.03999999999999</v>
      </c>
    </row>
    <row r="23" spans="1:3" x14ac:dyDescent="0.25">
      <c r="A23" t="s">
        <v>23</v>
      </c>
      <c r="B23">
        <f>SUMIFS('RAW 2025'!$L:$L,'RAW 2025'!$C:$C,$B$4,'RAW 2025'!$P:$P,$A23)</f>
        <v>0</v>
      </c>
      <c r="C23">
        <f>SUMIFS('RAW 2025'!$L:$L,'RAW 2025'!$C:$C,$C$4,'RAW 2025'!$P:$P,$A23)</f>
        <v>-117.3</v>
      </c>
    </row>
    <row r="24" spans="1:3" x14ac:dyDescent="0.25">
      <c r="A24" t="s">
        <v>24</v>
      </c>
      <c r="B24">
        <f>SUMIFS('RAW 2025'!$L:$L,'RAW 2025'!$C:$C,$B$4,'RAW 2025'!$P:$P,$A24)</f>
        <v>0</v>
      </c>
      <c r="C24">
        <f>SUMIFS('RAW 2025'!$L:$L,'RAW 2025'!$C:$C,$C$4,'RAW 2025'!$P:$P,$A24)</f>
        <v>-370</v>
      </c>
    </row>
    <row r="25" spans="1:3" x14ac:dyDescent="0.25">
      <c r="A25" t="s">
        <v>25</v>
      </c>
      <c r="B25">
        <f>SUMIFS('RAW 2025'!$L:$L,'RAW 2025'!$C:$C,$B$4,'RAW 2025'!$P:$P,$A25)</f>
        <v>0</v>
      </c>
      <c r="C25">
        <f>SUMIFS('RAW 2025'!$L:$L,'RAW 2025'!$C:$C,$C$4,'RAW 2025'!$P:$P,$A25)</f>
        <v>-370</v>
      </c>
    </row>
    <row r="26" spans="1:3" x14ac:dyDescent="0.25">
      <c r="A26" t="s">
        <v>26</v>
      </c>
      <c r="B26">
        <f>SUMIFS('RAW 2025'!$L:$L,'RAW 2025'!$C:$C,$B$4,'RAW 2025'!$P:$P,$A26)</f>
        <v>0</v>
      </c>
      <c r="C26">
        <f>SUMIFS('RAW 2025'!$L:$L,'RAW 2025'!$C:$C,$C$4,'RAW 2025'!$P:$P,$A26)</f>
        <v>-788</v>
      </c>
    </row>
    <row r="27" spans="1:3" x14ac:dyDescent="0.25">
      <c r="A27" t="s">
        <v>27</v>
      </c>
      <c r="B27">
        <f>SUMIFS('RAW 2025'!$L:$L,'RAW 2025'!$C:$C,$B$4,'RAW 2025'!$P:$P,$A27)</f>
        <v>0</v>
      </c>
      <c r="C27">
        <f>SUMIFS('RAW 2025'!$L:$L,'RAW 2025'!$C:$C,$C$4,'RAW 2025'!$P:$P,$A27)</f>
        <v>-6500</v>
      </c>
    </row>
    <row r="28" spans="1:3" x14ac:dyDescent="0.25">
      <c r="A28" t="s">
        <v>28</v>
      </c>
      <c r="B28">
        <f>SUMIFS('RAW 2025'!$L:$L,'RAW 2025'!$C:$C,$B$4,'RAW 2025'!$P:$P,$A28)</f>
        <v>0</v>
      </c>
      <c r="C28">
        <f>SUMIFS('RAW 2025'!$L:$L,'RAW 2025'!$C:$C,$C$4,'RAW 2025'!$P:$P,$A28)</f>
        <v>-6500</v>
      </c>
    </row>
    <row r="29" spans="1:3" x14ac:dyDescent="0.25">
      <c r="A29" t="s">
        <v>29</v>
      </c>
      <c r="B29">
        <f>SUMIFS('RAW 2025'!$L:$L,'RAW 2025'!$C:$C,$B$4,'RAW 2025'!$P:$P,$A29)</f>
        <v>0</v>
      </c>
      <c r="C29">
        <f>SUMIFS('RAW 2025'!$L:$L,'RAW 2025'!$C:$C,$C$4,'RAW 2025'!$P:$P,$A29)</f>
        <v>-3000</v>
      </c>
    </row>
    <row r="30" spans="1:3" x14ac:dyDescent="0.25">
      <c r="A30" t="s">
        <v>30</v>
      </c>
      <c r="B30">
        <f>SUMIFS('RAW 2025'!$L:$L,'RAW 2025'!$C:$C,$B$4,'RAW 2025'!$P:$P,$A30)</f>
        <v>0</v>
      </c>
      <c r="C30">
        <f>SUMIFS('RAW 2025'!$L:$L,'RAW 2025'!$C:$C,$C$4,'RAW 2025'!$P:$P,$A30)</f>
        <v>-11.6</v>
      </c>
    </row>
    <row r="31" spans="1:3" x14ac:dyDescent="0.25">
      <c r="A31" t="s">
        <v>31</v>
      </c>
      <c r="B31">
        <f>SUMIFS('RAW 2025'!$L:$L,'RAW 2025'!$C:$C,$B$4,'RAW 2025'!$P:$P,$A31)</f>
        <v>0</v>
      </c>
      <c r="C31">
        <f>SUMIFS('RAW 2025'!$L:$L,'RAW 2025'!$C:$C,$C$4,'RAW 2025'!$P:$P,$A31)</f>
        <v>-12.2</v>
      </c>
    </row>
    <row r="32" spans="1:3" x14ac:dyDescent="0.25">
      <c r="A32" t="s">
        <v>32</v>
      </c>
      <c r="B32">
        <f>SUMIFS('RAW 2025'!$L:$L,'RAW 2025'!$C:$C,$B$4,'RAW 2025'!$P:$P,$A32)</f>
        <v>0</v>
      </c>
      <c r="C32">
        <f>SUMIFS('RAW 2025'!$L:$L,'RAW 2025'!$C:$C,$C$4,'RAW 2025'!$P:$P,$A32)</f>
        <v>-256.79999999999995</v>
      </c>
    </row>
    <row r="33" spans="1:3" x14ac:dyDescent="0.25">
      <c r="A33" t="s">
        <v>33</v>
      </c>
      <c r="B33">
        <f>SUMIFS('RAW 2025'!$L:$L,'RAW 2025'!$C:$C,$B$4,'RAW 2025'!$P:$P,$A33)</f>
        <v>0</v>
      </c>
      <c r="C33">
        <f>SUMIFS('RAW 2025'!$L:$L,'RAW 2025'!$C:$C,$C$4,'RAW 2025'!$P:$P,$A33)</f>
        <v>-1400</v>
      </c>
    </row>
    <row r="34" spans="1:3" x14ac:dyDescent="0.25">
      <c r="A34" t="s">
        <v>34</v>
      </c>
      <c r="B34">
        <f>SUM(B5:B33)</f>
        <v>-1073</v>
      </c>
      <c r="C34">
        <f>SUM(C5:C33)</f>
        <v>19070.699999999997</v>
      </c>
    </row>
  </sheetData>
  <pageMargins left="0.7" right="0.7" top="0.75" bottom="0.75" header="0.3" footer="0.3"/>
  <pageSetup orientation="portrait" horizontalDpi="1200" verticalDpi="1200"/>
  <headerFooter>
    <oddHeader>&amp;C&amp;"Aptos"&amp;12&amp;K000000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2025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Umair Chaudhry</cp:lastModifiedBy>
  <dcterms:created xsi:type="dcterms:W3CDTF">2025-10-28T09:42:07Z</dcterms:created>
  <dcterms:modified xsi:type="dcterms:W3CDTF">2026-07-22T15:21:14Z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175f8ac-0ac0-4491-aeb5-8acadf90044f_Enabled">
    <vt:lpwstr>true</vt:lpwstr>
  </property>
  <property fmtid="{D5CDD505-2E9C-101B-9397-08002B2CF9AE}" pid="5" name="MSIP_Label_b175f8ac-0ac0-4491-aeb5-8acadf90044f_SetDate">
    <vt:lpwstr>2026-07-22T15:16:01Z</vt:lpwstr>
  </property>
  <property fmtid="{D5CDD505-2E9C-101B-9397-08002B2CF9AE}" pid="6" name="MSIP_Label_b175f8ac-0ac0-4491-aeb5-8acadf90044f_Method">
    <vt:lpwstr>Privileged</vt:lpwstr>
  </property>
  <property fmtid="{D5CDD505-2E9C-101B-9397-08002B2CF9AE}" pid="7" name="MSIP_Label_b175f8ac-0ac0-4491-aeb5-8acadf90044f_Name">
    <vt:lpwstr>Internal - Prod</vt:lpwstr>
  </property>
  <property fmtid="{D5CDD505-2E9C-101B-9397-08002B2CF9AE}" pid="8" name="MSIP_Label_b175f8ac-0ac0-4491-aeb5-8acadf90044f_SiteId">
    <vt:lpwstr>5b2d121f-48c2-42b5-abd2-286c96656636</vt:lpwstr>
  </property>
  <property fmtid="{D5CDD505-2E9C-101B-9397-08002B2CF9AE}" pid="9" name="MSIP_Label_b175f8ac-0ac0-4491-aeb5-8acadf90044f_ActionId">
    <vt:lpwstr>953251c8-ec7e-4127-8890-36840972d696</vt:lpwstr>
  </property>
  <property fmtid="{D5CDD505-2E9C-101B-9397-08002B2CF9AE}" pid="10" name="MSIP_Label_b175f8ac-0ac0-4491-aeb5-8acadf90044f_ContentBits">
    <vt:lpwstr>1</vt:lpwstr>
  </property>
  <property fmtid="{D5CDD505-2E9C-101B-9397-08002B2CF9AE}" pid="11" name="MSIP_Label_b175f8ac-0ac0-4491-aeb5-8acadf90044f_Tag">
    <vt:lpwstr>10, 0, 1, 1</vt:lpwstr>
  </property>
</Properties>
</file>