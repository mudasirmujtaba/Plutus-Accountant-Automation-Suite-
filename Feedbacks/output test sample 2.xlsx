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chaudhry\Downloads\"/>
    </mc:Choice>
  </mc:AlternateContent>
  <xr:revisionPtr revIDLastSave="0" documentId="13_ncr:1_{1331D1B0-4ED9-4120-AA1D-D67FA81ACE62}" xr6:coauthVersionLast="47" xr6:coauthVersionMax="47" xr10:uidLastSave="{00000000-0000-0000-0000-000000000000}"/>
  <bookViews>
    <workbookView xWindow="-16845" yWindow="-16320" windowWidth="29040" windowHeight="15720" tabRatio="827" xr2:uid="{00000000-000D-0000-FFFF-FFFF00000000}"/>
  </bookViews>
  <sheets>
    <sheet name="Raw 24" sheetId="1" r:id="rId1"/>
    <sheet name="Analysis 24" sheetId="2" r:id="rId2"/>
  </sheets>
  <definedNames>
    <definedName name="_xlnm._FilterDatabase" localSheetId="0" hidden="1">'Raw 24'!$A$213:$N$279</definedName>
  </definedNames>
  <calcPr calcId="191029"/>
  <pivotCaches>
    <pivotCache cacheId="9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9" i="1" l="1"/>
  <c r="N256" i="1"/>
  <c r="N216" i="1"/>
  <c r="N217" i="1"/>
  <c r="N218" i="1"/>
  <c r="N257" i="1"/>
  <c r="N214" i="1"/>
  <c r="N221" i="1"/>
  <c r="N222" i="1"/>
  <c r="N231" i="1"/>
  <c r="N215" i="1"/>
  <c r="N232" i="1"/>
  <c r="N228" i="1"/>
  <c r="N227" i="1"/>
  <c r="N259" i="1"/>
  <c r="N233" i="1"/>
  <c r="N230" i="1"/>
  <c r="N260" i="1"/>
  <c r="N261" i="1"/>
  <c r="N234" i="1"/>
  <c r="N236" i="1"/>
  <c r="N235" i="1"/>
  <c r="N262" i="1"/>
  <c r="N223" i="1"/>
  <c r="N237" i="1"/>
  <c r="N239" i="1"/>
  <c r="N265" i="1"/>
  <c r="N238" i="1"/>
  <c r="N240" i="1"/>
  <c r="N243" i="1"/>
  <c r="N266" i="1"/>
  <c r="N241" i="1"/>
  <c r="N246" i="1"/>
  <c r="N269" i="1"/>
  <c r="N248" i="1"/>
  <c r="N242" i="1"/>
  <c r="N224" i="1"/>
  <c r="N225" i="1"/>
  <c r="N252" i="1"/>
  <c r="N270" i="1"/>
  <c r="N244" i="1"/>
  <c r="N255" i="1"/>
  <c r="N271" i="1"/>
  <c r="N245" i="1"/>
  <c r="N258" i="1"/>
  <c r="N272" i="1"/>
  <c r="N247" i="1"/>
  <c r="N226" i="1"/>
  <c r="N219" i="1"/>
  <c r="N263" i="1"/>
  <c r="N264" i="1"/>
  <c r="N249" i="1"/>
  <c r="N276" i="1"/>
  <c r="N267" i="1"/>
  <c r="N268" i="1"/>
  <c r="N251" i="1"/>
  <c r="N278" i="1"/>
  <c r="N253" i="1"/>
  <c r="N250" i="1"/>
  <c r="N273" i="1"/>
  <c r="N274" i="1"/>
  <c r="N275" i="1"/>
  <c r="N220" i="1"/>
  <c r="N254" i="1"/>
  <c r="N277" i="1"/>
  <c r="N279" i="1"/>
  <c r="I279" i="1" l="1"/>
  <c r="I277" i="1"/>
  <c r="I254" i="1"/>
  <c r="I220" i="1"/>
  <c r="C11" i="2" s="1"/>
  <c r="I275" i="1"/>
  <c r="I274" i="1"/>
  <c r="I273" i="1"/>
  <c r="I250" i="1"/>
  <c r="I253" i="1"/>
  <c r="I278" i="1"/>
  <c r="C28" i="2" s="1"/>
  <c r="I251" i="1"/>
  <c r="C22" i="2" s="1"/>
  <c r="I268" i="1"/>
  <c r="C19" i="2" s="1"/>
  <c r="I267" i="1"/>
  <c r="I276" i="1"/>
  <c r="I249" i="1"/>
  <c r="I264" i="1"/>
  <c r="I263" i="1"/>
  <c r="I219" i="1"/>
  <c r="C5" i="2" s="1"/>
  <c r="I226" i="1"/>
  <c r="I247" i="1"/>
  <c r="I272" i="1"/>
  <c r="I258" i="1"/>
  <c r="I245" i="1"/>
  <c r="I271" i="1"/>
  <c r="I255" i="1"/>
  <c r="I244" i="1"/>
  <c r="I270" i="1"/>
  <c r="I252" i="1"/>
  <c r="I225" i="1"/>
  <c r="I224" i="1"/>
  <c r="I242" i="1"/>
  <c r="I248" i="1"/>
  <c r="C18" i="2" s="1"/>
  <c r="I269" i="1"/>
  <c r="I246" i="1"/>
  <c r="I241" i="1"/>
  <c r="I266" i="1"/>
  <c r="I243" i="1"/>
  <c r="I240" i="1"/>
  <c r="I238" i="1"/>
  <c r="I265" i="1"/>
  <c r="I239" i="1"/>
  <c r="I237" i="1"/>
  <c r="I223" i="1"/>
  <c r="I262" i="1"/>
  <c r="I235" i="1"/>
  <c r="I236" i="1"/>
  <c r="I234" i="1"/>
  <c r="I261" i="1"/>
  <c r="B27" i="2" s="1"/>
  <c r="I260" i="1"/>
  <c r="I230" i="1"/>
  <c r="I233" i="1"/>
  <c r="I259" i="1"/>
  <c r="I227" i="1"/>
  <c r="I228" i="1"/>
  <c r="B15" i="2" s="1"/>
  <c r="I232" i="1"/>
  <c r="I215" i="1"/>
  <c r="I231" i="1"/>
  <c r="I222" i="1"/>
  <c r="I221" i="1"/>
  <c r="B13" i="2" s="1"/>
  <c r="I214" i="1"/>
  <c r="B5" i="2" s="1"/>
  <c r="I257" i="1"/>
  <c r="I218" i="1"/>
  <c r="I217" i="1"/>
  <c r="I216" i="1"/>
  <c r="I256" i="1"/>
  <c r="I229" i="1"/>
  <c r="M213" i="1"/>
  <c r="I213" i="1"/>
  <c r="C10" i="2" s="1"/>
  <c r="M212" i="1"/>
  <c r="I212" i="1"/>
  <c r="M211" i="1"/>
  <c r="I211" i="1"/>
  <c r="M210" i="1"/>
  <c r="I210" i="1"/>
  <c r="M209" i="1"/>
  <c r="I209" i="1"/>
  <c r="M208" i="1"/>
  <c r="I208" i="1"/>
  <c r="M207" i="1"/>
  <c r="I207" i="1"/>
  <c r="M206" i="1"/>
  <c r="I206" i="1"/>
  <c r="M205" i="1"/>
  <c r="I205" i="1"/>
  <c r="M204" i="1"/>
  <c r="I204" i="1"/>
  <c r="M203" i="1"/>
  <c r="I203" i="1"/>
  <c r="M202" i="1"/>
  <c r="I202" i="1"/>
  <c r="M201" i="1"/>
  <c r="I201" i="1"/>
  <c r="M200" i="1"/>
  <c r="I200" i="1"/>
  <c r="M199" i="1"/>
  <c r="I199" i="1"/>
  <c r="M198" i="1"/>
  <c r="I198" i="1"/>
  <c r="M197" i="1"/>
  <c r="I197" i="1"/>
  <c r="M196" i="1"/>
  <c r="I196" i="1"/>
  <c r="M195" i="1"/>
  <c r="I195" i="1"/>
  <c r="M194" i="1"/>
  <c r="I194" i="1"/>
  <c r="M193" i="1"/>
  <c r="I193" i="1"/>
  <c r="M192" i="1"/>
  <c r="I192" i="1"/>
  <c r="M191" i="1"/>
  <c r="I191" i="1"/>
  <c r="M190" i="1"/>
  <c r="I190" i="1"/>
  <c r="M189" i="1"/>
  <c r="I189" i="1"/>
  <c r="M188" i="1"/>
  <c r="I188" i="1"/>
  <c r="M187" i="1"/>
  <c r="I187" i="1"/>
  <c r="M186" i="1"/>
  <c r="I186" i="1"/>
  <c r="M185" i="1"/>
  <c r="I185" i="1"/>
  <c r="M184" i="1"/>
  <c r="I184" i="1"/>
  <c r="M183" i="1"/>
  <c r="I183" i="1"/>
  <c r="M182" i="1"/>
  <c r="I182" i="1"/>
  <c r="M181" i="1"/>
  <c r="I181" i="1"/>
  <c r="B20" i="2" s="1"/>
  <c r="M180" i="1"/>
  <c r="I180" i="1"/>
  <c r="M179" i="1"/>
  <c r="I179" i="1"/>
  <c r="M178" i="1"/>
  <c r="I178" i="1"/>
  <c r="M177" i="1"/>
  <c r="I177" i="1"/>
  <c r="M176" i="1"/>
  <c r="I176" i="1"/>
  <c r="M175" i="1"/>
  <c r="I175" i="1"/>
  <c r="B17" i="2" s="1"/>
  <c r="M174" i="1"/>
  <c r="I174" i="1"/>
  <c r="M173" i="1"/>
  <c r="I173" i="1"/>
  <c r="M172" i="1"/>
  <c r="I172" i="1"/>
  <c r="M171" i="1"/>
  <c r="I171" i="1"/>
  <c r="M170" i="1"/>
  <c r="I170" i="1"/>
  <c r="M169" i="1"/>
  <c r="I169" i="1"/>
  <c r="M168" i="1"/>
  <c r="I168" i="1"/>
  <c r="M167" i="1"/>
  <c r="I167" i="1"/>
  <c r="M166" i="1"/>
  <c r="I166" i="1"/>
  <c r="M165" i="1"/>
  <c r="I165" i="1"/>
  <c r="M164" i="1"/>
  <c r="I164" i="1"/>
  <c r="M163" i="1"/>
  <c r="I163" i="1"/>
  <c r="M162" i="1"/>
  <c r="I162" i="1"/>
  <c r="M161" i="1"/>
  <c r="I161" i="1"/>
  <c r="M160" i="1"/>
  <c r="I160" i="1"/>
  <c r="M159" i="1"/>
  <c r="I159" i="1"/>
  <c r="M158" i="1"/>
  <c r="I158" i="1"/>
  <c r="M157" i="1"/>
  <c r="I157" i="1"/>
  <c r="M156" i="1"/>
  <c r="I156" i="1"/>
  <c r="M155" i="1"/>
  <c r="I155" i="1"/>
  <c r="M154" i="1"/>
  <c r="I154" i="1"/>
  <c r="M153" i="1"/>
  <c r="I153" i="1"/>
  <c r="M152" i="1"/>
  <c r="I152" i="1"/>
  <c r="M151" i="1"/>
  <c r="I151" i="1"/>
  <c r="M150" i="1"/>
  <c r="I150" i="1"/>
  <c r="M149" i="1"/>
  <c r="I149" i="1"/>
  <c r="M148" i="1"/>
  <c r="I148" i="1"/>
  <c r="M147" i="1"/>
  <c r="I147" i="1"/>
  <c r="M146" i="1"/>
  <c r="I146" i="1"/>
  <c r="M145" i="1"/>
  <c r="I145" i="1"/>
  <c r="M144" i="1"/>
  <c r="I144" i="1"/>
  <c r="M143" i="1"/>
  <c r="I143" i="1"/>
  <c r="M142" i="1"/>
  <c r="I142" i="1"/>
  <c r="M141" i="1"/>
  <c r="I141" i="1"/>
  <c r="M140" i="1"/>
  <c r="I140" i="1"/>
  <c r="M139" i="1"/>
  <c r="I139" i="1"/>
  <c r="M138" i="1"/>
  <c r="I138" i="1"/>
  <c r="M137" i="1"/>
  <c r="I137" i="1"/>
  <c r="M136" i="1"/>
  <c r="I136" i="1"/>
  <c r="M135" i="1"/>
  <c r="I135" i="1"/>
  <c r="M134" i="1"/>
  <c r="I134" i="1"/>
  <c r="M133" i="1"/>
  <c r="I133" i="1"/>
  <c r="M132" i="1"/>
  <c r="I132" i="1"/>
  <c r="M131" i="1"/>
  <c r="I131" i="1"/>
  <c r="M130" i="1"/>
  <c r="I130" i="1"/>
  <c r="M129" i="1"/>
  <c r="I129" i="1"/>
  <c r="M128" i="1"/>
  <c r="I128" i="1"/>
  <c r="M127" i="1"/>
  <c r="I127" i="1"/>
  <c r="B6" i="2" s="1"/>
  <c r="M126" i="1"/>
  <c r="I126" i="1"/>
  <c r="M125" i="1"/>
  <c r="I125" i="1"/>
  <c r="M124" i="1"/>
  <c r="I124" i="1"/>
  <c r="M123" i="1"/>
  <c r="I123" i="1"/>
  <c r="M122" i="1"/>
  <c r="I122" i="1"/>
  <c r="M121" i="1"/>
  <c r="I121" i="1"/>
  <c r="M120" i="1"/>
  <c r="I120" i="1"/>
  <c r="M119" i="1"/>
  <c r="I119" i="1"/>
  <c r="M118" i="1"/>
  <c r="I118" i="1"/>
  <c r="M117" i="1"/>
  <c r="I117" i="1"/>
  <c r="M116" i="1"/>
  <c r="I116" i="1"/>
  <c r="M115" i="1"/>
  <c r="I115" i="1"/>
  <c r="B24" i="2" s="1"/>
  <c r="M114" i="1"/>
  <c r="I114" i="1"/>
  <c r="M113" i="1"/>
  <c r="I113" i="1"/>
  <c r="M112" i="1"/>
  <c r="I112" i="1"/>
  <c r="M111" i="1"/>
  <c r="I111" i="1"/>
  <c r="M110" i="1"/>
  <c r="I110" i="1"/>
  <c r="M109" i="1"/>
  <c r="I109" i="1"/>
  <c r="M108" i="1"/>
  <c r="I108" i="1"/>
  <c r="M107" i="1"/>
  <c r="I107" i="1"/>
  <c r="M106" i="1"/>
  <c r="I106" i="1"/>
  <c r="M105" i="1"/>
  <c r="I105" i="1"/>
  <c r="M104" i="1"/>
  <c r="I104" i="1"/>
  <c r="M103" i="1"/>
  <c r="I103" i="1"/>
  <c r="M102" i="1"/>
  <c r="I102" i="1"/>
  <c r="M101" i="1"/>
  <c r="I101" i="1"/>
  <c r="M100" i="1"/>
  <c r="I100" i="1"/>
  <c r="M99" i="1"/>
  <c r="I99" i="1"/>
  <c r="M98" i="1"/>
  <c r="I98" i="1"/>
  <c r="M97" i="1"/>
  <c r="I97" i="1"/>
  <c r="M96" i="1"/>
  <c r="I96" i="1"/>
  <c r="M95" i="1"/>
  <c r="I95" i="1"/>
  <c r="M94" i="1"/>
  <c r="I94" i="1"/>
  <c r="M93" i="1"/>
  <c r="I93" i="1"/>
  <c r="M92" i="1"/>
  <c r="I92" i="1"/>
  <c r="M91" i="1"/>
  <c r="I91" i="1"/>
  <c r="M90" i="1"/>
  <c r="I90" i="1"/>
  <c r="M89" i="1"/>
  <c r="I89" i="1"/>
  <c r="M88" i="1"/>
  <c r="I88" i="1"/>
  <c r="M87" i="1"/>
  <c r="I87" i="1"/>
  <c r="M86" i="1"/>
  <c r="I86" i="1"/>
  <c r="M85" i="1"/>
  <c r="I85" i="1"/>
  <c r="M84" i="1"/>
  <c r="I84" i="1"/>
  <c r="M83" i="1"/>
  <c r="I83" i="1"/>
  <c r="M82" i="1"/>
  <c r="I82" i="1"/>
  <c r="M81" i="1"/>
  <c r="I81" i="1"/>
  <c r="M80" i="1"/>
  <c r="I80" i="1"/>
  <c r="M79" i="1"/>
  <c r="I79" i="1"/>
  <c r="B18" i="2" s="1"/>
  <c r="M78" i="1"/>
  <c r="I78" i="1"/>
  <c r="M77" i="1"/>
  <c r="I77" i="1"/>
  <c r="M76" i="1"/>
  <c r="I76" i="1"/>
  <c r="M75" i="1"/>
  <c r="I75" i="1"/>
  <c r="M74" i="1"/>
  <c r="I74" i="1"/>
  <c r="M73" i="1"/>
  <c r="I73" i="1"/>
  <c r="M72" i="1"/>
  <c r="I72" i="1"/>
  <c r="M71" i="1"/>
  <c r="I71" i="1"/>
  <c r="M70" i="1"/>
  <c r="I70" i="1"/>
  <c r="M69" i="1"/>
  <c r="I69" i="1"/>
  <c r="M68" i="1"/>
  <c r="I68" i="1"/>
  <c r="M67" i="1"/>
  <c r="I67" i="1"/>
  <c r="M66" i="1"/>
  <c r="I66" i="1"/>
  <c r="M65" i="1"/>
  <c r="I65" i="1"/>
  <c r="M64" i="1"/>
  <c r="I64" i="1"/>
  <c r="M63" i="1"/>
  <c r="I63" i="1"/>
  <c r="M62" i="1"/>
  <c r="I62" i="1"/>
  <c r="M61" i="1"/>
  <c r="I61" i="1"/>
  <c r="M60" i="1"/>
  <c r="I60" i="1"/>
  <c r="M59" i="1"/>
  <c r="I59" i="1"/>
  <c r="M58" i="1"/>
  <c r="I58" i="1"/>
  <c r="M57" i="1"/>
  <c r="I57" i="1"/>
  <c r="M56" i="1"/>
  <c r="I56" i="1"/>
  <c r="M55" i="1"/>
  <c r="I55" i="1"/>
  <c r="B31" i="2" s="1"/>
  <c r="M54" i="1"/>
  <c r="I54" i="1"/>
  <c r="M53" i="1"/>
  <c r="I53" i="1"/>
  <c r="M52" i="1"/>
  <c r="I52" i="1"/>
  <c r="M51" i="1"/>
  <c r="I51" i="1"/>
  <c r="M50" i="1"/>
  <c r="I50" i="1"/>
  <c r="M49" i="1"/>
  <c r="I49" i="1"/>
  <c r="M48" i="1"/>
  <c r="I48" i="1"/>
  <c r="M47" i="1"/>
  <c r="I47" i="1"/>
  <c r="M46" i="1"/>
  <c r="I46" i="1"/>
  <c r="M45" i="1"/>
  <c r="I45" i="1"/>
  <c r="M44" i="1"/>
  <c r="I44" i="1"/>
  <c r="M43" i="1"/>
  <c r="I43" i="1"/>
  <c r="M42" i="1"/>
  <c r="I42" i="1"/>
  <c r="M41" i="1"/>
  <c r="I41" i="1"/>
  <c r="M40" i="1"/>
  <c r="I40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B22" i="2" s="1"/>
  <c r="M27" i="1"/>
  <c r="I27" i="1"/>
  <c r="M26" i="1"/>
  <c r="I26" i="1"/>
  <c r="M25" i="1"/>
  <c r="I25" i="1"/>
  <c r="M24" i="1"/>
  <c r="I24" i="1"/>
  <c r="M23" i="1"/>
  <c r="I23" i="1"/>
  <c r="M22" i="1"/>
  <c r="I22" i="1"/>
  <c r="M21" i="1"/>
  <c r="I21" i="1"/>
  <c r="M20" i="1"/>
  <c r="I20" i="1"/>
  <c r="M19" i="1"/>
  <c r="I19" i="1"/>
  <c r="M18" i="1"/>
  <c r="I18" i="1"/>
  <c r="M17" i="1"/>
  <c r="I17" i="1"/>
  <c r="M16" i="1"/>
  <c r="I16" i="1"/>
  <c r="M15" i="1"/>
  <c r="I15" i="1"/>
  <c r="B33" i="2" s="1"/>
  <c r="M14" i="1"/>
  <c r="I14" i="1"/>
  <c r="M13" i="1"/>
  <c r="I13" i="1"/>
  <c r="M12" i="1"/>
  <c r="I12" i="1"/>
  <c r="M11" i="1"/>
  <c r="I11" i="1"/>
  <c r="M10" i="1"/>
  <c r="I10" i="1"/>
  <c r="M9" i="1"/>
  <c r="I9" i="1"/>
  <c r="B10" i="2" s="1"/>
  <c r="M8" i="1"/>
  <c r="I8" i="1"/>
  <c r="M7" i="1"/>
  <c r="I7" i="1"/>
  <c r="M6" i="1"/>
  <c r="I6" i="1"/>
  <c r="M5" i="1"/>
  <c r="I5" i="1"/>
  <c r="M4" i="1"/>
  <c r="I4" i="1"/>
  <c r="M3" i="1"/>
  <c r="J3" i="1"/>
  <c r="K3" i="1" s="1"/>
  <c r="I3" i="1"/>
  <c r="M2" i="1"/>
  <c r="K2" i="1"/>
  <c r="I2" i="1"/>
  <c r="C33" i="2"/>
  <c r="C32" i="2"/>
  <c r="B32" i="2"/>
  <c r="C31" i="2"/>
  <c r="C30" i="2"/>
  <c r="C29" i="2"/>
  <c r="B29" i="2"/>
  <c r="B28" i="2"/>
  <c r="C26" i="2"/>
  <c r="B26" i="2"/>
  <c r="C25" i="2"/>
  <c r="C24" i="2"/>
  <c r="C23" i="2"/>
  <c r="B23" i="2"/>
  <c r="C20" i="2"/>
  <c r="C17" i="2"/>
  <c r="C16" i="2"/>
  <c r="B16" i="2"/>
  <c r="C15" i="2"/>
  <c r="B14" i="2"/>
  <c r="C13" i="2"/>
  <c r="C12" i="2"/>
  <c r="B11" i="2"/>
  <c r="C9" i="2"/>
  <c r="B9" i="2"/>
  <c r="C8" i="2"/>
  <c r="B8" i="2"/>
  <c r="C6" i="2"/>
  <c r="B21" i="2" l="1"/>
  <c r="C21" i="2"/>
  <c r="C7" i="2"/>
  <c r="B12" i="2"/>
  <c r="J4" i="1"/>
  <c r="C14" i="2"/>
  <c r="B19" i="2"/>
  <c r="C27" i="2"/>
  <c r="B25" i="2"/>
  <c r="B7" i="2"/>
  <c r="B30" i="2"/>
  <c r="C34" i="2" l="1"/>
  <c r="J5" i="1"/>
  <c r="K4" i="1"/>
  <c r="B34" i="2"/>
  <c r="K5" i="1" l="1"/>
  <c r="J6" i="1"/>
  <c r="J7" i="1" l="1"/>
  <c r="K6" i="1"/>
  <c r="J8" i="1" l="1"/>
  <c r="K7" i="1"/>
  <c r="K8" i="1" l="1"/>
  <c r="J9" i="1"/>
  <c r="K9" i="1" l="1"/>
  <c r="J10" i="1"/>
  <c r="J11" i="1" l="1"/>
  <c r="K10" i="1"/>
  <c r="K11" i="1" l="1"/>
  <c r="J12" i="1"/>
  <c r="J13" i="1" l="1"/>
  <c r="K12" i="1"/>
  <c r="J14" i="1" l="1"/>
  <c r="K13" i="1"/>
  <c r="K14" i="1" l="1"/>
  <c r="J15" i="1"/>
  <c r="J16" i="1" l="1"/>
  <c r="K15" i="1"/>
  <c r="K16" i="1" l="1"/>
  <c r="J17" i="1"/>
  <c r="K17" i="1" l="1"/>
  <c r="J18" i="1"/>
  <c r="J19" i="1" l="1"/>
  <c r="K18" i="1"/>
  <c r="K19" i="1" l="1"/>
  <c r="J20" i="1"/>
  <c r="K20" i="1" l="1"/>
  <c r="J21" i="1"/>
  <c r="K21" i="1" l="1"/>
  <c r="J22" i="1"/>
  <c r="J23" i="1" l="1"/>
  <c r="K22" i="1"/>
  <c r="K23" i="1" l="1"/>
  <c r="J24" i="1"/>
  <c r="J25" i="1" l="1"/>
  <c r="K24" i="1"/>
  <c r="J26" i="1" l="1"/>
  <c r="K25" i="1"/>
  <c r="K26" i="1" l="1"/>
  <c r="J27" i="1"/>
  <c r="J28" i="1" l="1"/>
  <c r="K27" i="1"/>
  <c r="J29" i="1" l="1"/>
  <c r="K28" i="1"/>
  <c r="J30" i="1" l="1"/>
  <c r="K29" i="1"/>
  <c r="J31" i="1" l="1"/>
  <c r="K30" i="1"/>
  <c r="J32" i="1" l="1"/>
  <c r="K31" i="1"/>
  <c r="K32" i="1" l="1"/>
  <c r="J33" i="1"/>
  <c r="J34" i="1" l="1"/>
  <c r="K33" i="1"/>
  <c r="K34" i="1" l="1"/>
  <c r="J35" i="1"/>
  <c r="K35" i="1" l="1"/>
  <c r="J36" i="1"/>
  <c r="J37" i="1" l="1"/>
  <c r="K36" i="1"/>
  <c r="J38" i="1" l="1"/>
  <c r="K37" i="1"/>
  <c r="K38" i="1" l="1"/>
  <c r="J39" i="1"/>
  <c r="K39" i="1" l="1"/>
  <c r="J40" i="1"/>
  <c r="J41" i="1" l="1"/>
  <c r="K40" i="1"/>
  <c r="K41" i="1" l="1"/>
  <c r="J42" i="1"/>
  <c r="K42" i="1" l="1"/>
  <c r="J43" i="1"/>
  <c r="J44" i="1" l="1"/>
  <c r="K43" i="1"/>
  <c r="K44" i="1" l="1"/>
  <c r="J45" i="1"/>
  <c r="J46" i="1" l="1"/>
  <c r="K45" i="1"/>
  <c r="J47" i="1" l="1"/>
  <c r="K46" i="1"/>
  <c r="K47" i="1" l="1"/>
  <c r="J48" i="1"/>
  <c r="J49" i="1" l="1"/>
  <c r="K48" i="1"/>
  <c r="J50" i="1" l="1"/>
  <c r="K49" i="1"/>
  <c r="K50" i="1" l="1"/>
  <c r="J51" i="1"/>
  <c r="J52" i="1" l="1"/>
  <c r="K51" i="1"/>
  <c r="K52" i="1" l="1"/>
  <c r="J53" i="1"/>
  <c r="J54" i="1" l="1"/>
  <c r="K53" i="1"/>
  <c r="J55" i="1" l="1"/>
  <c r="K54" i="1"/>
  <c r="K55" i="1" l="1"/>
  <c r="J56" i="1"/>
  <c r="K56" i="1" l="1"/>
  <c r="J57" i="1"/>
  <c r="J58" i="1" l="1"/>
  <c r="K57" i="1"/>
  <c r="K58" i="1" l="1"/>
  <c r="J59" i="1"/>
  <c r="K59" i="1" l="1"/>
  <c r="J60" i="1"/>
  <c r="J61" i="1" l="1"/>
  <c r="K60" i="1"/>
  <c r="J62" i="1" l="1"/>
  <c r="K61" i="1"/>
  <c r="K62" i="1" l="1"/>
  <c r="J63" i="1"/>
  <c r="J64" i="1" l="1"/>
  <c r="K63" i="1"/>
  <c r="K64" i="1" l="1"/>
  <c r="J65" i="1"/>
  <c r="J66" i="1" l="1"/>
  <c r="K65" i="1"/>
  <c r="J67" i="1" l="1"/>
  <c r="K66" i="1"/>
  <c r="J68" i="1" l="1"/>
  <c r="K67" i="1"/>
  <c r="K68" i="1" l="1"/>
  <c r="J69" i="1"/>
  <c r="J70" i="1" l="1"/>
  <c r="K69" i="1"/>
  <c r="J71" i="1" l="1"/>
  <c r="K70" i="1"/>
  <c r="K71" i="1" l="1"/>
  <c r="J72" i="1"/>
  <c r="J73" i="1" l="1"/>
  <c r="K72" i="1"/>
  <c r="J74" i="1" l="1"/>
  <c r="K73" i="1"/>
  <c r="K74" i="1" l="1"/>
  <c r="J75" i="1"/>
  <c r="K75" i="1" l="1"/>
  <c r="J76" i="1"/>
  <c r="J77" i="1" l="1"/>
  <c r="K76" i="1"/>
  <c r="K77" i="1" l="1"/>
  <c r="J78" i="1"/>
  <c r="K78" i="1" l="1"/>
  <c r="J79" i="1"/>
  <c r="K79" i="1" l="1"/>
  <c r="J80" i="1"/>
  <c r="K80" i="1" l="1"/>
  <c r="J81" i="1"/>
  <c r="K81" i="1" l="1"/>
  <c r="J82" i="1"/>
  <c r="J83" i="1" l="1"/>
  <c r="K82" i="1"/>
  <c r="K83" i="1" l="1"/>
  <c r="J84" i="1"/>
  <c r="J85" i="1" l="1"/>
  <c r="K84" i="1"/>
  <c r="K85" i="1" l="1"/>
  <c r="J86" i="1"/>
  <c r="K86" i="1" l="1"/>
  <c r="J87" i="1"/>
  <c r="K87" i="1" l="1"/>
  <c r="J88" i="1"/>
  <c r="J89" i="1" l="1"/>
  <c r="K88" i="1"/>
  <c r="K89" i="1" l="1"/>
  <c r="J90" i="1"/>
  <c r="J91" i="1" l="1"/>
  <c r="K90" i="1"/>
  <c r="K91" i="1" l="1"/>
  <c r="J92" i="1"/>
  <c r="K92" i="1" l="1"/>
  <c r="J93" i="1"/>
  <c r="J94" i="1" l="1"/>
  <c r="K93" i="1"/>
  <c r="K94" i="1" l="1"/>
  <c r="J95" i="1"/>
  <c r="K95" i="1" l="1"/>
  <c r="J96" i="1"/>
  <c r="J97" i="1" l="1"/>
  <c r="K96" i="1"/>
  <c r="J98" i="1" l="1"/>
  <c r="K97" i="1"/>
  <c r="K98" i="1" l="1"/>
  <c r="J99" i="1"/>
  <c r="J100" i="1" l="1"/>
  <c r="K99" i="1"/>
  <c r="J101" i="1" l="1"/>
  <c r="K100" i="1"/>
  <c r="J102" i="1" l="1"/>
  <c r="K101" i="1"/>
  <c r="J103" i="1" l="1"/>
  <c r="K102" i="1"/>
  <c r="J104" i="1" l="1"/>
  <c r="K103" i="1"/>
  <c r="K104" i="1" l="1"/>
  <c r="J105" i="1"/>
  <c r="J106" i="1" l="1"/>
  <c r="K105" i="1"/>
  <c r="J107" i="1" l="1"/>
  <c r="K106" i="1"/>
  <c r="K107" i="1" l="1"/>
  <c r="J108" i="1"/>
  <c r="K108" i="1" l="1"/>
  <c r="J109" i="1"/>
  <c r="J110" i="1" l="1"/>
  <c r="K109" i="1"/>
  <c r="K110" i="1" l="1"/>
  <c r="J111" i="1"/>
  <c r="K111" i="1" l="1"/>
  <c r="J112" i="1"/>
  <c r="J113" i="1" l="1"/>
  <c r="K112" i="1"/>
  <c r="K113" i="1" l="1"/>
  <c r="J114" i="1"/>
  <c r="K114" i="1" l="1"/>
  <c r="J115" i="1"/>
  <c r="J116" i="1" l="1"/>
  <c r="K115" i="1"/>
  <c r="K116" i="1" l="1"/>
  <c r="J117" i="1"/>
  <c r="K117" i="1" l="1"/>
  <c r="J118" i="1"/>
  <c r="J119" i="1" l="1"/>
  <c r="K118" i="1"/>
  <c r="J120" i="1" l="1"/>
  <c r="K119" i="1"/>
  <c r="K120" i="1" l="1"/>
  <c r="J121" i="1"/>
  <c r="J122" i="1" l="1"/>
  <c r="K121" i="1"/>
  <c r="J123" i="1" l="1"/>
  <c r="K122" i="1"/>
  <c r="J124" i="1" l="1"/>
  <c r="K123" i="1"/>
  <c r="K124" i="1" l="1"/>
  <c r="J125" i="1"/>
  <c r="K125" i="1" l="1"/>
  <c r="J126" i="1"/>
  <c r="J127" i="1" l="1"/>
  <c r="K126" i="1"/>
  <c r="K127" i="1" l="1"/>
  <c r="J128" i="1"/>
  <c r="K128" i="1" l="1"/>
  <c r="J129" i="1"/>
  <c r="K129" i="1" l="1"/>
  <c r="J130" i="1"/>
  <c r="K130" i="1" l="1"/>
  <c r="J131" i="1"/>
  <c r="K131" i="1" l="1"/>
  <c r="J132" i="1"/>
  <c r="K132" i="1" l="1"/>
  <c r="J133" i="1"/>
  <c r="J134" i="1" l="1"/>
  <c r="K133" i="1"/>
  <c r="K134" i="1" l="1"/>
  <c r="J135" i="1"/>
  <c r="J136" i="1" l="1"/>
  <c r="K135" i="1"/>
  <c r="J137" i="1" l="1"/>
  <c r="K136" i="1"/>
  <c r="K137" i="1" l="1"/>
  <c r="J138" i="1"/>
  <c r="J139" i="1" l="1"/>
  <c r="K138" i="1"/>
  <c r="J140" i="1" l="1"/>
  <c r="K139" i="1"/>
  <c r="K140" i="1" l="1"/>
  <c r="J141" i="1"/>
  <c r="J142" i="1" l="1"/>
  <c r="K141" i="1"/>
  <c r="J143" i="1" l="1"/>
  <c r="K142" i="1"/>
  <c r="K143" i="1" l="1"/>
  <c r="J144" i="1"/>
  <c r="K144" i="1" l="1"/>
  <c r="J145" i="1"/>
  <c r="K145" i="1" l="1"/>
  <c r="J146" i="1"/>
  <c r="J147" i="1" l="1"/>
  <c r="K146" i="1"/>
  <c r="K147" i="1" l="1"/>
  <c r="J148" i="1"/>
  <c r="K148" i="1" l="1"/>
  <c r="J149" i="1"/>
  <c r="J150" i="1" l="1"/>
  <c r="K149" i="1"/>
  <c r="J151" i="1" l="1"/>
  <c r="K150" i="1"/>
  <c r="J152" i="1" l="1"/>
  <c r="K151" i="1"/>
  <c r="K152" i="1" l="1"/>
  <c r="J153" i="1"/>
  <c r="K153" i="1" l="1"/>
  <c r="J154" i="1"/>
  <c r="J155" i="1" l="1"/>
  <c r="K154" i="1"/>
  <c r="K155" i="1" l="1"/>
  <c r="J156" i="1"/>
  <c r="J157" i="1" l="1"/>
  <c r="K156" i="1"/>
  <c r="J158" i="1" l="1"/>
  <c r="K157" i="1"/>
  <c r="K158" i="1" l="1"/>
  <c r="J159" i="1"/>
  <c r="J160" i="1" l="1"/>
  <c r="K159" i="1"/>
  <c r="J161" i="1" l="1"/>
  <c r="K160" i="1"/>
  <c r="J162" i="1" l="1"/>
  <c r="K161" i="1"/>
  <c r="J163" i="1" l="1"/>
  <c r="K162" i="1"/>
  <c r="J164" i="1" l="1"/>
  <c r="K163" i="1"/>
  <c r="K164" i="1" l="1"/>
  <c r="J165" i="1"/>
  <c r="J166" i="1" l="1"/>
  <c r="K165" i="1"/>
  <c r="J167" i="1" l="1"/>
  <c r="K166" i="1"/>
  <c r="K167" i="1" l="1"/>
  <c r="J168" i="1"/>
  <c r="J169" i="1" l="1"/>
  <c r="K168" i="1"/>
  <c r="J170" i="1" l="1"/>
  <c r="K169" i="1"/>
  <c r="K170" i="1" l="1"/>
  <c r="J171" i="1"/>
  <c r="K171" i="1" l="1"/>
  <c r="J172" i="1"/>
  <c r="J173" i="1" l="1"/>
  <c r="K172" i="1"/>
  <c r="K173" i="1" l="1"/>
  <c r="J174" i="1"/>
  <c r="J175" i="1" l="1"/>
  <c r="K174" i="1"/>
  <c r="J176" i="1" l="1"/>
  <c r="K175" i="1"/>
  <c r="K176" i="1" l="1"/>
  <c r="J177" i="1"/>
  <c r="K177" i="1" l="1"/>
  <c r="J178" i="1"/>
  <c r="J179" i="1" l="1"/>
  <c r="K178" i="1"/>
  <c r="J180" i="1" l="1"/>
  <c r="K179" i="1"/>
  <c r="J181" i="1" l="1"/>
  <c r="K180" i="1"/>
  <c r="J182" i="1" l="1"/>
  <c r="K181" i="1"/>
  <c r="J183" i="1" l="1"/>
  <c r="K182" i="1"/>
  <c r="K183" i="1" l="1"/>
  <c r="J184" i="1"/>
  <c r="J185" i="1" l="1"/>
  <c r="K184" i="1"/>
  <c r="K185" i="1" l="1"/>
  <c r="J186" i="1"/>
  <c r="J187" i="1" l="1"/>
  <c r="K186" i="1"/>
  <c r="J188" i="1" l="1"/>
  <c r="K187" i="1"/>
  <c r="J189" i="1" l="1"/>
  <c r="K188" i="1"/>
  <c r="K189" i="1" l="1"/>
  <c r="J190" i="1"/>
  <c r="J191" i="1" l="1"/>
  <c r="K190" i="1"/>
  <c r="K191" i="1" l="1"/>
  <c r="J192" i="1"/>
  <c r="K192" i="1" l="1"/>
  <c r="J193" i="1"/>
  <c r="J194" i="1" l="1"/>
  <c r="K193" i="1"/>
  <c r="K194" i="1" l="1"/>
  <c r="J195" i="1"/>
  <c r="J196" i="1" l="1"/>
  <c r="K195" i="1"/>
  <c r="K196" i="1" l="1"/>
  <c r="J197" i="1"/>
  <c r="J198" i="1" l="1"/>
  <c r="K197" i="1"/>
  <c r="J199" i="1" l="1"/>
  <c r="K198" i="1"/>
  <c r="J200" i="1" l="1"/>
  <c r="K199" i="1"/>
  <c r="J201" i="1" l="1"/>
  <c r="K200" i="1"/>
  <c r="J202" i="1" l="1"/>
  <c r="K201" i="1"/>
  <c r="J203" i="1" l="1"/>
  <c r="K202" i="1"/>
  <c r="K203" i="1" l="1"/>
  <c r="J204" i="1"/>
  <c r="K204" i="1" l="1"/>
  <c r="J205" i="1"/>
  <c r="K205" i="1" l="1"/>
  <c r="J206" i="1"/>
  <c r="J207" i="1" l="1"/>
  <c r="K206" i="1"/>
  <c r="J208" i="1" l="1"/>
  <c r="K207" i="1"/>
  <c r="J209" i="1" l="1"/>
  <c r="K208" i="1"/>
  <c r="K209" i="1" l="1"/>
  <c r="J210" i="1"/>
  <c r="J211" i="1" l="1"/>
  <c r="K210" i="1"/>
  <c r="K211" i="1" l="1"/>
  <c r="J212" i="1"/>
  <c r="K212" i="1" l="1"/>
  <c r="J213" i="1"/>
  <c r="K213" i="1" l="1"/>
  <c r="J214" i="1" l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K277" i="1"/>
  <c r="J278" i="1"/>
  <c r="J279" i="1"/>
  <c r="K279" i="1"/>
  <c r="K254" i="1"/>
  <c r="K220" i="1"/>
  <c r="K275" i="1"/>
  <c r="K274" i="1"/>
  <c r="K273" i="1"/>
  <c r="K250" i="1"/>
  <c r="K253" i="1"/>
  <c r="K278" i="1"/>
  <c r="K251" i="1"/>
  <c r="K268" i="1"/>
  <c r="K267" i="1"/>
  <c r="K276" i="1"/>
  <c r="K249" i="1"/>
  <c r="K264" i="1"/>
  <c r="K263" i="1"/>
  <c r="K219" i="1"/>
  <c r="K226" i="1"/>
  <c r="K247" i="1"/>
  <c r="K272" i="1"/>
  <c r="K258" i="1"/>
  <c r="K245" i="1"/>
  <c r="K271" i="1"/>
  <c r="K255" i="1"/>
  <c r="K244" i="1"/>
  <c r="K270" i="1"/>
  <c r="K252" i="1"/>
  <c r="K225" i="1"/>
  <c r="K224" i="1"/>
  <c r="K242" i="1"/>
  <c r="K248" i="1"/>
  <c r="K269" i="1"/>
  <c r="K246" i="1"/>
  <c r="K241" i="1"/>
  <c r="K266" i="1"/>
  <c r="K243" i="1"/>
  <c r="K240" i="1"/>
  <c r="K238" i="1"/>
  <c r="K265" i="1"/>
  <c r="K239" i="1"/>
  <c r="K237" i="1"/>
  <c r="K223" i="1"/>
  <c r="K262" i="1"/>
  <c r="K235" i="1"/>
  <c r="K236" i="1"/>
  <c r="K234" i="1"/>
  <c r="K261" i="1"/>
  <c r="K260" i="1"/>
  <c r="K230" i="1"/>
  <c r="K233" i="1"/>
  <c r="K259" i="1"/>
  <c r="K227" i="1"/>
  <c r="K232" i="1"/>
  <c r="K215" i="1"/>
  <c r="K231" i="1"/>
  <c r="K222" i="1"/>
  <c r="K221" i="1"/>
  <c r="K214" i="1"/>
  <c r="K257" i="1"/>
  <c r="K218" i="1"/>
  <c r="K217" i="1"/>
  <c r="K216" i="1"/>
  <c r="K256" i="1"/>
  <c r="K229" i="1"/>
  <c r="K228" i="1"/>
</calcChain>
</file>

<file path=xl/sharedStrings.xml><?xml version="1.0" encoding="utf-8"?>
<sst xmlns="http://schemas.openxmlformats.org/spreadsheetml/2006/main" count="1225" uniqueCount="272">
  <si>
    <t>Sum of NET</t>
  </si>
  <si>
    <t>Column Labels</t>
  </si>
  <si>
    <t>Row Labels</t>
  </si>
  <si>
    <t>FY24</t>
  </si>
  <si>
    <t>FY25</t>
  </si>
  <si>
    <t>AOP</t>
  </si>
  <si>
    <t>Accountancy</t>
  </si>
  <si>
    <t>Bank charges</t>
  </si>
  <si>
    <t>DLA</t>
  </si>
  <si>
    <t>Dinner</t>
  </si>
  <si>
    <t>Dividend</t>
  </si>
  <si>
    <t>Entertainment</t>
  </si>
  <si>
    <t>Equipment</t>
  </si>
  <si>
    <t>HMRC</t>
  </si>
  <si>
    <t>HMRC CT</t>
  </si>
  <si>
    <t>HMRC SA</t>
  </si>
  <si>
    <t>HMRC-CT</t>
  </si>
  <si>
    <t>HMRC-PAYE</t>
  </si>
  <si>
    <t>Hotel</t>
  </si>
  <si>
    <t>Income</t>
  </si>
  <si>
    <t>Lunch</t>
  </si>
  <si>
    <t>Mobile phone</t>
  </si>
  <si>
    <t>Parking</t>
  </si>
  <si>
    <t>Penalty</t>
  </si>
  <si>
    <t>Professional - AOP</t>
  </si>
  <si>
    <t>Professional - College</t>
  </si>
  <si>
    <t>Professional Fee</t>
  </si>
  <si>
    <t>Professional fees - College</t>
  </si>
  <si>
    <t>Stationary</t>
  </si>
  <si>
    <t>Subscription</t>
  </si>
  <si>
    <t>Toll</t>
  </si>
  <si>
    <t>Training</t>
  </si>
  <si>
    <t>Travel</t>
  </si>
  <si>
    <t>Trivial</t>
  </si>
  <si>
    <t>Grand Total</t>
  </si>
  <si>
    <t>No</t>
  </si>
  <si>
    <t>SA</t>
  </si>
  <si>
    <t>ACC</t>
  </si>
  <si>
    <t>Date</t>
  </si>
  <si>
    <t>Description</t>
  </si>
  <si>
    <t>Paid in</t>
  </si>
  <si>
    <t>Paid out</t>
  </si>
  <si>
    <t>Balance</t>
  </si>
  <si>
    <t>NET</t>
  </si>
  <si>
    <t>Balance UC</t>
  </si>
  <si>
    <t>Check UC</t>
  </si>
  <si>
    <t>UC category</t>
  </si>
  <si>
    <t>SA24</t>
  </si>
  <si>
    <t>Automated Credit ICONIC EYEWE KUOONA LIMITED COM  FP 30/11/23 1854  088430524581031101</t>
  </si>
  <si>
    <t>Automated Credit BOOTS OPTICIANS PR 1003 2000004442  K</t>
  </si>
  <si>
    <t>Direct Debit THE COLLEGE OF OPT  DD001773</t>
  </si>
  <si>
    <t>OnLine Transaction CHIDO HOVE In VIA MOBILE - LVP  FP 05/12/23 10  01224352238059000N</t>
  </si>
  <si>
    <t>Automated Credit VISION EXPRESS UK  200003317620</t>
  </si>
  <si>
    <t>Automated Credit SPECSAVERS FINANCE SPECSAVERS  SEP
 COM</t>
  </si>
  <si>
    <t>Automated Credit C HOVE CASH RETURN FP 11/12/23  2324
 500000001255931510</t>
  </si>
  <si>
    <t>OnLine Transaction CHIDO HOVE INVEST VIA ONLINE - PYMT FP 11/12/23 10  36224100239120000N</t>
  </si>
  <si>
    <t>Card Transaction 4163 19DEC23 C TAMAR BRIDGE PLYMOUTH GB</t>
  </si>
  <si>
    <t>OnLine Transaction CHIDO HOVE INVEST VIA MOBILE - PYMT FP 26/12/23 10 52121347307951000N</t>
  </si>
  <si>
    <t>OnLine Transaction CHIDO HOVE TRANSFER VIA MOBILE - PYMT FP 28/12/23 10 30071348133982000N</t>
  </si>
  <si>
    <t>OnLine Transaction CHIDO HOVE TRANSFER VIA MOBILE - PYMT FP 01/01/24 10 47215400526440000N</t>
  </si>
  <si>
    <t>OnLine Transaction CHIDO HOVE TRANSFER VIA MOBILE - PYMT FP 30/12/23 10 59132623308479000N</t>
  </si>
  <si>
    <t>Card Transaction 4163 30DEC23 C TESCO-STORES-6106 CALLINGTON GB</t>
  </si>
  <si>
    <t>Direct Debit THE COLLEGE OF OPT DD001773</t>
  </si>
  <si>
    <t>Direct Debit ASSOC OPTOMETRISTS 0000070593</t>
  </si>
  <si>
    <t>Automated Credit SPECSAVERS FINANCE SPECSAVERS SEP COM</t>
  </si>
  <si>
    <t>Card Transaction 4163 09JAN24 C TAMAR BRIDGE PLYMOUTH GB</t>
  </si>
  <si>
    <t>Automated Credit LOCUM MATCH LIMITE ASDA PAYMENT FP 12/01/24 0232 05023128353259000J ASDA PAYMENT</t>
  </si>
  <si>
    <t>Card Transaction 4163 11JAN24 C TAMAR BRIDGE PLYMOUTH GB</t>
  </si>
  <si>
    <t>OnLine Transaction CHIDO HOVE TRANSFER VIA MOBILE -</t>
  </si>
  <si>
    <t>Card Transaction 4163 13JAN24 C TESCO-STORES-6106</t>
  </si>
  <si>
    <t>Automated Credit LOCUM MATCH LIMITE ASDA PAYMENT</t>
  </si>
  <si>
    <t>Automated Credit SPECSAVERS FINANCE SPECSAVERS SEP</t>
  </si>
  <si>
    <t>Card Transaction 4163 22JAN24 C TAMAR BRIDGE PLYMOUTH GB</t>
  </si>
  <si>
    <t>Card Transaction 4163 22JAN24 HTTPS://WWW .PLYMOUTH.G 01752668000 GB</t>
  </si>
  <si>
    <t>Card Transaction 4163 23JAN24 C TAMAR BRIDGE PLYMOUTH GB</t>
  </si>
  <si>
    <t>Automated Credit ICONIC EYEWE KUOONA LIMITED COM FP 27/01/24 1359 507114009531721001</t>
  </si>
  <si>
    <t>OnLine Transaction CHIDO HOVE TRANSFER VIA MOBILE - PYMT FP 29/01/24 10 41083427398667000N</t>
  </si>
  <si>
    <t>Direct Debit THE COLLEGE OF OPT DD00177</t>
  </si>
  <si>
    <t>Automated Credit LOCUM PAYROL LTD ASDA FP 02/02/24 0427 MF06680E05C8E5B000</t>
  </si>
  <si>
    <t>OnLine Transaction CHIDO HOVE TRANSFER VIA ONLINE - PYMT FP 01/02/24 10 60200431240120000N</t>
  </si>
  <si>
    <t>Card Transaction 4163 01FEB24 C TAMAR BRIDGE PLYMOUTH GB</t>
  </si>
  <si>
    <t>Automated Credit LOCUM PAYROL LTD ASDA FP 09/02/24 0426 MF06310E05D0FD1C00</t>
  </si>
  <si>
    <t>Automated Credit BOOTS OPTICIANS PR 1003 2000007863 K</t>
  </si>
  <si>
    <t>OnLine Transaction CHIDO HOVE TRANSFER VIA MOBILE - PYMT FP 18/02/24 10 02024505456541000N</t>
  </si>
  <si>
    <t>Card Transaction 4163 16FEB24 C TAMAR BRIDGE PLYMOUTH GB</t>
  </si>
  <si>
    <t>OnLine Transaction CHIDO HOVE TRANSFER VIA MOBILE - PYMT FP 20/02/24 10 60130231717931000N</t>
  </si>
  <si>
    <t>Card Transaction 4163 22FEB24 C TAMAR BRIDGE PLYMOUTH GB</t>
  </si>
  <si>
    <t>Card Transaction 4163 28FEB24 C TAMAR BRIDGE PLYMOUTH GB</t>
  </si>
  <si>
    <t>Automated Credit SCRIVENS LTD</t>
  </si>
  <si>
    <t>Automated Credit BOOTS OPTICIANS PR 1003 2000008641 K</t>
  </si>
  <si>
    <t>Card Transaction 4163 29FEB24 C TAMAR BRIDGE PLYMOUTH GB</t>
  </si>
  <si>
    <t>Card Transaction 4163 04MAR24 EB *DEVON LOC STUDY DA 801-413-7200 GB</t>
  </si>
  <si>
    <t>Card Transaction 4163 04MAR24 WWW.OPTICAL.ORG LONDON GB</t>
  </si>
  <si>
    <t>Card Transaction 4163 12MAR24 C TAMAR BRIDGE PLYMOUTH GB</t>
  </si>
  <si>
    <t>Card Transaction 4163 13MAR24 C TAMAR BRIDGE PLYMOUTH GB</t>
  </si>
  <si>
    <t>Automated Credit LOCUM PAYROL LTD ASDA FP 15/03/24 0443 MF074714400E1B3D00</t>
  </si>
  <si>
    <t>OnLine Transaction CHIDO HOVE TRANSFER VIA MOBILE - PYMT FP 15/03/24 10 29161216081850000N</t>
  </si>
  <si>
    <t>Card Transaction 4163 14MAR24 C TAMAR BRIDGE PLYMOUTH GB</t>
  </si>
  <si>
    <t>Card Transaction 4163 15MAR24 EURO CAR PARKS LTD LONDON GB</t>
  </si>
  <si>
    <t>OnLine Transaction CHIDO HOVE TRANSFER VIA MOBILE - PYMT FP 19/03/24 10 55152550137006000N</t>
  </si>
  <si>
    <t>Card Transaction 4163 18MAR24 C COSTERO LOUNGE PAIGNTON GB</t>
  </si>
  <si>
    <t>Card Transaction 4163 18MAR24 C TAMAR BRIDGE PLYMOUTH GB</t>
  </si>
  <si>
    <t>Card Transaction 4163 26MAR24 PLYMOUTH CITY COUN PLYMOUTH GB</t>
  </si>
  <si>
    <t>Automated Credit LOCUM PAYROL LTD ASDA FP 29/03/24 0324 MF06941440227AC400</t>
  </si>
  <si>
    <t>Automated Credit BOOTS OPTICIANS PR 1003 2000010225 K</t>
  </si>
  <si>
    <t>Card Transaction 4163 01APR24 C IBIS STYLE HOTEL PAIGNTON GB</t>
  </si>
  <si>
    <t>Card Transaction 4163 01APR24 C TAMAR BRIDGE PLYMOUTH GB</t>
  </si>
  <si>
    <t>Card Transaction 4163 30MAR24 TORBAY COUNCIL - WEB TORQUAY GB</t>
  </si>
  <si>
    <t>Card Transaction 4163 29MAR24 ALIEXPRESS.COM LONDON GB</t>
  </si>
  <si>
    <t>Card Transaction 4163 29MAR24 BIRMINGHAM OPTICAL BIRMINGHAM GB</t>
  </si>
  <si>
    <t>Card Transaction 4163 02APR24 C TESCO-STORES 4898 PAIGNTON GB</t>
  </si>
  <si>
    <t>Card Transaction 4163 01APR24 IBIS STYLES HOTEL PAIG PAIGNTON GB</t>
  </si>
  <si>
    <t>Card Transaction 4163 03APR24 C CORNWALL COUNCIL - MO TRURO GB</t>
  </si>
  <si>
    <t>Card Transaction 4163 04APR24 C TAMAR BRIDGE PLYMOUTH GB</t>
  </si>
  <si>
    <t>SA25</t>
  </si>
  <si>
    <t>OnLine Transaction CHIDO HOVE INVEST VIA MOBILE - PYMT FP 08/04/24 10 51130224856545000N</t>
  </si>
  <si>
    <t>OnLine Transaction CHIDO HOVE TRANSFER VIA MOBILE - PYMT FP 08/04/24 10 43130253344082000N</t>
  </si>
  <si>
    <t>Card Transaction 4163 05APR24 C CORNWALL COUNCIL - MO TRURO GB</t>
  </si>
  <si>
    <t>Card Transaction 4163 08APR24 C TAMAR BRIDGE PLYMOUTH GB</t>
  </si>
  <si>
    <t>Card Transaction 4163 09APR24 C CORNWALL COUNCIL - MO TRURO GB</t>
  </si>
  <si>
    <t>Card Transaction 4163 10APR24 C TAMAR BRIDGE PLYMOUTH GB</t>
  </si>
  <si>
    <t>Card Transaction 4163 11APR24 C TAMAR BRIDGE PLYMOUTH GB</t>
  </si>
  <si>
    <t>Automated Credit BOOTS OPTICIANS PR 1003 2000011048 K</t>
  </si>
  <si>
    <t>Card Transaction 4163 12APR24 C TAMAR BRIDGE PLYMOUTH GB</t>
  </si>
  <si>
    <t>Card Transaction 4163 13APR24 C GDK PLYMOUTH PLYMOUTH PL1 GB</t>
  </si>
  <si>
    <t>Automated Credit VISION EXPRESS UK RG50570000589024</t>
  </si>
  <si>
    <t>OnLine Transaction CHIDO HOVE TRANSFER VIA MOBILE - PYMT FP 19/04/24 10 14065550118196000N</t>
  </si>
  <si>
    <t>Direct Debit ASSOCIATION OF OPT 0000070593</t>
  </si>
  <si>
    <t>Card Transaction 4163 01MAY24 1STFORMATIO NS.CO.UK LONDON GB</t>
  </si>
  <si>
    <t>Card Transaction 4163 07MAY24 C TAMAR BRIDGE PLYMOUTH GB</t>
  </si>
  <si>
    <t>Card Transaction 4163 08MAY24 C TAMAR BRIDGE PLYMOUTH GB</t>
  </si>
  <si>
    <t>Card Transaction 4163 09MAY24 C TAMAR BRIDGE PLYMOUTH GB</t>
  </si>
  <si>
    <t>Card Transaction 4163 10MAY24 C TAMAR BRIDGE PLYMOUTH GB</t>
  </si>
  <si>
    <t>Card Transaction 4163 15MAY24 C TAMAR BRIDGE PLYMOUTH GB</t>
  </si>
  <si>
    <t>Card Transaction 4163 16MAY24 C TAMAR BRIDGE PLYMOUTH GB</t>
  </si>
  <si>
    <t>OnLine Transaction CHIDO HOVE TRANSFER VIA MOBILE - PYMT FP 19/05/24 10 50082449533488000N</t>
  </si>
  <si>
    <t>Card Transaction 4163 17MAY24 C TAMAR BRIDGE PLYMOUTH GB</t>
  </si>
  <si>
    <t>Card Transaction 4163 20MAY24 TAMAR BRIDGE PLYMOUTH GB</t>
  </si>
  <si>
    <t>Card Transaction 4163 20MAY24 C TAMAR BRIDGE PLYMOUTH GB</t>
  </si>
  <si>
    <t>Card Transaction 4163 21MAY24 C TAMAR BRIDGE PLYMOUTH GB</t>
  </si>
  <si>
    <t>Card Transaction 4163 22MAY24 C TAMAR BRIDGE PLYMOUTH GB</t>
  </si>
  <si>
    <t>Card Transaction 4163 23MAY24 C TAMAR BRIDGE PLYMOUTH GB</t>
  </si>
  <si>
    <t>Card Transaction 4163 03JUN24 PLYMOUTH CITY COUN PLYMOUTH GB</t>
  </si>
  <si>
    <t>Card Transaction 4163 03JUN24 EURO CAR PARKS LTD LONDON GB</t>
  </si>
  <si>
    <t>Card Transaction 4163 05JUN24 AIRBNB * HMFWTHQD8Z 203-318-1111 GB</t>
  </si>
  <si>
    <t>OnLine Transaction CHIDO HOVE TRANSFER VIA MOBILE - PYMT FP 09/06/24 10 50134345215198000N</t>
  </si>
  <si>
    <t>OnLine Transaction CHIDO HOVE TRANSFER VIA MOBILE - PYMT FP 15/06/24 10 28180949197463000N</t>
  </si>
  <si>
    <t>OnLine Transaction CHIDO HOVE Nn VIA MOBILE - LVP FP 15/06/24 10 35181028028696000N</t>
  </si>
  <si>
    <t>Card Transaction 4163 17JUN24 C CORNWALL COUNCIL - THE TRURO GB</t>
  </si>
  <si>
    <t>Automated Credit VISION EXPRESS UK RG50570001276824</t>
  </si>
  <si>
    <t>OnLine Transaction CHIDO HOVE TRANSFER VIA MOBILE - PYMT FP 21/06/24 10 34113627650022000N</t>
  </si>
  <si>
    <t>OnLine Transaction Locums Limited Chido Accounts VIA MOBILE - LVP FP 26/06/24 10 46231124828256000N</t>
  </si>
  <si>
    <t>Card Transaction 4163 27JUN24 C CORNWALL COUNCIL TRURO GB</t>
  </si>
  <si>
    <t>Card Transaction 4163 01JUL24 C CORNWALL COUNCIL TRURO GB</t>
  </si>
  <si>
    <t>OnLine Transaction CHIDO HOVE Expenses owing VIA MOBILE - LVP FP 08/07/24 10 57142638488619000N</t>
  </si>
  <si>
    <t>Card Transaction 4163 09JUL24 C ZETTLE_*THE THOMAS DAN NEWQUAY GB</t>
  </si>
  <si>
    <t>Card Transaction 4163 09JUL24 C CORNWALL COUNCIL - MO TRURO GB</t>
  </si>
  <si>
    <t>Card Transaction 4163 10JUL24 C CORNWALL COUNCIL - MO TRURO GB</t>
  </si>
  <si>
    <t>Automated Credit VISION EXPRESS UK RG50570001484124</t>
  </si>
  <si>
    <t>OnLine Transaction CHIDO HOVE TRANSFER VIA MOBILE - PYMT FP 17/07/24 10 34175323404077000N</t>
  </si>
  <si>
    <t>Automated Credit VISION EXPRESS UK RG50570001550124</t>
  </si>
  <si>
    <t>Card Transaction 4163 24JUL24 C TAMAR BRIDGE PLYMOUTH GB</t>
  </si>
  <si>
    <t>Card Transaction 4163 29JUL24 C TAMAR BRIDGE PLYMOUTH GB</t>
  </si>
  <si>
    <t>Card Transaction 4163 30JUL24 C DRAKE CIRCUS CTR LTD PLYMOUTH GB</t>
  </si>
  <si>
    <t>Card Transaction 4163 30JUL24 C TAMAR BRIDGE PLYMOUTH GB</t>
  </si>
  <si>
    <t>Automated Credit VISION EXPRESS UK RG50570001680324</t>
  </si>
  <si>
    <t>Automated Credit VISION EXPRESS UK RG50570001745824</t>
  </si>
  <si>
    <t>Card Transaction 4163 14AUG24 HOTEL AT BOOKING.COM CAMBRIDGE GB</t>
  </si>
  <si>
    <t>OnLine Transaction CORP TAX C/NAULD I 4233420646A00103A VIA ONLINE - PYMT FP 16/08/24 10
26133634172711000N</t>
  </si>
  <si>
    <t>OnLine Transaction CORP TAX C/NAULD I 4233420646A00102A VIA ONLINE - PYMT FP 16/08/24 10
34133300541794000N</t>
  </si>
  <si>
    <t>OnLine Transaction CHIDO HOVE TRANSFER VIA MOBILE - PYMT FP 21/08/24 10 20160503296635000N</t>
  </si>
  <si>
    <t>Card Transaction 4163 20AUG24 C TAMAR BRIDGE PLYMOUTH GB</t>
  </si>
  <si>
    <t>Automated Credit VISION EXPRESS UK RG50570001810824</t>
  </si>
  <si>
    <t>Card Transaction 4163 23AUG24 C SUMUP *SERVET BAYAR PLYMOUTH GB</t>
  </si>
  <si>
    <t>Card Transaction 4163 23AUG24 C TAMAR BRIDGE PLYMOUTH GB</t>
  </si>
  <si>
    <t>Card Transaction 4163 26AUG24 C TAMAR BRIDGE PLYMOUTH GB</t>
  </si>
  <si>
    <t>Card Transaction 4163 26AUG24 TAMAR BRIDGE PLYMOUTH GB</t>
  </si>
  <si>
    <t>Automated Credit VISION EXPRESS UK RG50570001911924</t>
  </si>
  <si>
    <t>Charges 02AUG A/C 41204042</t>
  </si>
  <si>
    <t>Card Transaction 4163 01SEP24 1STFORMATIO NS.CO.UK LONDON GB</t>
  </si>
  <si>
    <t>Card Transaction 4163 05SEP24 C TRY DOWER TRURO, TRURO GB</t>
  </si>
  <si>
    <t>Automated Credit VISION EXPRESS UK RG50570001970824</t>
  </si>
  <si>
    <t>Card Transaction 4163 06SEP24 MANNINGS HOTEL CORNWALL GB</t>
  </si>
  <si>
    <t>Automated Credit VISION EXPRESS UK RG50570002036724</t>
  </si>
  <si>
    <t>OnLine Transaction HMRC CUMBERNAULD 475PA017019352409 VIA MOBILE - LVP FP 17/09/24 10
20164832426090000N</t>
  </si>
  <si>
    <t>OnLine Transaction CORP TAX C/NAULD I 475PA017019352412 VIA MOBILE - LVP FP 17/09/24 10
55165358717991000N</t>
  </si>
  <si>
    <t>OnLine Transaction CORP TAX C/NAULD I 475PA017019352411 VIA MOBILE - LVP FP 17/09/24 10
32165224675996000N</t>
  </si>
  <si>
    <t>OnLine Transaction CORP TAX C/NAULD I 475PA017019352410 VIA MOBILE - LVP FP 17/09/24 10
46165050478564000N</t>
  </si>
  <si>
    <t>CHAPS Transfer RG50570002103824 PCM55CI20934252 VISION EXPRESS ( UK) LTD CHAPS TFR</t>
  </si>
  <si>
    <t>Card Transaction 4163 18SEP24 BOOKING.COM LONDON GB</t>
  </si>
  <si>
    <t>Automated Credit LOCUM PAYROL LTD ASDA FP 20/09/24 0434 MF041539C1250F8500</t>
  </si>
  <si>
    <t>Card Transaction 4163 25SEP24 C SUBWAY 43373 BACK QUAY TRURO GB</t>
  </si>
  <si>
    <t>Automated Credit LOCUM PAYROL LTD ASDA FP 27/09/24 0505 MF043239C130652000</t>
  </si>
  <si>
    <t>Automated Credit VISION EXPRESS UK RG50570002185424</t>
  </si>
  <si>
    <t>Charges 30AUG A/C 41204042</t>
  </si>
  <si>
    <t>OnLine Transaction CHIDO HOVE Expenses holi inn VIA MOBILE - LVP FP 01/10/24 10 56161959210262000N</t>
  </si>
  <si>
    <t>Card Transaction 4163 01OCT24 PARTNERS ON BOOKING BV AMSTERDAM NL</t>
  </si>
  <si>
    <t>Card Transaction 4163 05OCT24 PROTECTIVE MASKS DIREC TUNBRIDGE WEL GB</t>
  </si>
  <si>
    <t>Automated Credit VISION EXPRESS UK RG50570002267524</t>
  </si>
  <si>
    <t>Automated Credit VISION EXPRESS UK RG50570002329924</t>
  </si>
  <si>
    <t>Card Transaction 4163 16OCT24 C THE GREAT WESTERN HOTE NEWQUAY GB</t>
  </si>
  <si>
    <t>Card Transaction 4163 16OCT24 C FLOUNDERS FISH AND CH NEWQUAY GB</t>
  </si>
  <si>
    <t>Automated Credit VISION EXPRESS UK RG50570002423124</t>
  </si>
  <si>
    <t>Card Transaction 4163 17OCT24 C THE GREAT WESTERN HOTE NEWQUAY GB</t>
  </si>
  <si>
    <t>Card Transaction 4163 22OCT24 C LIDL GB LAUNCESTON LAUNCESTON GB</t>
  </si>
  <si>
    <t>Automated Credit VISION EXPRESS UK RG50570002466924</t>
  </si>
  <si>
    <t>Card Transaction 4163 29OCT24 C DRAKE CIRCUS CAR PARK PLYMOUTH GB</t>
  </si>
  <si>
    <t>Automated Credit VISION EXPRESS UK RG50570002549424</t>
  </si>
  <si>
    <t>Charges 04OCT A/C 41204042</t>
  </si>
  <si>
    <t>Card Transaction 4163 30OCT24 C DRAKE CIRCUS CAR PARK PLYMOUTH GB</t>
  </si>
  <si>
    <t>Automated Credit VISION EXPRESS UK RG50570002619724</t>
  </si>
  <si>
    <t>Automated Credit VISION EXPRESS UK RG50570002689724</t>
  </si>
  <si>
    <t>Automated Credit BOOTS OPTICIANS PR 1003 2000024381 K</t>
  </si>
  <si>
    <t>Automated Credit VISION EXPRESS UK RG50570002757824</t>
  </si>
  <si>
    <t>Card Transaction 4163 24NOV24 1STFORMATIO NS.CO.UK LONDON GB</t>
  </si>
  <si>
    <t>Automated Credit VISION EXPRESS UK RG50570002837524</t>
  </si>
  <si>
    <t>Charges 01NOV A/C 41204042</t>
  </si>
  <si>
    <t>OnLine Transaction CHIDO HOVE TRANSFER VIA MOBILE - PYMT FP 01/12/24 10 10095647708161000N</t>
  </si>
  <si>
    <t>OnLine Transaction CHIDO HOVE TRANSFER VIA MOBILE - PYMT FP 03/12/24 10 05040356684765000N</t>
  </si>
  <si>
    <t>Automated Credit VISION EXPRESS UK RG50570002980024</t>
  </si>
  <si>
    <t>Automated Credit VISION EXPRESS UK RG50570003095824</t>
  </si>
  <si>
    <t>Charges 29NOV A/C 41204042</t>
  </si>
  <si>
    <t>Automated Credit HMRC PAYE 475PA01701935</t>
  </si>
  <si>
    <t>OnLine Transaction CHIDO HOVE TRANSFER VIA MOBILE - PYMT FP 22/01/25 10 30164445968177000N</t>
  </si>
  <si>
    <t>Automated Credit AOP ASSOC OF OPTOMETRI</t>
  </si>
  <si>
    <t>OnLine Transaction CHIDO HOVE Expenses owing VIA MOBILE - LVP FP 27/01/25 10 48232320396164000N</t>
  </si>
  <si>
    <t>OnLine Transaction HMRC SELF ASSESSME CEDB7FDB5BB64D118D TPP ECOSPEND TECHN FP 28/01/25 10 14123539503744000N</t>
  </si>
  <si>
    <t>Charges 03JAN A/C 41204042</t>
  </si>
  <si>
    <t>OnLine Transaction CHIDO HOVE TRANSFER VIA MOBILE - PYMT FP 21/02/25 10 25122435842417000N</t>
  </si>
  <si>
    <t>Charges 31JAN A/C 41204042</t>
  </si>
  <si>
    <t>Card Transaction 4163 07MAR25 WWW.OPTICAL.ORG LONDON GB</t>
  </si>
  <si>
    <t>OnLine Transaction CHIDO HOVE TRANSFER VIA MOBILE - PYMT FP 20/03/25 10 40123424947578000N</t>
  </si>
  <si>
    <t>OnLine Transaction LOCUMS LIMITED CHIDO ACCOUNTS VIA MOBILE - LVP FP 25/03/25 10 42142804176753000N</t>
  </si>
  <si>
    <t>Charges 28FEB A/C 41204042</t>
  </si>
  <si>
    <t>SA26</t>
  </si>
  <si>
    <t>OnLine Transaction CORP TAX C/NAULD I 475PA01701935 VIA MOBILE - LVP FP 21/04/25 10 49163139090067000N</t>
  </si>
  <si>
    <t>OnLine Transaction CHIDO HOVE TRANSFER VIA MOBILE - PYMT FP 21/04/25 10 56162850788982000N</t>
  </si>
  <si>
    <t>Charges 04APR A/C 41204042</t>
  </si>
  <si>
    <t>OnLine Transaction CHIDO HOVE INVEST VIA MOBILE - PYMT FP 12/05/25 10 16191319415739000N</t>
  </si>
  <si>
    <t>OnLine Transaction CHIDO HOVE TRANSFER VIA MOBILE - PYMT FP 24/05/25 10 55180824598970000N</t>
  </si>
  <si>
    <t>Charges 02MAY A/C 41204042</t>
  </si>
  <si>
    <t>OnLine Transaction CHIDO HOVE TRANSFER VIA MOBILE - PYMT FP 20/06/25 10 22104111522460000N</t>
  </si>
  <si>
    <t>Charges 30MAY A/C 41204042</t>
  </si>
  <si>
    <t>Card Transaction 4163 02JUL25 BKG*BOOKING.COM HOTEL (888)850-3958 GB</t>
  </si>
  <si>
    <t>OnLine Transaction CHIDO HOVE TRANSFER VIA MOBILE - PYMT FP 27/07/25 10 03103200170327000N</t>
  </si>
  <si>
    <t>OnLine Transaction CORP TAX C/NAULD I 4233420646A00108A VIA ONLINE - PYMT FP 30/07/25 10
46123438020999000N</t>
  </si>
  <si>
    <t>OnLine Transaction CORP TAX C/NAULD I 3239536995K VIA ONLINE - PYMT FP 30/07/25 10 38124113351313000N</t>
  </si>
  <si>
    <t>Charges 04JUL A/C 41204042</t>
  </si>
  <si>
    <t>OnLine Transaction LOCUMS LIMITED CHIDO ACCOUNTS VIA MOBILE - LVP FP 06/08/25 10 10175949113403000N</t>
  </si>
  <si>
    <t>Charges 01AUG A/C 41204042</t>
  </si>
  <si>
    <t>OnLine Transaction CHIDO HOVE TRANSFER VIA MOBILE - PYMT FP 03/09/25 10 50144347590671000N</t>
  </si>
  <si>
    <t>Charges 29AUG A/C 41204042</t>
  </si>
  <si>
    <t>OnLine Transaction CHIDO HOVE INVEST VIA MOBILE - PYMT FP 07/10/25 10 15115352324552000N</t>
  </si>
  <si>
    <t>OnLine Transaction CORP TAX C/NAULD I 475PA01701935 VIA MOBILE - LVP FP 15/10/25 10 28160920763999000N</t>
  </si>
  <si>
    <t>Card Transaction 4163 23OCT25 AOP LONDON GB</t>
  </si>
  <si>
    <t>Charges 03OCT A/C 41204042</t>
  </si>
  <si>
    <t>OnLine Transaction CHIDO HOVE TRANSFER VIA MOBILE - PYMT FP 03/11/25 10 02071755693054000N</t>
  </si>
  <si>
    <t>Automated Credit VISION EXPRESS UK RG50570002923525</t>
  </si>
  <si>
    <t>Automated Credit VISION EXPRESS UK RG50570003006225</t>
  </si>
  <si>
    <t>Card Transaction 4163 22NOV25 C TAMAR BRIDGE PLYMOUTH GB</t>
  </si>
  <si>
    <t>Card Transaction 4163 24NOV25 1STFORMATIO NS.CO.UK LONDON GB</t>
  </si>
  <si>
    <t>Card Transaction 4163 25NOV25 C TAMAR BRIDGE PLYMOUTH GB</t>
  </si>
  <si>
    <t>OnLine Transaction CHIDO HOVE TRANSFER VIA MOBILE - PYMT FP 27/11/25 10 03100635900703000N</t>
  </si>
  <si>
    <t>Automated Credit VISION EXPRESS UK RG50570003153125</t>
  </si>
  <si>
    <t>Charges 31OCT A/C 41204042</t>
  </si>
  <si>
    <t>Automated Credit BOOTS OPTICIANS PR 1003 2000048049 K</t>
  </si>
  <si>
    <t>Card Transaction 4163 29NOV25 C ADVENTURE BUDE LTD BUDE GB</t>
  </si>
  <si>
    <t>Card Transaction 4163 28NOV25 C TAMAR BRIDGE PLYMOUTH GB</t>
  </si>
  <si>
    <t>Automated Credit VISION EXPRESS UK RG50570003215725</t>
  </si>
  <si>
    <t>HMRC - maternity pay</t>
  </si>
  <si>
    <t>HMRC-SA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</si>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</sst>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yyyy\-mm\-dd\ h:mm:ss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1" fillId="0" borderId="0"/>
  </cellStyleXfs>
  <cellXfs count="17">
    <xf numFmtId="0" fontId="0" fillId="0" borderId="0" xfId="0"/>
    <xf numFmtId="43" fontId="0" fillId="0" borderId="0" xfId="1" applyFont="1"/>
    <xf numFmtId="0" fontId="2" fillId="0" borderId="0" xfId="0" applyFont="1"/>
    <xf numFmtId="0" fontId="0" fillId="0" borderId="0" xfId="0" applyAlignment="1">
      <alignment horizontal="left" vertical="top"/>
    </xf>
    <xf numFmtId="43" fontId="0" fillId="0" borderId="0" xfId="1" applyFont="1" applyAlignment="1">
      <alignment horizontal="left" vertical="top"/>
    </xf>
    <xf numFmtId="14" fontId="0" fillId="0" borderId="0" xfId="0" applyNumberFormat="1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 vertical="top"/>
    </xf>
    <xf numFmtId="43" fontId="2" fillId="0" borderId="0" xfId="1" applyFont="1"/>
    <xf numFmtId="43" fontId="0" fillId="0" borderId="1" xfId="1" applyFont="1" applyBorder="1" applyAlignment="1">
      <alignment horizontal="left" wrapText="1"/>
    </xf>
    <xf numFmtId="0" fontId="0" fillId="2" borderId="0" xfId="0" applyFill="1"/>
    <xf numFmtId="166" fontId="0" fillId="2" borderId="0" xfId="0" applyNumberFormat="1" applyFill="1"/>
    <xf numFmtId="43" fontId="0" fillId="2" borderId="0" xfId="1" applyFont="1" applyFill="1"/>
    <xf numFmtId="0" fontId="5" fillId="2" borderId="0" xfId="0" applyFont="1" applyFill="1"/>
    <xf numFmtId="0" fontId="0" fillId="2" borderId="0" xfId="0" applyFont="1" applyFill="1"/>
    <xf numFmtId="43" fontId="1" fillId="0" borderId="0" xfId="1"/>
  </cellXfs>
  <cellStyles count="2">
    <cellStyle name="Comma" xfId="1" builtinId="3"/>
    <cellStyle name="Normal" xfId="0" builtinId="0"/>
  </cellStyles>
  <dxfs count="12">
    <dxf>
      <fill>
        <patternFill patternType="solid">
          <bgColor theme="7" tint="0.3999755851924192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rgb="FF92D05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am" refreshedDate="46204.885641782414" createdVersion="6" refreshedVersion="6" minRefreshableVersion="3" recordCount="212" xr:uid="{00000000-000A-0000-FFFF-FFFF17000000}">
  <cacheSource type="worksheet">
    <worksheetSource ref="A1:L213" sheet="Raw 24"/>
  </cacheSource>
  <cacheFields count="12">
    <cacheField name="No" numFmtId="0">
      <sharedItems containsSemiMixedTypes="0" containsString="0" containsNumber="1" containsInteger="1" minValue="151" maxValue="362"/>
    </cacheField>
    <cacheField name="SA" numFmtId="0">
      <sharedItems/>
    </cacheField>
    <cacheField name="ACC" numFmtId="0">
      <sharedItems count="3">
        <s v="FY24"/>
        <s v="FY25"/>
        <s v="FY23" u="1"/>
      </sharedItems>
    </cacheField>
    <cacheField name="Date" numFmtId="14">
      <sharedItems containsSemiMixedTypes="0" containsNonDate="0" containsDate="1" containsString="0" minDate="2023-12-01T00:00:00" maxDate="2024-12-29T00:00:00"/>
    </cacheField>
    <cacheField name="Description" numFmtId="0">
      <sharedItems/>
    </cacheField>
    <cacheField name="Paid in" numFmtId="43">
      <sharedItems containsString="0" containsBlank="1" containsNumber="1" minValue="333" maxValue="5500"/>
    </cacheField>
    <cacheField name="Paid out" numFmtId="43">
      <sharedItems containsString="0" containsBlank="1" containsNumber="1" minValue="0.6" maxValue="8110.15"/>
    </cacheField>
    <cacheField name="Balance" numFmtId="43">
      <sharedItems containsSemiMixedTypes="0" containsString="0" containsNumber="1" minValue="8673.7099999999991" maxValue="26549.34"/>
    </cacheField>
    <cacheField name="NET" numFmtId="43">
      <sharedItems containsSemiMixedTypes="0" containsString="0" containsNumber="1" minValue="-8110.15" maxValue="5500"/>
    </cacheField>
    <cacheField name="Balance UC" numFmtId="43">
      <sharedItems/>
    </cacheField>
    <cacheField name="Check UC" numFmtId="43">
      <sharedItems/>
    </cacheField>
    <cacheField name="UC category" numFmtId="0">
      <sharedItems count="33">
        <s v="Income"/>
        <s v="Professional - College"/>
        <s v="Dividend"/>
        <s v="Toll"/>
        <s v="Trivial"/>
        <s v="Professional - AOP"/>
        <s v="Parking"/>
        <s v="Training"/>
        <s v="Professional Fee"/>
        <s v="Dinner"/>
        <s v="Hotel"/>
        <s v="Penalty"/>
        <s v="Equipment"/>
        <s v="Lunch"/>
        <s v="Subscription"/>
        <s v="Travel"/>
        <s v="Accountancy"/>
        <s v="HMRC-CT"/>
        <s v="Bank charges"/>
        <s v="HMRC-PAYE"/>
        <s v="DLA"/>
        <s v="Petrol" u="1"/>
        <s v="Parking?" u="1"/>
        <e v="#REF!" u="1"/>
        <s v="Equipment?" u="1"/>
        <s v="Insurance" u="1"/>
        <s v="Lunch?" u="1"/>
        <s v="Petrol?" u="1"/>
        <s v="Dividends" u="1"/>
        <s v="Unknown" u="1"/>
        <s v="Postage" u="1"/>
        <s v="Entertainment" u="1"/>
        <s v="Dividend?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2">
  <r>
    <n v="151"/>
    <s v="SA24"/>
    <x v="0"/>
    <d v="2023-12-01T00:00:00"/>
    <s v="Automated Credit ICONIC EYEWE KUOONA LIMITED COM  FP 30/11/23 1854  088430524581031101"/>
    <n v="1200"/>
    <m/>
    <n v="13590.3"/>
    <n v="1200"/>
    <e v="#REF!"/>
    <e v="#REF!"/>
    <x v="0"/>
  </r>
  <r>
    <n v="152"/>
    <s v="SA24"/>
    <x v="0"/>
    <d v="2023-12-01T00:00:00"/>
    <s v="Automated Credit BOOTS OPTICIANS PR 1003 2000004442  K"/>
    <n v="2500"/>
    <m/>
    <n v="16090.3"/>
    <n v="2500"/>
    <e v="#REF!"/>
    <e v="#REF!"/>
    <x v="0"/>
  </r>
  <r>
    <n v="153"/>
    <s v="SA24"/>
    <x v="0"/>
    <d v="2023-12-01T00:00:00"/>
    <s v="Direct Debit THE COLLEGE OF OPT  DD001773"/>
    <m/>
    <n v="25.42"/>
    <n v="16064.88"/>
    <n v="-25.42"/>
    <e v="#REF!"/>
    <e v="#REF!"/>
    <x v="1"/>
  </r>
  <r>
    <n v="154"/>
    <s v="SA24"/>
    <x v="0"/>
    <d v="2023-12-06T00:00:00"/>
    <s v="OnLine Transaction CHIDO HOVE In VIA MOBILE - LVP  FP 05/12/23 10  01224352238059000N"/>
    <m/>
    <n v="1000"/>
    <n v="15064.88"/>
    <n v="-1000"/>
    <e v="#REF!"/>
    <e v="#REF!"/>
    <x v="2"/>
  </r>
  <r>
    <n v="155"/>
    <s v="SA24"/>
    <x v="0"/>
    <d v="2023-12-07T00:00:00"/>
    <s v="Automated Credit VISION EXPRESS UK  200003317620"/>
    <n v="850"/>
    <m/>
    <n v="15914.88"/>
    <n v="850"/>
    <e v="#REF!"/>
    <e v="#REF!"/>
    <x v="0"/>
  </r>
  <r>
    <n v="156"/>
    <s v="SA24"/>
    <x v="0"/>
    <d v="2023-12-08T00:00:00"/>
    <s v="Automated Credit SPECSAVERS FINANCE SPECSAVERS  SEP_x000a_ COM"/>
    <n v="2400"/>
    <m/>
    <n v="18314.88"/>
    <n v="2400"/>
    <e v="#REF!"/>
    <e v="#REF!"/>
    <x v="0"/>
  </r>
  <r>
    <n v="157"/>
    <s v="SA24"/>
    <x v="0"/>
    <d v="2023-12-12T00:00:00"/>
    <s v="Automated Credit C HOVE CASH RETURN FP 11/12/23  2324_x000a_ 500000001255931510"/>
    <n v="500"/>
    <m/>
    <n v="18814.88"/>
    <n v="500"/>
    <e v="#REF!"/>
    <e v="#REF!"/>
    <x v="0"/>
  </r>
  <r>
    <n v="158"/>
    <s v="SA24"/>
    <x v="0"/>
    <d v="2023-12-12T00:00:00"/>
    <s v="OnLine Transaction CHIDO HOVE INVEST VIA ONLINE - PYMT FP 11/12/23 10  36224100239120000N"/>
    <m/>
    <n v="5000"/>
    <n v="13814.88"/>
    <n v="-5000"/>
    <e v="#REF!"/>
    <e v="#REF!"/>
    <x v="2"/>
  </r>
  <r>
    <n v="159"/>
    <s v="SA24"/>
    <x v="0"/>
    <d v="2023-12-20T00:00:00"/>
    <s v="Card Transaction 4163 19DEC23 C TAMAR BRIDGE PLYMOUTH GB"/>
    <m/>
    <n v="2.6"/>
    <n v="13812.28"/>
    <n v="-2.6"/>
    <e v="#REF!"/>
    <e v="#REF!"/>
    <x v="3"/>
  </r>
  <r>
    <n v="160"/>
    <s v="SA24"/>
    <x v="0"/>
    <d v="2024-12-27T00:00:00"/>
    <s v="OnLine Transaction CHIDO HOVE INVEST VIA MOBILE - PYMT FP 26/12/23 10 52121347307951000N"/>
    <m/>
    <n v="1000"/>
    <n v="12812.28"/>
    <n v="-1000"/>
    <e v="#REF!"/>
    <e v="#REF!"/>
    <x v="2"/>
  </r>
  <r>
    <n v="161"/>
    <s v="SA24"/>
    <x v="0"/>
    <d v="2024-12-28T00:00:00"/>
    <s v="OnLine Transaction CHIDO HOVE TRANSFER VIA MOBILE - PYMT FP 28/12/23 10 30071348133982000N"/>
    <m/>
    <n v="1000"/>
    <n v="11812.28"/>
    <n v="-1000"/>
    <e v="#REF!"/>
    <e v="#REF!"/>
    <x v="2"/>
  </r>
  <r>
    <n v="162"/>
    <s v="SA24"/>
    <x v="0"/>
    <d v="2024-01-02T00:00:00"/>
    <s v="OnLine Transaction CHIDO HOVE TRANSFER VIA MOBILE - PYMT FP 01/01/24 10 47215400526440000N"/>
    <m/>
    <n v="1000"/>
    <n v="10812.28"/>
    <n v="-1000"/>
    <e v="#REF!"/>
    <e v="#REF!"/>
    <x v="2"/>
  </r>
  <r>
    <n v="163"/>
    <s v="SA24"/>
    <x v="0"/>
    <d v="2024-01-02T00:00:00"/>
    <s v="OnLine Transaction CHIDO HOVE TRANSFER VIA MOBILE - PYMT FP 30/12/23 10 59132623308479000N"/>
    <m/>
    <n v="1000"/>
    <n v="9812.280000000001"/>
    <n v="-1000"/>
    <e v="#REF!"/>
    <e v="#REF!"/>
    <x v="2"/>
  </r>
  <r>
    <n v="164"/>
    <s v="SA24"/>
    <x v="0"/>
    <d v="2024-01-02T00:00:00"/>
    <s v="Card Transaction 4163 30DEC23 C TESCO-STORES-6106 CALLINGTON GB"/>
    <m/>
    <n v="30.7"/>
    <n v="9781.58"/>
    <n v="-30.7"/>
    <e v="#REF!"/>
    <e v="#REF!"/>
    <x v="4"/>
  </r>
  <r>
    <n v="165"/>
    <s v="SA24"/>
    <x v="0"/>
    <d v="2024-01-02T00:00:00"/>
    <s v="Direct Debit THE COLLEGE OF OPT DD001773"/>
    <m/>
    <n v="25.42"/>
    <n v="9756.16"/>
    <n v="-25.42"/>
    <e v="#REF!"/>
    <e v="#REF!"/>
    <x v="1"/>
  </r>
  <r>
    <n v="166"/>
    <s v="SA24"/>
    <x v="0"/>
    <d v="2024-01-02T00:00:00"/>
    <s v="Direct Debit ASSOC OPTOMETRISTS 0000070593"/>
    <m/>
    <n v="72"/>
    <n v="9684.16"/>
    <n v="-72"/>
    <e v="#REF!"/>
    <e v="#REF!"/>
    <x v="5"/>
  </r>
  <r>
    <n v="167"/>
    <s v="SA24"/>
    <x v="0"/>
    <d v="2024-01-05T00:00:00"/>
    <s v="Automated Credit SPECSAVERS FINANCE SPECSAVERS SEP COM"/>
    <n v="1600"/>
    <m/>
    <n v="11284.16"/>
    <n v="1600"/>
    <e v="#REF!"/>
    <e v="#REF!"/>
    <x v="0"/>
  </r>
  <r>
    <n v="168"/>
    <s v="SA24"/>
    <x v="0"/>
    <d v="2024-01-10T00:00:00"/>
    <s v="Automated Credit SPECSAVERS FINANCE SPECSAVERS SEP COM"/>
    <n v="2500"/>
    <m/>
    <n v="13784.16"/>
    <n v="2500"/>
    <e v="#REF!"/>
    <e v="#REF!"/>
    <x v="0"/>
  </r>
  <r>
    <n v="169"/>
    <s v="SA24"/>
    <x v="0"/>
    <d v="2024-01-10T00:00:00"/>
    <s v="Card Transaction 4163 09JAN24 C TAMAR BRIDGE PLYMOUTH GB"/>
    <m/>
    <n v="2.6"/>
    <n v="13781.56"/>
    <n v="-2.6"/>
    <e v="#REF!"/>
    <e v="#REF!"/>
    <x v="3"/>
  </r>
  <r>
    <n v="170"/>
    <s v="SA24"/>
    <x v="0"/>
    <d v="2024-01-12T00:00:00"/>
    <s v="Automated Credit LOCUM MATCH LIMITE ASDA PAYMENT FP 12/01/24 0232 05023128353259000J ASDA PAYMENT"/>
    <n v="1760"/>
    <m/>
    <n v="15541.56"/>
    <n v="1760"/>
    <e v="#REF!"/>
    <e v="#REF!"/>
    <x v="0"/>
  </r>
  <r>
    <n v="171"/>
    <s v="SA24"/>
    <x v="0"/>
    <d v="2024-01-12T00:00:00"/>
    <s v="Card Transaction 4163 11JAN24 C TAMAR BRIDGE PLYMOUTH GB"/>
    <m/>
    <n v="2.6"/>
    <n v="15538.96"/>
    <n v="-2.6"/>
    <e v="#REF!"/>
    <e v="#REF!"/>
    <x v="3"/>
  </r>
  <r>
    <n v="172"/>
    <s v="SA24"/>
    <x v="0"/>
    <d v="2024-01-15T00:00:00"/>
    <s v="OnLine Transaction CHIDO HOVE TRANSFER VIA MOBILE -"/>
    <m/>
    <n v="1000"/>
    <n v="14538.96"/>
    <n v="-1000"/>
    <e v="#REF!"/>
    <e v="#REF!"/>
    <x v="2"/>
  </r>
  <r>
    <n v="173"/>
    <s v="SA24"/>
    <x v="0"/>
    <d v="2024-01-15T00:00:00"/>
    <s v="Card Transaction 4163 13JAN24 C TESCO-STORES-6106"/>
    <m/>
    <n v="22.02"/>
    <n v="14516.94"/>
    <n v="-22.02"/>
    <e v="#REF!"/>
    <e v="#REF!"/>
    <x v="4"/>
  </r>
  <r>
    <n v="174"/>
    <s v="SA24"/>
    <x v="0"/>
    <d v="2024-01-19T00:00:00"/>
    <s v="Automated Credit LOCUM MATCH LIMITE ASDA PAYMENT"/>
    <n v="440"/>
    <m/>
    <n v="14956.94"/>
    <n v="440"/>
    <e v="#REF!"/>
    <e v="#REF!"/>
    <x v="0"/>
  </r>
  <r>
    <n v="175"/>
    <s v="SA24"/>
    <x v="0"/>
    <d v="2024-01-19T00:00:00"/>
    <s v="Automated Credit SPECSAVERS FINANCE SPECSAVERS SEP"/>
    <n v="1500"/>
    <m/>
    <n v="16456.94"/>
    <n v="1500"/>
    <e v="#REF!"/>
    <e v="#REF!"/>
    <x v="0"/>
  </r>
  <r>
    <n v="176"/>
    <s v="SA24"/>
    <x v="0"/>
    <d v="2024-01-23T00:00:00"/>
    <s v="Card Transaction 4163 22JAN24 C TAMAR BRIDGE PLYMOUTH GB"/>
    <m/>
    <n v="2.6"/>
    <n v="16454.34"/>
    <n v="-2.6"/>
    <e v="#REF!"/>
    <e v="#REF!"/>
    <x v="3"/>
  </r>
  <r>
    <n v="177"/>
    <s v="SA24"/>
    <x v="0"/>
    <d v="2024-01-24T00:00:00"/>
    <s v="Card Transaction 4163 22JAN24 HTTPS://WWW .PLYMOUTH.G 01752668000 GB"/>
    <m/>
    <n v="2.8"/>
    <n v="16451.54"/>
    <n v="-2.8"/>
    <e v="#REF!"/>
    <e v="#REF!"/>
    <x v="6"/>
  </r>
  <r>
    <n v="178"/>
    <s v="SA24"/>
    <x v="0"/>
    <d v="2024-01-24T00:00:00"/>
    <s v="Automated Credit SPECSAVERS FINANCE SPECSAVERS SEP COM"/>
    <n v="399.97"/>
    <m/>
    <n v="16851.51"/>
    <n v="399.97"/>
    <e v="#REF!"/>
    <e v="#REF!"/>
    <x v="0"/>
  </r>
  <r>
    <n v="179"/>
    <s v="SA24"/>
    <x v="0"/>
    <d v="2024-01-25T00:00:00"/>
    <s v="Card Transaction 4163 23JAN24 C TAMAR BRIDGE PLYMOUTH GB"/>
    <m/>
    <n v="2.6"/>
    <n v="16848.91"/>
    <n v="-2.6"/>
    <e v="#REF!"/>
    <e v="#REF!"/>
    <x v="3"/>
  </r>
  <r>
    <n v="180"/>
    <s v="SA24"/>
    <x v="0"/>
    <d v="2024-01-25T00:00:00"/>
    <s v="Card Transaction 4163 23JAN24 C TAMAR BRIDGE PLYMOUTH GB"/>
    <m/>
    <n v="2.6"/>
    <n v="16846.31"/>
    <n v="-2.6"/>
    <e v="#REF!"/>
    <e v="#REF!"/>
    <x v="3"/>
  </r>
  <r>
    <n v="181"/>
    <s v="SA24"/>
    <x v="0"/>
    <d v="2024-01-29T00:00:00"/>
    <s v="Automated Credit ICONIC EYEWE KUOONA LIMITED COM FP 27/01/24 1359 507114009531721001"/>
    <n v="400"/>
    <m/>
    <n v="17246.31"/>
    <n v="400"/>
    <e v="#REF!"/>
    <e v="#REF!"/>
    <x v="0"/>
  </r>
  <r>
    <n v="182"/>
    <s v="SA24"/>
    <x v="0"/>
    <d v="2024-01-29T00:00:00"/>
    <s v="OnLine Transaction CHIDO HOVE TRANSFER VIA MOBILE - PYMT FP 29/01/24 10 41083427398667000N"/>
    <m/>
    <n v="1000"/>
    <n v="16246.31"/>
    <n v="-1000"/>
    <e v="#REF!"/>
    <e v="#REF!"/>
    <x v="2"/>
  </r>
  <r>
    <n v="183"/>
    <s v="SA24"/>
    <x v="0"/>
    <d v="2024-01-31T00:00:00"/>
    <s v="Automated Credit SPECSAVERS FINANCE SPECSAVERS SEP COM"/>
    <n v="2000"/>
    <m/>
    <n v="18246.31"/>
    <n v="2000"/>
    <e v="#REF!"/>
    <e v="#REF!"/>
    <x v="0"/>
  </r>
  <r>
    <n v="184"/>
    <s v="SA24"/>
    <x v="0"/>
    <d v="2024-02-01T00:00:00"/>
    <s v="Direct Debit THE COLLEGE OF OPT DD00177"/>
    <m/>
    <n v="25.42"/>
    <n v="18220.89"/>
    <n v="-25.42"/>
    <e v="#REF!"/>
    <e v="#REF!"/>
    <x v="1"/>
  </r>
  <r>
    <n v="185"/>
    <s v="SA24"/>
    <x v="0"/>
    <d v="2024-02-01T00:00:00"/>
    <s v="Direct Debit ASSOC OPTOMETRISTS 0000070593"/>
    <m/>
    <n v="72"/>
    <n v="18148.89"/>
    <n v="-72"/>
    <e v="#REF!"/>
    <e v="#REF!"/>
    <x v="5"/>
  </r>
  <r>
    <n v="186"/>
    <s v="SA24"/>
    <x v="0"/>
    <d v="2024-02-02T00:00:00"/>
    <s v="Automated Credit LOCUM PAYROL LTD ASDA FP 02/02/24 0427 MF06680E05C8E5B000"/>
    <n v="880"/>
    <m/>
    <n v="19028.89"/>
    <n v="880"/>
    <e v="#REF!"/>
    <e v="#REF!"/>
    <x v="0"/>
  </r>
  <r>
    <n v="187"/>
    <s v="SA24"/>
    <x v="0"/>
    <d v="2024-02-02T00:00:00"/>
    <s v="OnLine Transaction CHIDO HOVE TRANSFER VIA ONLINE - PYMT FP 01/02/24 10 60200431240120000N"/>
    <m/>
    <n v="3000"/>
    <n v="16028.89"/>
    <n v="-3000"/>
    <e v="#REF!"/>
    <e v="#REF!"/>
    <x v="2"/>
  </r>
  <r>
    <n v="188"/>
    <s v="SA24"/>
    <x v="0"/>
    <d v="2024-02-02T00:00:00"/>
    <s v="Card Transaction 4163 01FEB24 C TAMAR BRIDGE PLYMOUTH GB"/>
    <m/>
    <n v="2.6"/>
    <n v="16026.29"/>
    <n v="-2.6"/>
    <e v="#REF!"/>
    <e v="#REF!"/>
    <x v="3"/>
  </r>
  <r>
    <n v="189"/>
    <s v="SA24"/>
    <x v="0"/>
    <d v="2024-02-08T00:00:00"/>
    <s v="Card Transaction 4163 01FEB24 C TAMAR BRIDGE PLYMOUTH GB"/>
    <m/>
    <n v="2.6"/>
    <n v="16023.69"/>
    <n v="-2.6"/>
    <e v="#REF!"/>
    <e v="#REF!"/>
    <x v="3"/>
  </r>
  <r>
    <n v="190"/>
    <s v="SA24"/>
    <x v="0"/>
    <d v="2024-02-09T00:00:00"/>
    <s v="Automated Credit LOCUM PAYROL LTD ASDA FP 09/02/24 0426 MF06310E05D0FD1C00"/>
    <n v="880"/>
    <m/>
    <n v="16903.69"/>
    <n v="880"/>
    <e v="#REF!"/>
    <e v="#REF!"/>
    <x v="0"/>
  </r>
  <r>
    <n v="191"/>
    <s v="SA24"/>
    <x v="0"/>
    <d v="2024-02-15T00:00:00"/>
    <s v="Automated Credit BOOTS OPTICIANS PR 1003 2000007863 K"/>
    <n v="450"/>
    <m/>
    <n v="17353.69"/>
    <n v="450"/>
    <e v="#REF!"/>
    <e v="#REF!"/>
    <x v="0"/>
  </r>
  <r>
    <n v="192"/>
    <s v="SA24"/>
    <x v="0"/>
    <d v="2024-02-19T00:00:00"/>
    <s v="OnLine Transaction CHIDO HOVE TRANSFER VIA MOBILE - PYMT FP 18/02/24 10 02024505456541000N"/>
    <m/>
    <n v="120"/>
    <n v="17233.69"/>
    <n v="-120"/>
    <e v="#REF!"/>
    <e v="#REF!"/>
    <x v="2"/>
  </r>
  <r>
    <n v="193"/>
    <s v="SA24"/>
    <x v="0"/>
    <d v="2024-02-19T00:00:00"/>
    <s v="Card Transaction 4163 16FEB24 C TAMAR BRIDGE PLYMOUTH GB"/>
    <m/>
    <n v="2.6"/>
    <n v="17231.09"/>
    <n v="-2.6"/>
    <e v="#REF!"/>
    <e v="#REF!"/>
    <x v="3"/>
  </r>
  <r>
    <n v="194"/>
    <s v="SA24"/>
    <x v="0"/>
    <d v="2024-02-20T00:00:00"/>
    <s v="OnLine Transaction CHIDO HOVE TRANSFER VIA MOBILE - PYMT FP 20/02/24 10 60130231717931000N"/>
    <m/>
    <n v="5000"/>
    <n v="12231.09"/>
    <n v="-5000"/>
    <e v="#REF!"/>
    <e v="#REF!"/>
    <x v="2"/>
  </r>
  <r>
    <n v="195"/>
    <s v="SA24"/>
    <x v="0"/>
    <d v="2024-02-23T00:00:00"/>
    <s v="Automated Credit SPECSAVERS FINANCE SPECSAVERS SEP COM"/>
    <n v="5500"/>
    <m/>
    <n v="17731.09"/>
    <n v="5500"/>
    <e v="#REF!"/>
    <e v="#REF!"/>
    <x v="0"/>
  </r>
  <r>
    <n v="196"/>
    <s v="SA24"/>
    <x v="0"/>
    <d v="2024-02-23T00:00:00"/>
    <s v="Card Transaction 4163 22FEB24 C TAMAR BRIDGE PLYMOUTH GB"/>
    <m/>
    <n v="2.6"/>
    <n v="17728.49"/>
    <n v="-2.6"/>
    <e v="#REF!"/>
    <e v="#REF!"/>
    <x v="3"/>
  </r>
  <r>
    <n v="197"/>
    <s v="SA24"/>
    <x v="0"/>
    <d v="2024-02-29T00:00:00"/>
    <s v="Card Transaction 4163 28FEB24 C TAMAR BRIDGE PLYMOUTH GB"/>
    <m/>
    <n v="2.6"/>
    <n v="17725.89"/>
    <n v="-2.6"/>
    <e v="#REF!"/>
    <e v="#REF!"/>
    <x v="3"/>
  </r>
  <r>
    <n v="198"/>
    <s v="SA24"/>
    <x v="0"/>
    <d v="2024-03-01T00:00:00"/>
    <s v="Automated Credit SCRIVENS LTD"/>
    <n v="495"/>
    <m/>
    <n v="18220.89"/>
    <n v="495"/>
    <e v="#REF!"/>
    <e v="#REF!"/>
    <x v="0"/>
  </r>
  <r>
    <n v="199"/>
    <s v="SA24"/>
    <x v="0"/>
    <d v="2024-03-01T00:00:00"/>
    <s v="Automated Credit SPECSAVERS FINANCE SPECSAVERS SEP COM"/>
    <n v="2500"/>
    <m/>
    <n v="20720.89"/>
    <n v="2500"/>
    <e v="#REF!"/>
    <e v="#REF!"/>
    <x v="0"/>
  </r>
  <r>
    <n v="200"/>
    <s v="SA24"/>
    <x v="0"/>
    <d v="2024-03-01T00:00:00"/>
    <s v="Automated Credit BOOTS OPTICIANS PR 1003 2000008641 K"/>
    <n v="425"/>
    <m/>
    <n v="21145.89"/>
    <n v="425"/>
    <e v="#REF!"/>
    <e v="#REF!"/>
    <x v="0"/>
  </r>
  <r>
    <n v="201"/>
    <s v="SA24"/>
    <x v="0"/>
    <d v="2024-03-01T00:00:00"/>
    <s v="Card Transaction 4163 29FEB24 C TAMAR BRIDGE PLYMOUTH GB"/>
    <m/>
    <n v="2.6"/>
    <n v="21143.29"/>
    <n v="-2.6"/>
    <e v="#REF!"/>
    <e v="#REF!"/>
    <x v="3"/>
  </r>
  <r>
    <n v="202"/>
    <s v="SA24"/>
    <x v="0"/>
    <d v="2024-03-01T00:00:00"/>
    <s v="Direct Debit THE COLLEGE OF OPT DD001773"/>
    <m/>
    <n v="25.42"/>
    <n v="21117.87"/>
    <n v="-25.42"/>
    <e v="#REF!"/>
    <e v="#REF!"/>
    <x v="1"/>
  </r>
  <r>
    <n v="203"/>
    <s v="SA24"/>
    <x v="0"/>
    <d v="2024-03-01T00:00:00"/>
    <s v="Direct Debit ASSOC OPTOMETRISTS 0000070593"/>
    <m/>
    <n v="72"/>
    <n v="21045.87"/>
    <n v="-72"/>
    <e v="#REF!"/>
    <e v="#REF!"/>
    <x v="5"/>
  </r>
  <r>
    <n v="204"/>
    <s v="SA24"/>
    <x v="0"/>
    <d v="2024-03-05T00:00:00"/>
    <s v="Card Transaction 4163 04MAR24 EB *DEVON LOC STUDY DA 801-413-7200 GB"/>
    <m/>
    <n v="35"/>
    <n v="21010.87"/>
    <n v="-35"/>
    <e v="#REF!"/>
    <e v="#REF!"/>
    <x v="7"/>
  </r>
  <r>
    <n v="205"/>
    <s v="SA24"/>
    <x v="0"/>
    <d v="2024-03-05T00:00:00"/>
    <s v="Card Transaction 4163 04MAR24 WWW.OPTICAL.ORG LONDON GB"/>
    <m/>
    <n v="405"/>
    <n v="20605.87"/>
    <n v="-405"/>
    <e v="#REF!"/>
    <e v="#REF!"/>
    <x v="8"/>
  </r>
  <r>
    <n v="206"/>
    <s v="SA24"/>
    <x v="0"/>
    <d v="2024-03-06T00:00:00"/>
    <s v="Automated Credit SPECSAVERS FINANCE SPECSAVERS SEP COM"/>
    <n v="1000"/>
    <m/>
    <n v="21605.87"/>
    <n v="1000"/>
    <e v="#REF!"/>
    <e v="#REF!"/>
    <x v="0"/>
  </r>
  <r>
    <n v="207"/>
    <s v="SA24"/>
    <x v="0"/>
    <d v="2024-03-13T00:00:00"/>
    <s v="Card Transaction 4163 12MAR24 C TAMAR BRIDGE PLYMOUTH GB"/>
    <m/>
    <n v="2.6"/>
    <n v="21603.27"/>
    <n v="-2.6"/>
    <e v="#REF!"/>
    <e v="#REF!"/>
    <x v="3"/>
  </r>
  <r>
    <n v="208"/>
    <s v="SA24"/>
    <x v="0"/>
    <d v="2024-03-14T00:00:00"/>
    <s v="Automated Credit SPECSAVERS FINANCE SPECSAVERS SEP COM"/>
    <n v="800"/>
    <m/>
    <n v="22403.27"/>
    <n v="800"/>
    <e v="#REF!"/>
    <e v="#REF!"/>
    <x v="0"/>
  </r>
  <r>
    <n v="209"/>
    <s v="SA24"/>
    <x v="0"/>
    <d v="2024-03-14T00:00:00"/>
    <s v="Card Transaction 4163 13MAR24 C TAMAR BRIDGE PLYMOUTH GB"/>
    <m/>
    <n v="2.6"/>
    <n v="22400.67"/>
    <n v="-2.6"/>
    <e v="#REF!"/>
    <e v="#REF!"/>
    <x v="3"/>
  </r>
  <r>
    <n v="210"/>
    <s v="SA24"/>
    <x v="0"/>
    <d v="2024-03-15T00:00:00"/>
    <s v="Automated Credit LOCUM PAYROL LTD ASDA FP 15/03/24 0443 MF074714400E1B3D00"/>
    <n v="2200"/>
    <m/>
    <n v="24600.67"/>
    <n v="2200"/>
    <e v="#REF!"/>
    <e v="#REF!"/>
    <x v="0"/>
  </r>
  <r>
    <n v="211"/>
    <s v="SA24"/>
    <x v="0"/>
    <d v="2024-03-15T00:00:00"/>
    <s v="OnLine Transaction CHIDO HOVE TRANSFER VIA MOBILE - PYMT FP 15/03/24 10 29161216081850000N"/>
    <m/>
    <n v="300"/>
    <n v="24300.67"/>
    <n v="-300"/>
    <e v="#REF!"/>
    <e v="#REF!"/>
    <x v="2"/>
  </r>
  <r>
    <n v="212"/>
    <s v="SA24"/>
    <x v="0"/>
    <d v="2024-03-15T00:00:00"/>
    <s v="Card Transaction 4163 14MAR24 C TAMAR BRIDGE PLYMOUTH GB"/>
    <m/>
    <n v="2.6"/>
    <n v="24298.07"/>
    <n v="-2.6"/>
    <e v="#REF!"/>
    <e v="#REF!"/>
    <x v="3"/>
  </r>
  <r>
    <n v="213"/>
    <s v="SA24"/>
    <x v="0"/>
    <d v="2024-03-18T00:00:00"/>
    <s v="Card Transaction 4163 15MAR24 EURO CAR PARKS LTD LONDON GB"/>
    <m/>
    <n v="50"/>
    <n v="24248.07"/>
    <n v="-50"/>
    <e v="#REF!"/>
    <e v="#REF!"/>
    <x v="6"/>
  </r>
  <r>
    <n v="214"/>
    <s v="SA24"/>
    <x v="0"/>
    <d v="2024-03-19T00:00:00"/>
    <s v="OnLine Transaction CHIDO HOVE TRANSFER VIA MOBILE - PYMT FP 19/03/24 10 55152550137006000N"/>
    <m/>
    <n v="4500"/>
    <n v="19748.07"/>
    <n v="-4500"/>
    <e v="#REF!"/>
    <e v="#REF!"/>
    <x v="2"/>
  </r>
  <r>
    <n v="215"/>
    <s v="SA24"/>
    <x v="0"/>
    <d v="2024-03-19T00:00:00"/>
    <s v="Card Transaction 4163 18MAR24 C COSTERO LOUNGE PAIGNTON GB"/>
    <m/>
    <n v="16.3"/>
    <n v="19731.77"/>
    <n v="-16.3"/>
    <e v="#REF!"/>
    <e v="#REF!"/>
    <x v="9"/>
  </r>
  <r>
    <n v="216"/>
    <s v="SA24"/>
    <x v="0"/>
    <d v="2024-03-19T00:00:00"/>
    <s v="Card Transaction 4163 18MAR24 C TAMAR BRIDGE PLYMOUTH GB"/>
    <m/>
    <n v="2.6"/>
    <n v="19729.17"/>
    <n v="-2.6"/>
    <e v="#REF!"/>
    <e v="#REF!"/>
    <x v="3"/>
  </r>
  <r>
    <n v="217"/>
    <s v="SA24"/>
    <x v="0"/>
    <d v="2024-03-27T00:00:00"/>
    <s v="Automated Credit SPECSAVERS FINANCE SPECSAVERS SEP COM"/>
    <n v="2250"/>
    <m/>
    <n v="21979.17"/>
    <n v="2250"/>
    <e v="#REF!"/>
    <e v="#REF!"/>
    <x v="0"/>
  </r>
  <r>
    <n v="218"/>
    <s v="SA24"/>
    <x v="0"/>
    <d v="2024-03-27T00:00:00"/>
    <s v="Card Transaction 4163 26MAR24 PLYMOUTH CITY COUN PLYMOUTH GB"/>
    <m/>
    <n v="25"/>
    <n v="21954.17"/>
    <n v="-25"/>
    <e v="#REF!"/>
    <e v="#REF!"/>
    <x v="6"/>
  </r>
  <r>
    <n v="219"/>
    <s v="SA24"/>
    <x v="0"/>
    <d v="2024-04-02T00:00:00"/>
    <s v="Automated Credit LOCUM PAYROL LTD ASDA FP 29/03/24 0324 MF06941440227AC400"/>
    <n v="440"/>
    <m/>
    <n v="22394.17"/>
    <n v="440"/>
    <e v="#REF!"/>
    <e v="#REF!"/>
    <x v="0"/>
  </r>
  <r>
    <n v="220"/>
    <s v="SA24"/>
    <x v="0"/>
    <d v="2024-04-02T00:00:00"/>
    <s v="Automated Credit BOOTS OPTICIANS PR 1003 2000010225 K"/>
    <n v="1350"/>
    <m/>
    <n v="23744.17"/>
    <n v="1350"/>
    <e v="#REF!"/>
    <e v="#REF!"/>
    <x v="0"/>
  </r>
  <r>
    <n v="221"/>
    <s v="SA24"/>
    <x v="0"/>
    <d v="2024-04-02T00:00:00"/>
    <s v="Card Transaction 4163 01APR24 C IBIS STYLE HOTEL PAIGNTON GB"/>
    <m/>
    <n v="16"/>
    <n v="23728.17"/>
    <n v="-16"/>
    <e v="#REF!"/>
    <e v="#REF!"/>
    <x v="10"/>
  </r>
  <r>
    <n v="222"/>
    <s v="SA24"/>
    <x v="0"/>
    <d v="2024-04-02T00:00:00"/>
    <s v="Card Transaction 4163 01APR24 C TAMAR BRIDGE PLYMOUTH GB"/>
    <m/>
    <n v="2.6"/>
    <n v="23725.57"/>
    <n v="-2.6"/>
    <e v="#REF!"/>
    <e v="#REF!"/>
    <x v="3"/>
  </r>
  <r>
    <n v="223"/>
    <s v="SA24"/>
    <x v="0"/>
    <d v="2024-04-02T00:00:00"/>
    <s v="Card Transaction 4163 30MAR24 TORBAY COUNCIL - WEB TORQUAY GB"/>
    <m/>
    <n v="25"/>
    <n v="23700.57"/>
    <n v="-25"/>
    <e v="#REF!"/>
    <e v="#REF!"/>
    <x v="11"/>
  </r>
  <r>
    <n v="224"/>
    <s v="SA24"/>
    <x v="0"/>
    <d v="2024-04-02T00:00:00"/>
    <s v="Card Transaction 4163 29MAR24 ALIEXPRESS.COM LONDON GB"/>
    <m/>
    <n v="30.46"/>
    <n v="23670.11"/>
    <n v="-30.46"/>
    <e v="#REF!"/>
    <e v="#REF!"/>
    <x v="12"/>
  </r>
  <r>
    <n v="225"/>
    <s v="SA24"/>
    <x v="0"/>
    <d v="2024-04-02T00:00:00"/>
    <s v="Card Transaction 4163 29MAR24 BIRMINGHAM OPTICAL BIRMINGHAM GB"/>
    <m/>
    <n v="132"/>
    <n v="23538.11"/>
    <n v="-132"/>
    <e v="#REF!"/>
    <e v="#REF!"/>
    <x v="12"/>
  </r>
  <r>
    <n v="226"/>
    <s v="SA24"/>
    <x v="0"/>
    <d v="2024-04-02T00:00:00"/>
    <s v="Direct Debit THE COLLEGE OF OPT DD001773"/>
    <m/>
    <n v="25.42"/>
    <n v="23512.69"/>
    <n v="-25.42"/>
    <e v="#REF!"/>
    <e v="#REF!"/>
    <x v="1"/>
  </r>
  <r>
    <n v="227"/>
    <s v="SA24"/>
    <x v="0"/>
    <d v="2024-04-03T00:00:00"/>
    <s v="Card Transaction 4163 02APR24 C TESCO-STORES 4898 PAIGNTON GB"/>
    <m/>
    <n v="3"/>
    <n v="23509.69"/>
    <n v="-3"/>
    <e v="#REF!"/>
    <e v="#REF!"/>
    <x v="13"/>
  </r>
  <r>
    <n v="228"/>
    <s v="SA24"/>
    <x v="0"/>
    <d v="2024-04-03T00:00:00"/>
    <s v="Card Transaction 4163 01APR24 IBIS STYLES HOTEL PAIG PAIGNTON GB"/>
    <m/>
    <n v="70.89"/>
    <n v="23438.8"/>
    <n v="-70.89"/>
    <e v="#REF!"/>
    <e v="#REF!"/>
    <x v="10"/>
  </r>
  <r>
    <n v="229"/>
    <s v="SA24"/>
    <x v="0"/>
    <d v="2024-04-03T00:00:00"/>
    <s v="Direct Debit ASSOC OPTOMETRISTS 0000070593"/>
    <m/>
    <n v="72"/>
    <n v="23366.8"/>
    <n v="-72"/>
    <e v="#REF!"/>
    <e v="#REF!"/>
    <x v="5"/>
  </r>
  <r>
    <n v="230"/>
    <s v="SA24"/>
    <x v="0"/>
    <d v="2024-04-04T00:00:00"/>
    <s v="Card Transaction 4163 03APR24 C CORNWALL COUNCIL - MO TRURO GB"/>
    <m/>
    <n v="10.5"/>
    <n v="23356.3"/>
    <n v="-10.5"/>
    <e v="#REF!"/>
    <e v="#REF!"/>
    <x v="6"/>
  </r>
  <r>
    <n v="231"/>
    <s v="SA24"/>
    <x v="0"/>
    <d v="2024-04-05T00:00:00"/>
    <s v="Automated Credit SPECSAVERS FINANCE SPECSAVERS SEP COM"/>
    <n v="800"/>
    <m/>
    <n v="24156.3"/>
    <n v="800"/>
    <e v="#REF!"/>
    <e v="#REF!"/>
    <x v="0"/>
  </r>
  <r>
    <n v="232"/>
    <s v="SA24"/>
    <x v="0"/>
    <d v="2024-04-05T00:00:00"/>
    <s v="Card Transaction 4163 04APR24 C TAMAR BRIDGE PLYMOUTH GB"/>
    <m/>
    <n v="2.6"/>
    <n v="24153.7"/>
    <n v="-2.6"/>
    <e v="#REF!"/>
    <e v="#REF!"/>
    <x v="3"/>
  </r>
  <r>
    <n v="233"/>
    <s v="SA25"/>
    <x v="0"/>
    <d v="2024-04-08T00:00:00"/>
    <s v="OnLine Transaction CHIDO HOVE INVEST VIA MOBILE - PYMT FP 08/04/24 10 51130224856545000N"/>
    <m/>
    <n v="1500"/>
    <n v="22653.7"/>
    <n v="-1500"/>
    <e v="#REF!"/>
    <e v="#REF!"/>
    <x v="2"/>
  </r>
  <r>
    <n v="234"/>
    <s v="SA25"/>
    <x v="0"/>
    <d v="2024-04-08T00:00:00"/>
    <s v="OnLine Transaction CHIDO HOVE TRANSFER VIA MOBILE - PYMT FP 08/04/24 10 43130253344082000N"/>
    <m/>
    <n v="3500"/>
    <n v="19153.7"/>
    <n v="-3500"/>
    <e v="#REF!"/>
    <e v="#REF!"/>
    <x v="2"/>
  </r>
  <r>
    <n v="235"/>
    <s v="SA25"/>
    <x v="0"/>
    <d v="2024-04-08T00:00:00"/>
    <s v="Card Transaction 4163 05APR24 C CORNWALL COUNCIL - MO TRURO GB"/>
    <m/>
    <n v="10.5"/>
    <n v="19143.2"/>
    <n v="-10.5"/>
    <e v="#REF!"/>
    <e v="#REF!"/>
    <x v="6"/>
  </r>
  <r>
    <n v="236"/>
    <s v="SA25"/>
    <x v="0"/>
    <d v="2024-04-09T00:00:00"/>
    <s v="Card Transaction 4163 08APR24 C TAMAR BRIDGE PLYMOUTH GB"/>
    <m/>
    <n v="2.6"/>
    <n v="19140.6"/>
    <n v="-2.6"/>
    <e v="#REF!"/>
    <e v="#REF!"/>
    <x v="3"/>
  </r>
  <r>
    <n v="237"/>
    <s v="SA25"/>
    <x v="0"/>
    <d v="2024-04-10T00:00:00"/>
    <s v="Card Transaction 4163 09APR24 C CORNWALL COUNCIL - MO TRURO GB"/>
    <m/>
    <n v="10.5"/>
    <n v="19130.1"/>
    <n v="-10.5"/>
    <e v="#REF!"/>
    <e v="#REF!"/>
    <x v="6"/>
  </r>
  <r>
    <n v="238"/>
    <s v="SA25"/>
    <x v="0"/>
    <d v="2024-04-11T00:00:00"/>
    <s v="Card Transaction 4163 10APR24 C TAMAR BRIDGE PLYMOUTH GB"/>
    <m/>
    <n v="2.6"/>
    <n v="19127.5"/>
    <n v="-2.6"/>
    <e v="#REF!"/>
    <e v="#REF!"/>
    <x v="3"/>
  </r>
  <r>
    <n v="239"/>
    <s v="SA25"/>
    <x v="0"/>
    <d v="2024-04-12T00:00:00"/>
    <s v="Card Transaction 4163 11APR24 C TAMAR BRIDGE PLYMOUTH GB"/>
    <m/>
    <n v="2.6"/>
    <n v="19124.9"/>
    <n v="-2.6"/>
    <e v="#REF!"/>
    <e v="#REF!"/>
    <x v="3"/>
  </r>
  <r>
    <n v="240"/>
    <s v="SA25"/>
    <x v="0"/>
    <d v="2024-04-15T00:00:00"/>
    <s v="Automated Credit BOOTS OPTICIANS PR 1003 2000011048 K"/>
    <n v="1350"/>
    <m/>
    <n v="20474.9"/>
    <n v="1350"/>
    <e v="#REF!"/>
    <e v="#REF!"/>
    <x v="0"/>
  </r>
  <r>
    <n v="241"/>
    <s v="SA25"/>
    <x v="0"/>
    <d v="2024-04-15T00:00:00"/>
    <s v="Card Transaction 4163 12APR24 C TAMAR BRIDGE PLYMOUTH GB"/>
    <m/>
    <n v="2.6"/>
    <n v="20472.3"/>
    <n v="-2.6"/>
    <e v="#REF!"/>
    <e v="#REF!"/>
    <x v="3"/>
  </r>
  <r>
    <n v="242"/>
    <s v="SA25"/>
    <x v="0"/>
    <d v="2024-04-15T00:00:00"/>
    <s v="Card Transaction 4163 13APR24 C GDK PLYMOUTH PLYMOUTH PL1 GB"/>
    <m/>
    <n v="1.43"/>
    <n v="20470.87"/>
    <n v="-1.43"/>
    <e v="#REF!"/>
    <e v="#REF!"/>
    <x v="13"/>
  </r>
  <r>
    <n v="243"/>
    <s v="SA25"/>
    <x v="0"/>
    <d v="2024-04-19T00:00:00"/>
    <s v="Automated Credit VISION EXPRESS UK RG50570000589024"/>
    <n v="1245"/>
    <m/>
    <n v="21715.87"/>
    <n v="1245"/>
    <e v="#REF!"/>
    <e v="#REF!"/>
    <x v="0"/>
  </r>
  <r>
    <n v="244"/>
    <s v="SA25"/>
    <x v="0"/>
    <d v="2024-04-19T00:00:00"/>
    <s v="Automated Credit SPECSAVERS FINANCE SPECSAVERS SEP COM"/>
    <n v="2500"/>
    <m/>
    <n v="24215.87"/>
    <n v="2500"/>
    <e v="#REF!"/>
    <e v="#REF!"/>
    <x v="0"/>
  </r>
  <r>
    <n v="245"/>
    <s v="SA25"/>
    <x v="0"/>
    <d v="2024-04-19T00:00:00"/>
    <s v="OnLine Transaction CHIDO HOVE TRANSFER VIA MOBILE - PYMT FP 19/04/24 10 14065550118196000N"/>
    <m/>
    <n v="5000"/>
    <n v="19215.87"/>
    <n v="-5000"/>
    <e v="#REF!"/>
    <e v="#REF!"/>
    <x v="2"/>
  </r>
  <r>
    <n v="246"/>
    <s v="SA25"/>
    <x v="0"/>
    <d v="2024-05-01T00:00:00"/>
    <s v="Direct Debit THE COLLEGE OF OPT DD001773"/>
    <m/>
    <n v="25.42"/>
    <n v="19190.45"/>
    <n v="-25.42"/>
    <e v="#REF!"/>
    <e v="#REF!"/>
    <x v="1"/>
  </r>
  <r>
    <n v="247"/>
    <s v="SA25"/>
    <x v="0"/>
    <d v="2024-05-01T00:00:00"/>
    <s v="Direct Debit ASSOCIATION OF OPT 0000070593"/>
    <m/>
    <n v="72"/>
    <n v="19118.45"/>
    <n v="-72"/>
    <e v="#REF!"/>
    <e v="#REF!"/>
    <x v="5"/>
  </r>
  <r>
    <n v="248"/>
    <s v="SA25"/>
    <x v="0"/>
    <d v="2024-05-02T00:00:00"/>
    <s v="Card Transaction 4163 01MAY24 1STFORMATIO NS.CO.UK LONDON GB"/>
    <m/>
    <n v="0.6"/>
    <n v="19117.85"/>
    <n v="-0.6"/>
    <e v="#REF!"/>
    <e v="#REF!"/>
    <x v="14"/>
  </r>
  <r>
    <n v="249"/>
    <s v="SA25"/>
    <x v="0"/>
    <d v="2024-05-08T00:00:00"/>
    <s v="Card Transaction 4163 07MAY24 C TAMAR BRIDGE PLYMOUTH GB"/>
    <m/>
    <n v="2.6"/>
    <n v="19115.25"/>
    <n v="-2.6"/>
    <e v="#REF!"/>
    <e v="#REF!"/>
    <x v="3"/>
  </r>
  <r>
    <n v="250"/>
    <s v="SA25"/>
    <x v="0"/>
    <d v="2024-05-09T00:00:00"/>
    <s v="Card Transaction 4163 08MAY24 C TAMAR BRIDGE PLYMOUTH GB"/>
    <m/>
    <n v="2.6"/>
    <n v="19112.65"/>
    <n v="-2.6"/>
    <e v="#REF!"/>
    <e v="#REF!"/>
    <x v="3"/>
  </r>
  <r>
    <n v="251"/>
    <s v="SA25"/>
    <x v="0"/>
    <d v="2024-05-10T00:00:00"/>
    <s v="Card Transaction 4163 09MAY24 C TAMAR BRIDGE PLYMOUTH GB"/>
    <m/>
    <n v="2.6"/>
    <n v="19110.05"/>
    <n v="-2.6"/>
    <e v="#REF!"/>
    <e v="#REF!"/>
    <x v="3"/>
  </r>
  <r>
    <n v="252"/>
    <s v="SA25"/>
    <x v="0"/>
    <d v="2024-05-13T00:00:00"/>
    <s v="Card Transaction 4163 10MAY24 C TAMAR BRIDGE PLYMOUTH GB"/>
    <m/>
    <n v="2.6"/>
    <n v="19107.45"/>
    <n v="-2.6"/>
    <e v="#REF!"/>
    <e v="#REF!"/>
    <x v="3"/>
  </r>
  <r>
    <n v="253"/>
    <s v="SA25"/>
    <x v="0"/>
    <d v="2024-05-16T00:00:00"/>
    <s v="Card Transaction 4163 15MAY24 C TAMAR BRIDGE PLYMOUTH GB"/>
    <m/>
    <n v="2.6"/>
    <n v="19104.85"/>
    <n v="-2.6"/>
    <e v="#REF!"/>
    <e v="#REF!"/>
    <x v="3"/>
  </r>
  <r>
    <n v="254"/>
    <s v="SA25"/>
    <x v="0"/>
    <d v="2024-05-17T00:00:00"/>
    <s v="Card Transaction 4163 16MAY24 C TAMAR BRIDGE PLYMOUTH GB"/>
    <m/>
    <n v="2.6"/>
    <n v="19102.25"/>
    <n v="-2.6"/>
    <e v="#REF!"/>
    <e v="#REF!"/>
    <x v="3"/>
  </r>
  <r>
    <n v="255"/>
    <s v="SA25"/>
    <x v="0"/>
    <d v="2024-05-20T00:00:00"/>
    <s v="OnLine Transaction CHIDO HOVE TRANSFER VIA MOBILE - PYMT FP 19/05/24 10 50082449533488000N"/>
    <m/>
    <n v="5000"/>
    <n v="14102.25"/>
    <n v="-5000"/>
    <e v="#REF!"/>
    <e v="#REF!"/>
    <x v="2"/>
  </r>
  <r>
    <n v="256"/>
    <s v="SA25"/>
    <x v="0"/>
    <d v="2024-05-20T00:00:00"/>
    <s v="Card Transaction 4163 17MAY24 C TAMAR BRIDGE PLYMOUTH GB"/>
    <m/>
    <n v="2.6"/>
    <n v="14099.65"/>
    <n v="-2.6"/>
    <e v="#REF!"/>
    <e v="#REF!"/>
    <x v="3"/>
  </r>
  <r>
    <n v="257"/>
    <s v="SA25"/>
    <x v="0"/>
    <d v="2024-05-21T00:00:00"/>
    <s v="Card Transaction 4163 20MAY24 TAMAR BRIDGE PLYMOUTH GB"/>
    <m/>
    <n v="50"/>
    <n v="14049.65"/>
    <n v="-50"/>
    <e v="#REF!"/>
    <e v="#REF!"/>
    <x v="15"/>
  </r>
  <r>
    <n v="258"/>
    <s v="SA25"/>
    <x v="0"/>
    <d v="2024-05-21T00:00:00"/>
    <s v="Card Transaction 4163 20MAY24 C TAMAR BRIDGE PLYMOUTH GB"/>
    <m/>
    <n v="2.6"/>
    <n v="14047.05"/>
    <n v="-2.6"/>
    <e v="#REF!"/>
    <e v="#REF!"/>
    <x v="3"/>
  </r>
  <r>
    <n v="259"/>
    <s v="SA25"/>
    <x v="0"/>
    <d v="2024-05-22T00:00:00"/>
    <s v="Card Transaction 4163 21MAY24 C TAMAR BRIDGE PLYMOUTH GB"/>
    <m/>
    <n v="2.6"/>
    <n v="14044.45"/>
    <n v="-2.6"/>
    <e v="#REF!"/>
    <e v="#REF!"/>
    <x v="3"/>
  </r>
  <r>
    <n v="260"/>
    <s v="SA25"/>
    <x v="0"/>
    <d v="2024-05-23T00:00:00"/>
    <s v="Card Transaction 4163 22MAY24 C TAMAR BRIDGE PLYMOUTH GB"/>
    <m/>
    <n v="2.6"/>
    <n v="14041.85"/>
    <n v="-2.6"/>
    <e v="#REF!"/>
    <e v="#REF!"/>
    <x v="3"/>
  </r>
  <r>
    <n v="261"/>
    <s v="SA25"/>
    <x v="0"/>
    <d v="2024-05-24T00:00:00"/>
    <s v="Automated Credit SPECSAVERS FINANCE SPECSAVERS SEP COM"/>
    <n v="4000"/>
    <m/>
    <n v="18041.85"/>
    <n v="4000"/>
    <e v="#REF!"/>
    <e v="#REF!"/>
    <x v="0"/>
  </r>
  <r>
    <n v="262"/>
    <s v="SA25"/>
    <x v="0"/>
    <d v="2024-05-24T00:00:00"/>
    <s v="Card Transaction 4163 23MAY24 C TAMAR BRIDGE PLYMOUTH GB"/>
    <m/>
    <n v="2.6"/>
    <n v="18039.25"/>
    <n v="-2.6"/>
    <e v="#REF!"/>
    <e v="#REF!"/>
    <x v="3"/>
  </r>
  <r>
    <n v="263"/>
    <s v="SA25"/>
    <x v="0"/>
    <d v="2024-06-03T00:00:00"/>
    <s v="Direct Debit THE COLLEGE OF OPT DD001773"/>
    <m/>
    <n v="25.42"/>
    <n v="18013.83"/>
    <n v="-25.42"/>
    <e v="#REF!"/>
    <e v="#REF!"/>
    <x v="1"/>
  </r>
  <r>
    <n v="264"/>
    <s v="SA25"/>
    <x v="0"/>
    <d v="2024-06-03T00:00:00"/>
    <s v="Direct Debit ASSOCIATION OF OPT 0000070593"/>
    <m/>
    <n v="72"/>
    <n v="17941.83"/>
    <n v="-72"/>
    <e v="#REF!"/>
    <e v="#REF!"/>
    <x v="5"/>
  </r>
  <r>
    <n v="265"/>
    <s v="SA25"/>
    <x v="0"/>
    <d v="2024-06-04T00:00:00"/>
    <s v="Card Transaction 4163 03JUN24 PLYMOUTH CITY COUN PLYMOUTH GB"/>
    <m/>
    <n v="50"/>
    <n v="17891.83"/>
    <n v="-50"/>
    <e v="#REF!"/>
    <e v="#REF!"/>
    <x v="6"/>
  </r>
  <r>
    <n v="266"/>
    <s v="SA25"/>
    <x v="0"/>
    <d v="2024-06-04T00:00:00"/>
    <s v="Card Transaction 4163 03JUN24 EURO CAR PARKS LTD LONDON GB"/>
    <m/>
    <n v="50"/>
    <n v="17841.83"/>
    <n v="-50"/>
    <e v="#REF!"/>
    <e v="#REF!"/>
    <x v="6"/>
  </r>
  <r>
    <n v="267"/>
    <s v="SA25"/>
    <x v="0"/>
    <d v="2024-06-06T00:00:00"/>
    <s v="Card Transaction 4163 05JUN24 AIRBNB * HMFWTHQD8Z 203-318-1111 GB"/>
    <m/>
    <n v="50.28"/>
    <n v="17791.55"/>
    <n v="-50.28"/>
    <e v="#REF!"/>
    <e v="#REF!"/>
    <x v="10"/>
  </r>
  <r>
    <n v="268"/>
    <s v="SA25"/>
    <x v="0"/>
    <d v="2024-06-10T00:00:00"/>
    <s v="OnLine Transaction CHIDO HOVE TRANSFER VIA MOBILE - PYMT FP 09/06/24 10 50134345215198000N"/>
    <m/>
    <n v="5000"/>
    <n v="12791.55"/>
    <n v="-5000"/>
    <e v="#REF!"/>
    <e v="#REF!"/>
    <x v="2"/>
  </r>
  <r>
    <n v="269"/>
    <s v="SA25"/>
    <x v="0"/>
    <d v="2024-06-12T00:00:00"/>
    <s v="Automated Credit SPECSAVERS FINANCE SPECSAVERS SEP COM"/>
    <n v="4000"/>
    <m/>
    <n v="16791.55"/>
    <n v="4000"/>
    <e v="#REF!"/>
    <e v="#REF!"/>
    <x v="0"/>
  </r>
  <r>
    <n v="270"/>
    <s v="SA25"/>
    <x v="0"/>
    <d v="2024-06-14T00:00:00"/>
    <s v="Automated Credit SPECSAVERS FINANCE SPECSAVERS SEP COM"/>
    <n v="424"/>
    <m/>
    <n v="17215.55"/>
    <n v="424"/>
    <e v="#REF!"/>
    <e v="#REF!"/>
    <x v="0"/>
  </r>
  <r>
    <n v="271"/>
    <s v="SA25"/>
    <x v="0"/>
    <d v="2024-06-17T00:00:00"/>
    <s v="OnLine Transaction CHIDO HOVE TRANSFER VIA MOBILE - PYMT FP 15/06/24 10 28180949197463000N"/>
    <m/>
    <n v="500"/>
    <n v="16715.55"/>
    <n v="-500"/>
    <e v="#REF!"/>
    <e v="#REF!"/>
    <x v="2"/>
  </r>
  <r>
    <n v="272"/>
    <s v="SA25"/>
    <x v="0"/>
    <d v="2024-06-17T00:00:00"/>
    <s v="OnLine Transaction CHIDO HOVE Nn VIA MOBILE - LVP FP 15/06/24 10 35181028028696000N"/>
    <m/>
    <n v="500"/>
    <n v="16215.55"/>
    <n v="-500"/>
    <e v="#REF!"/>
    <e v="#REF!"/>
    <x v="2"/>
  </r>
  <r>
    <n v="273"/>
    <s v="SA25"/>
    <x v="0"/>
    <d v="2024-06-19T00:00:00"/>
    <s v="Card Transaction 4163 17JUN24 C CORNWALL COUNCIL - THE TRURO GB"/>
    <m/>
    <n v="10.5"/>
    <n v="16205.05"/>
    <n v="-10.5"/>
    <e v="#REF!"/>
    <e v="#REF!"/>
    <x v="6"/>
  </r>
  <r>
    <n v="274"/>
    <s v="SA25"/>
    <x v="0"/>
    <d v="2024-06-20T00:00:00"/>
    <s v="Automated Credit VISION EXPRESS UK RG50570001276824"/>
    <n v="1255"/>
    <m/>
    <n v="17460.05"/>
    <n v="1255"/>
    <e v="#REF!"/>
    <e v="#REF!"/>
    <x v="0"/>
  </r>
  <r>
    <n v="275"/>
    <s v="SA25"/>
    <x v="0"/>
    <d v="2024-06-21T00:00:00"/>
    <s v="OnLine Transaction CHIDO HOVE TRANSFER VIA MOBILE - PYMT FP 21/06/24 10 34113627650022000N"/>
    <m/>
    <n v="4000"/>
    <n v="13460.05"/>
    <n v="-4000"/>
    <e v="#REF!"/>
    <e v="#REF!"/>
    <x v="2"/>
  </r>
  <r>
    <n v="276"/>
    <s v="SA25"/>
    <x v="0"/>
    <d v="2024-06-27T00:00:00"/>
    <s v="OnLine Transaction Locums Limited Chido Accounts VIA MOBILE - LVP FP 26/06/24 10 46231124828256000N"/>
    <m/>
    <n v="613"/>
    <n v="12847.05"/>
    <n v="-613"/>
    <e v="#REF!"/>
    <e v="#REF!"/>
    <x v="16"/>
  </r>
  <r>
    <n v="277"/>
    <s v="SA25"/>
    <x v="0"/>
    <d v="2024-06-28T00:00:00"/>
    <s v="Card Transaction 4163 27JUN24 C CORNWALL COUNCIL TRURO GB"/>
    <m/>
    <n v="3.7"/>
    <n v="12843.35"/>
    <n v="-3.7"/>
    <e v="#REF!"/>
    <e v="#REF!"/>
    <x v="6"/>
  </r>
  <r>
    <n v="278"/>
    <s v="SA25"/>
    <x v="0"/>
    <d v="2024-07-01T00:00:00"/>
    <s v="Direct Debit ASSOCIATION OF OPT 0000070593"/>
    <m/>
    <n v="72"/>
    <n v="12771.35"/>
    <n v="-72"/>
    <e v="#REF!"/>
    <e v="#REF!"/>
    <x v="5"/>
  </r>
  <r>
    <n v="279"/>
    <s v="SA25"/>
    <x v="0"/>
    <d v="2024-07-02T00:00:00"/>
    <s v="Card Transaction 4163 01JUL24 C CORNWALL COUNCIL TRURO GB"/>
    <m/>
    <n v="6.3"/>
    <n v="12765.05"/>
    <n v="-6.3"/>
    <e v="#REF!"/>
    <e v="#REF!"/>
    <x v="6"/>
  </r>
  <r>
    <n v="280"/>
    <s v="SA25"/>
    <x v="0"/>
    <d v="2024-07-02T00:00:00"/>
    <s v="Card Transaction 4163 01JUL24 C CORNWALL COUNCIL TRURO GB"/>
    <m/>
    <n v="5"/>
    <n v="12760.05"/>
    <n v="-5"/>
    <e v="#REF!"/>
    <e v="#REF!"/>
    <x v="6"/>
  </r>
  <r>
    <n v="281"/>
    <s v="SA25"/>
    <x v="0"/>
    <d v="2024-07-05T00:00:00"/>
    <s v="Automated Credit SPECSAVERS FINANCE SPECSAVERS SEP COM"/>
    <n v="4500"/>
    <m/>
    <n v="17260.05"/>
    <n v="4500"/>
    <e v="#REF!"/>
    <e v="#REF!"/>
    <x v="0"/>
  </r>
  <r>
    <n v="282"/>
    <s v="SA25"/>
    <x v="0"/>
    <d v="2024-07-08T00:00:00"/>
    <s v="OnLine Transaction CHIDO HOVE Expenses owing VIA MOBILE - LVP FP 08/07/24 10 57142638488619000N"/>
    <m/>
    <n v="133.41"/>
    <n v="17126.64"/>
    <n v="-133.41"/>
    <e v="#REF!"/>
    <e v="#REF!"/>
    <x v="2"/>
  </r>
  <r>
    <n v="283"/>
    <s v="SA25"/>
    <x v="0"/>
    <d v="2024-07-10T00:00:00"/>
    <s v="Card Transaction 4163 09JUL24 C ZETTLE_*THE THOMAS DAN NEWQUAY GB"/>
    <m/>
    <n v="22"/>
    <n v="17104.64"/>
    <n v="-22"/>
    <e v="#REF!"/>
    <e v="#REF!"/>
    <x v="9"/>
  </r>
  <r>
    <n v="284"/>
    <s v="SA25"/>
    <x v="0"/>
    <d v="2024-07-10T00:00:00"/>
    <s v="Card Transaction 4163 09JUL24 C CORNWALL COUNCIL - MO TRURO GB"/>
    <m/>
    <n v="10.5"/>
    <n v="17094.14"/>
    <n v="-10.5"/>
    <e v="#REF!"/>
    <e v="#REF!"/>
    <x v="6"/>
  </r>
  <r>
    <n v="285"/>
    <s v="SA25"/>
    <x v="0"/>
    <d v="2024-07-11T00:00:00"/>
    <s v="Automated Credit SPECSAVERS FINANCE SPECSAVERS SEP COM"/>
    <n v="1400"/>
    <m/>
    <n v="18494.14"/>
    <n v="1400"/>
    <e v="#REF!"/>
    <e v="#REF!"/>
    <x v="0"/>
  </r>
  <r>
    <n v="286"/>
    <s v="SA25"/>
    <x v="0"/>
    <d v="2024-07-11T00:00:00"/>
    <s v="Card Transaction 4163 10JUL24 C CORNWALL COUNCIL - MO TRURO GB"/>
    <m/>
    <n v="10.5"/>
    <n v="18483.64"/>
    <n v="-10.5"/>
    <e v="#REF!"/>
    <e v="#REF!"/>
    <x v="6"/>
  </r>
  <r>
    <n v="287"/>
    <s v="SA25"/>
    <x v="0"/>
    <d v="2024-07-12T00:00:00"/>
    <s v="Automated Credit VISION EXPRESS UK RG50570001484124"/>
    <n v="850"/>
    <m/>
    <n v="19333.64"/>
    <n v="850"/>
    <e v="#REF!"/>
    <e v="#REF!"/>
    <x v="0"/>
  </r>
  <r>
    <n v="288"/>
    <s v="SA25"/>
    <x v="0"/>
    <d v="2024-07-17T00:00:00"/>
    <s v="OnLine Transaction CHIDO HOVE TRANSFER VIA MOBILE - PYMT FP 17/07/24 10 34175323404077000N"/>
    <m/>
    <n v="5000"/>
    <n v="14333.64"/>
    <n v="-5000"/>
    <e v="#REF!"/>
    <e v="#REF!"/>
    <x v="2"/>
  </r>
  <r>
    <n v="289"/>
    <s v="SA25"/>
    <x v="0"/>
    <d v="2024-07-19T00:00:00"/>
    <s v="Automated Credit SCRIVENS LTD"/>
    <n v="500"/>
    <m/>
    <n v="14833.64"/>
    <n v="500"/>
    <e v="#REF!"/>
    <e v="#REF!"/>
    <x v="0"/>
  </r>
  <r>
    <n v="290"/>
    <s v="SA25"/>
    <x v="0"/>
    <d v="2024-07-19T00:00:00"/>
    <s v="Automated Credit VISION EXPRESS UK RG50570001550124"/>
    <n v="1975"/>
    <m/>
    <n v="16808.64"/>
    <n v="1975"/>
    <e v="#REF!"/>
    <e v="#REF!"/>
    <x v="0"/>
  </r>
  <r>
    <n v="291"/>
    <s v="SA25"/>
    <x v="0"/>
    <d v="2024-07-23T00:00:00"/>
    <s v="Direct Debit THE COLLEGE OF OPT DD001773"/>
    <m/>
    <n v="25.42"/>
    <n v="16783.22"/>
    <n v="-25.42"/>
    <e v="#REF!"/>
    <e v="#REF!"/>
    <x v="1"/>
  </r>
  <r>
    <n v="292"/>
    <s v="SA25"/>
    <x v="0"/>
    <d v="2024-07-24T00:00:00"/>
    <s v="Automated Credit SPECSAVERS FINANCE SPECSAVERS SEP COM"/>
    <n v="1500"/>
    <m/>
    <n v="18283.22"/>
    <n v="1500"/>
    <e v="#REF!"/>
    <e v="#REF!"/>
    <x v="0"/>
  </r>
  <r>
    <n v="293"/>
    <s v="SA25"/>
    <x v="0"/>
    <d v="2024-07-25T00:00:00"/>
    <s v="Card Transaction 4163 24JUL24 C TAMAR BRIDGE PLYMOUTH GB"/>
    <m/>
    <n v="2.6"/>
    <n v="18280.62"/>
    <n v="-2.6"/>
    <e v="#REF!"/>
    <e v="#REF!"/>
    <x v="3"/>
  </r>
  <r>
    <n v="294"/>
    <s v="SA25"/>
    <x v="0"/>
    <d v="2024-07-30T00:00:00"/>
    <s v="Card Transaction 4163 29JUL24 C TAMAR BRIDGE PLYMOUTH GB"/>
    <m/>
    <n v="2.6"/>
    <n v="18278.02"/>
    <n v="-2.6"/>
    <e v="#REF!"/>
    <e v="#REF!"/>
    <x v="3"/>
  </r>
  <r>
    <n v="295"/>
    <s v="SA25"/>
    <x v="0"/>
    <d v="2024-07-31T00:00:00"/>
    <s v="Card Transaction 4163 30JUL24 C DRAKE CIRCUS CTR LTD PLYMOUTH GB"/>
    <m/>
    <n v="15"/>
    <n v="18263.02"/>
    <n v="-15"/>
    <e v="#REF!"/>
    <e v="#REF!"/>
    <x v="6"/>
  </r>
  <r>
    <n v="296"/>
    <s v="SA25"/>
    <x v="0"/>
    <d v="2024-07-31T00:00:00"/>
    <s v="Card Transaction 4163 30JUL24 C TAMAR BRIDGE PLYMOUTH GB"/>
    <m/>
    <n v="2.6"/>
    <n v="18260.42"/>
    <n v="-2.6"/>
    <e v="#REF!"/>
    <e v="#REF!"/>
    <x v="3"/>
  </r>
  <r>
    <n v="297"/>
    <s v="SA25"/>
    <x v="0"/>
    <d v="2024-08-01T00:00:00"/>
    <s v="Direct Debit ASSOCIATION OF OPT 0000070593"/>
    <m/>
    <n v="72"/>
    <n v="18188.42"/>
    <n v="-72"/>
    <e v="#REF!"/>
    <e v="#REF!"/>
    <x v="5"/>
  </r>
  <r>
    <n v="298"/>
    <s v="SA25"/>
    <x v="0"/>
    <d v="2024-08-02T00:00:00"/>
    <s v="Automated Credit SPECSAVERS FINANCE SPECSAVERS SEP COM"/>
    <n v="900"/>
    <m/>
    <n v="19088.42"/>
    <n v="900"/>
    <e v="#REF!"/>
    <e v="#REF!"/>
    <x v="0"/>
  </r>
  <r>
    <n v="299"/>
    <s v="SA25"/>
    <x v="0"/>
    <d v="2024-08-02T00:00:00"/>
    <s v="Direct Debit THE COLLEGE OF OPT DD001773"/>
    <m/>
    <n v="25.42"/>
    <n v="19063"/>
    <n v="-25.42"/>
    <e v="#REF!"/>
    <e v="#REF!"/>
    <x v="1"/>
  </r>
  <r>
    <n v="300"/>
    <s v="SA25"/>
    <x v="0"/>
    <d v="2024-08-06T00:00:00"/>
    <s v="Automated Credit VISION EXPRESS UK RG50570001680324"/>
    <n v="425"/>
    <m/>
    <n v="19488"/>
    <n v="425"/>
    <e v="#REF!"/>
    <e v="#REF!"/>
    <x v="0"/>
  </r>
  <r>
    <n v="301"/>
    <s v="SA25"/>
    <x v="0"/>
    <d v="2024-08-09T00:00:00"/>
    <s v="Automated Credit VISION EXPRESS UK RG50570001745824"/>
    <n v="1245"/>
    <m/>
    <n v="20733"/>
    <n v="1245"/>
    <e v="#REF!"/>
    <e v="#REF!"/>
    <x v="0"/>
  </r>
  <r>
    <n v="302"/>
    <s v="SA25"/>
    <x v="0"/>
    <d v="2024-08-09T00:00:00"/>
    <s v="Automated Credit SPECSAVERS FINANCE SPECSAVERS SEP COM"/>
    <n v="1000"/>
    <m/>
    <n v="21733"/>
    <n v="1000"/>
    <e v="#REF!"/>
    <e v="#REF!"/>
    <x v="0"/>
  </r>
  <r>
    <n v="303"/>
    <s v="SA25"/>
    <x v="0"/>
    <d v="2024-08-15T00:00:00"/>
    <s v="Card Transaction 4163 14AUG24 HOTEL AT BOOKING.COM CAMBRIDGE GB"/>
    <m/>
    <n v="218.7"/>
    <n v="21514.3"/>
    <n v="-218.7"/>
    <e v="#REF!"/>
    <e v="#REF!"/>
    <x v="10"/>
  </r>
  <r>
    <n v="304"/>
    <s v="SA25"/>
    <x v="0"/>
    <d v="2024-08-16T00:00:00"/>
    <s v="OnLine Transaction CORP TAX C/NAULD I 4233420646A00103A VIA ONLINE - PYMT FP 16/08/24 10_x000a_26133634172711000N"/>
    <m/>
    <n v="177.84"/>
    <n v="21336.46"/>
    <n v="-177.84"/>
    <e v="#REF!"/>
    <e v="#REF!"/>
    <x v="17"/>
  </r>
  <r>
    <n v="305"/>
    <s v="SA25"/>
    <x v="0"/>
    <d v="2024-08-16T00:00:00"/>
    <s v="OnLine Transaction CORP TAX C/NAULD I 4233420646A00102A VIA ONLINE - PYMT FP 16/08/24 10_x000a_34133300541794000N"/>
    <m/>
    <n v="8110.15"/>
    <n v="13226.31"/>
    <n v="-8110.15"/>
    <e v="#REF!"/>
    <e v="#REF!"/>
    <x v="17"/>
  </r>
  <r>
    <n v="306"/>
    <s v="SA25"/>
    <x v="0"/>
    <d v="2024-08-21T00:00:00"/>
    <s v="Automated Credit SPECSAVERS FINANCE SPECSAVERS SEP COM"/>
    <n v="450"/>
    <m/>
    <n v="13676.31"/>
    <n v="450"/>
    <e v="#REF!"/>
    <e v="#REF!"/>
    <x v="0"/>
  </r>
  <r>
    <n v="307"/>
    <s v="SA25"/>
    <x v="0"/>
    <d v="2024-08-21T00:00:00"/>
    <s v="OnLine Transaction CHIDO HOVE TRANSFER VIA MOBILE - PYMT FP 21/08/24 10 20160503296635000N"/>
    <m/>
    <n v="5000"/>
    <n v="8676.309999999999"/>
    <n v="-5000"/>
    <e v="#REF!"/>
    <e v="#REF!"/>
    <x v="2"/>
  </r>
  <r>
    <n v="308"/>
    <s v="SA25"/>
    <x v="0"/>
    <d v="2024-08-21T00:00:00"/>
    <s v="Card Transaction 4163 20AUG24 C TAMAR BRIDGE PLYMOUTH GB"/>
    <m/>
    <n v="2.6"/>
    <n v="8673.709999999999"/>
    <n v="-2.6"/>
    <e v="#REF!"/>
    <e v="#REF!"/>
    <x v="3"/>
  </r>
  <r>
    <n v="309"/>
    <s v="SA25"/>
    <x v="0"/>
    <d v="2024-08-23T00:00:00"/>
    <s v="Automated Credit VISION EXPRESS UK RG50570001810824"/>
    <n v="885"/>
    <m/>
    <n v="9558.709999999999"/>
    <n v="885"/>
    <e v="#REF!"/>
    <e v="#REF!"/>
    <x v="0"/>
  </r>
  <r>
    <n v="310"/>
    <s v="SA25"/>
    <x v="0"/>
    <d v="2024-08-27T00:00:00"/>
    <s v="Card Transaction 4163 23AUG24 C SUMUP *SERVET BAYAR PLYMOUTH GB"/>
    <m/>
    <n v="45"/>
    <n v="9513.709999999999"/>
    <n v="-45"/>
    <e v="#REF!"/>
    <e v="#REF!"/>
    <x v="11"/>
  </r>
  <r>
    <n v="311"/>
    <s v="SA25"/>
    <x v="0"/>
    <d v="2024-08-27T00:00:00"/>
    <s v="Card Transaction 4163 23AUG24 C TAMAR BRIDGE PLYMOUTH GB"/>
    <m/>
    <n v="2.6"/>
    <n v="9511.110000000001"/>
    <n v="-2.6"/>
    <e v="#REF!"/>
    <e v="#REF!"/>
    <x v="3"/>
  </r>
  <r>
    <n v="312"/>
    <s v="SA25"/>
    <x v="0"/>
    <d v="2024-08-27T00:00:00"/>
    <s v="Card Transaction 4163 26AUG24 C TAMAR BRIDGE PLYMOUTH GB"/>
    <m/>
    <n v="2.6"/>
    <n v="9508.51"/>
    <n v="-2.6"/>
    <e v="#REF!"/>
    <e v="#REF!"/>
    <x v="3"/>
  </r>
  <r>
    <n v="313"/>
    <s v="SA25"/>
    <x v="0"/>
    <d v="2024-08-27T00:00:00"/>
    <s v="Card Transaction 4163 26AUG24 TAMAR BRIDGE PLYMOUTH GB"/>
    <m/>
    <n v="100"/>
    <n v="9408.51"/>
    <n v="-100"/>
    <e v="#REF!"/>
    <e v="#REF!"/>
    <x v="15"/>
  </r>
  <r>
    <n v="314"/>
    <s v="SA25"/>
    <x v="0"/>
    <d v="2024-08-30T00:00:00"/>
    <s v="Automated Credit VISION EXPRESS UK RG50570001911924"/>
    <n v="1225"/>
    <m/>
    <n v="10633.51"/>
    <n v="1225"/>
    <e v="#REF!"/>
    <e v="#REF!"/>
    <x v="0"/>
  </r>
  <r>
    <n v="315"/>
    <s v="SA25"/>
    <x v="0"/>
    <d v="2024-08-30T00:00:00"/>
    <s v="Charges 02AUG A/C 41204042"/>
    <m/>
    <n v="7.7"/>
    <n v="10625.81"/>
    <n v="-7.7"/>
    <e v="#REF!"/>
    <e v="#REF!"/>
    <x v="18"/>
  </r>
  <r>
    <n v="316"/>
    <s v="SA25"/>
    <x v="0"/>
    <d v="2024-09-02T00:00:00"/>
    <s v="Card Transaction 4163 01SEP24 1STFORMATIO NS.CO.UK LONDON GB"/>
    <m/>
    <n v="0.6"/>
    <n v="10625.21"/>
    <n v="-0.6"/>
    <e v="#REF!"/>
    <e v="#REF!"/>
    <x v="14"/>
  </r>
  <r>
    <n v="317"/>
    <s v="SA25"/>
    <x v="0"/>
    <d v="2024-09-02T00:00:00"/>
    <s v="Direct Debit THE COLLEGE OF OPT DD001773"/>
    <m/>
    <n v="25.42"/>
    <n v="10599.79"/>
    <n v="-25.42"/>
    <e v="#REF!"/>
    <e v="#REF!"/>
    <x v="1"/>
  </r>
  <r>
    <n v="318"/>
    <s v="SA25"/>
    <x v="0"/>
    <d v="2024-09-02T00:00:00"/>
    <s v="Direct Debit ASSOCIATION OF OPT 0000070593"/>
    <m/>
    <n v="72"/>
    <n v="10527.79"/>
    <n v="-72"/>
    <e v="#REF!"/>
    <e v="#REF!"/>
    <x v="5"/>
  </r>
  <r>
    <n v="319"/>
    <s v="SA25"/>
    <x v="0"/>
    <d v="2024-09-06T00:00:00"/>
    <s v="Card Transaction 4163 05SEP24 C TRY DOWER TRURO, TRURO GB"/>
    <m/>
    <n v="16.15"/>
    <n v="10511.64"/>
    <n v="-16.15"/>
    <e v="#REF!"/>
    <e v="#REF!"/>
    <x v="9"/>
  </r>
  <r>
    <n v="320"/>
    <s v="SA25"/>
    <x v="0"/>
    <d v="2024-09-09T00:00:00"/>
    <s v="Automated Credit VISION EXPRESS UK RG50570001970824"/>
    <n v="1240"/>
    <m/>
    <n v="11751.64"/>
    <n v="1240"/>
    <e v="#REF!"/>
    <e v="#REF!"/>
    <x v="0"/>
  </r>
  <r>
    <n v="321"/>
    <s v="SA25"/>
    <x v="0"/>
    <d v="2024-09-09T00:00:00"/>
    <s v="Card Transaction 4163 06SEP24 MANNINGS HOTEL CORNWALL GB"/>
    <m/>
    <n v="109.35"/>
    <n v="11642.29"/>
    <n v="-109.35"/>
    <e v="#REF!"/>
    <e v="#REF!"/>
    <x v="10"/>
  </r>
  <r>
    <n v="322"/>
    <s v="SA25"/>
    <x v="0"/>
    <d v="2024-09-13T00:00:00"/>
    <s v="Automated Credit VISION EXPRESS UK RG50570002036724"/>
    <n v="425"/>
    <m/>
    <n v="12067.29"/>
    <n v="425"/>
    <e v="#REF!"/>
    <e v="#REF!"/>
    <x v="0"/>
  </r>
  <r>
    <n v="323"/>
    <s v="SA25"/>
    <x v="0"/>
    <d v="2024-09-17T00:00:00"/>
    <s v="OnLine Transaction HMRC CUMBERNAULD 475PA017019352409 VIA MOBILE - LVP FP 17/09/24 10_x000a_20164832426090000N"/>
    <m/>
    <n v="47.48"/>
    <n v="12019.81"/>
    <n v="-47.48"/>
    <e v="#REF!"/>
    <e v="#REF!"/>
    <x v="19"/>
  </r>
  <r>
    <n v="324"/>
    <s v="SA25"/>
    <x v="0"/>
    <d v="2024-09-17T00:00:00"/>
    <s v="OnLine Transaction CORP TAX C/NAULD I 475PA017019352412 VIA MOBILE - LVP FP 17/09/24 10_x000a_55165358717991000N"/>
    <m/>
    <n v="149.14"/>
    <n v="11870.67"/>
    <n v="-149.14"/>
    <e v="#REF!"/>
    <e v="#REF!"/>
    <x v="19"/>
  </r>
  <r>
    <n v="325"/>
    <s v="SA25"/>
    <x v="0"/>
    <d v="2024-09-17T00:00:00"/>
    <s v="OnLine Transaction CORP TAX C/NAULD I 475PA017019352411 VIA MOBILE - LVP FP 17/09/24 10_x000a_32165224675996000N"/>
    <m/>
    <n v="149.13"/>
    <n v="11721.54"/>
    <n v="-149.13"/>
    <e v="#REF!"/>
    <e v="#REF!"/>
    <x v="19"/>
  </r>
  <r>
    <n v="326"/>
    <s v="SA25"/>
    <x v="0"/>
    <d v="2024-09-17T00:00:00"/>
    <s v="OnLine Transaction CORP TAX C/NAULD I 475PA017019352410 VIA MOBILE - LVP FP 17/09/24 10_x000a_46165050478564000N"/>
    <m/>
    <n v="149.14"/>
    <n v="11572.4"/>
    <n v="-149.14"/>
    <e v="#REF!"/>
    <e v="#REF!"/>
    <x v="19"/>
  </r>
  <r>
    <n v="327"/>
    <s v="SA25"/>
    <x v="0"/>
    <d v="2024-09-18T00:00:00"/>
    <s v="CHAPS Transfer RG50570002103824 PCM55CI20934252 VISION EXPRESS ( UK) LTD CHAPS TFR"/>
    <n v="1670"/>
    <m/>
    <n v="13242.4"/>
    <n v="1670"/>
    <e v="#REF!"/>
    <e v="#REF!"/>
    <x v="0"/>
  </r>
  <r>
    <n v="328"/>
    <s v="SA25"/>
    <x v="0"/>
    <d v="2024-09-19T00:00:00"/>
    <s v="Card Transaction 4163 18SEP24 BOOKING.COM LONDON GB"/>
    <m/>
    <n v="357.7"/>
    <n v="12884.7"/>
    <n v="-357.7"/>
    <e v="#REF!"/>
    <e v="#REF!"/>
    <x v="10"/>
  </r>
  <r>
    <n v="329"/>
    <s v="SA25"/>
    <x v="0"/>
    <d v="2024-09-20T00:00:00"/>
    <s v="Automated Credit LOCUM PAYROL LTD ASDA FP 20/09/24 0434 MF041539C1250F8500"/>
    <n v="880"/>
    <m/>
    <n v="13764.7"/>
    <n v="880"/>
    <e v="#REF!"/>
    <e v="#REF!"/>
    <x v="0"/>
  </r>
  <r>
    <n v="330"/>
    <s v="SA25"/>
    <x v="0"/>
    <d v="2024-09-26T00:00:00"/>
    <s v="Card Transaction 4163 25SEP24 C SUBWAY 43373 BACK QUAY TRURO GB"/>
    <m/>
    <n v="9.41"/>
    <n v="13755.29"/>
    <n v="-9.41"/>
    <e v="#REF!"/>
    <e v="#REF!"/>
    <x v="13"/>
  </r>
  <r>
    <n v="331"/>
    <s v="SA25"/>
    <x v="0"/>
    <d v="2024-09-27T00:00:00"/>
    <s v="Automated Credit LOCUM PAYROL LTD ASDA FP 27/09/24 0505 MF043239C130652000"/>
    <n v="1320"/>
    <m/>
    <n v="15075.29"/>
    <n v="1320"/>
    <e v="#REF!"/>
    <e v="#REF!"/>
    <x v="0"/>
  </r>
  <r>
    <n v="332"/>
    <s v="SA25"/>
    <x v="0"/>
    <d v="2024-09-30T00:00:00"/>
    <s v="Automated Credit VISION EXPRESS UK RG50570002185424"/>
    <n v="1200"/>
    <m/>
    <n v="16275.29"/>
    <n v="1200"/>
    <e v="#REF!"/>
    <e v="#REF!"/>
    <x v="0"/>
  </r>
  <r>
    <n v="333"/>
    <s v="SA25"/>
    <x v="0"/>
    <d v="2024-09-30T00:00:00"/>
    <s v="Charges 30AUG A/C 41204042"/>
    <m/>
    <n v="5.25"/>
    <n v="16270.04"/>
    <n v="-5.25"/>
    <e v="#REF!"/>
    <e v="#REF!"/>
    <x v="18"/>
  </r>
  <r>
    <n v="334"/>
    <s v="SA25"/>
    <x v="0"/>
    <d v="2024-10-01T00:00:00"/>
    <s v="OnLine Transaction CHIDO HOVE Expenses holi inn VIA MOBILE - LVP FP 01/10/24 10 56161959210262000N"/>
    <m/>
    <n v="92.98999999999999"/>
    <n v="16177.05"/>
    <n v="-92.98999999999999"/>
    <e v="#REF!"/>
    <e v="#REF!"/>
    <x v="10"/>
  </r>
  <r>
    <n v="335"/>
    <s v="SA25"/>
    <x v="0"/>
    <d v="2024-10-01T00:00:00"/>
    <s v="Direct Debit THE COLLEGE OF OPT DD001773"/>
    <m/>
    <n v="26.37"/>
    <n v="16150.68"/>
    <n v="-26.37"/>
    <e v="#REF!"/>
    <e v="#REF!"/>
    <x v="1"/>
  </r>
  <r>
    <n v="336"/>
    <s v="SA25"/>
    <x v="0"/>
    <d v="2024-10-01T00:00:00"/>
    <s v="Direct Debit ASSOCIATION OF OPT 0000070593"/>
    <m/>
    <n v="72"/>
    <n v="16078.68"/>
    <n v="-72"/>
    <e v="#REF!"/>
    <e v="#REF!"/>
    <x v="5"/>
  </r>
  <r>
    <n v="337"/>
    <s v="SA25"/>
    <x v="0"/>
    <d v="2024-10-02T00:00:00"/>
    <s v="Card Transaction 4163 01OCT24 PARTNERS ON BOOKING BV AMSTERDAM NL"/>
    <m/>
    <n v="136.92"/>
    <n v="15941.76"/>
    <n v="-136.92"/>
    <e v="#REF!"/>
    <e v="#REF!"/>
    <x v="10"/>
  </r>
  <r>
    <n v="338"/>
    <s v="SA25"/>
    <x v="0"/>
    <d v="2024-10-04T00:00:00"/>
    <s v="Automated Credit SPECSAVERS FINANCE SPECSAVERS SEP COM"/>
    <n v="333"/>
    <m/>
    <n v="16274.76"/>
    <n v="333"/>
    <e v="#REF!"/>
    <e v="#REF!"/>
    <x v="0"/>
  </r>
  <r>
    <n v="339"/>
    <s v="SA25"/>
    <x v="0"/>
    <d v="2024-10-07T00:00:00"/>
    <s v="Card Transaction 4163 05OCT24 PROTECTIVE MASKS DIREC TUNBRIDGE WEL GB"/>
    <m/>
    <n v="32.82"/>
    <n v="16241.94"/>
    <n v="-32.82"/>
    <e v="#REF!"/>
    <e v="#REF!"/>
    <x v="12"/>
  </r>
  <r>
    <n v="340"/>
    <s v="SA25"/>
    <x v="0"/>
    <d v="2024-10-08T00:00:00"/>
    <s v="Automated Credit VISION EXPRESS UK RG50570002267524"/>
    <n v="425"/>
    <m/>
    <n v="16666.94"/>
    <n v="425"/>
    <e v="#REF!"/>
    <e v="#REF!"/>
    <x v="0"/>
  </r>
  <r>
    <n v="341"/>
    <s v="SA25"/>
    <x v="0"/>
    <d v="2024-10-11T00:00:00"/>
    <s v="Automated Credit VISION EXPRESS UK RG50570002329924"/>
    <n v="1245"/>
    <m/>
    <n v="17911.94"/>
    <n v="1245"/>
    <e v="#REF!"/>
    <e v="#REF!"/>
    <x v="0"/>
  </r>
  <r>
    <n v="342"/>
    <s v="SA25"/>
    <x v="0"/>
    <d v="2024-10-17T00:00:00"/>
    <s v="Card Transaction 4163 16OCT24 C THE GREAT WESTERN HOTE NEWQUAY GB"/>
    <m/>
    <n v="25"/>
    <n v="17886.94"/>
    <n v="-25"/>
    <e v="#REF!"/>
    <e v="#REF!"/>
    <x v="10"/>
  </r>
  <r>
    <n v="343"/>
    <s v="SA25"/>
    <x v="0"/>
    <d v="2024-10-17T00:00:00"/>
    <s v="Card Transaction 4163 16OCT24 C THE GREAT WESTERN HOTE NEWQUAY GB"/>
    <m/>
    <n v="16"/>
    <n v="17870.94"/>
    <n v="-16"/>
    <e v="#REF!"/>
    <e v="#REF!"/>
    <x v="10"/>
  </r>
  <r>
    <n v="344"/>
    <s v="SA25"/>
    <x v="0"/>
    <d v="2024-10-17T00:00:00"/>
    <s v="Card Transaction 4163 16OCT24 C FLOUNDERS FISH AND CH NEWQUAY GB"/>
    <m/>
    <n v="7.2"/>
    <n v="17863.74"/>
    <n v="-7.2"/>
    <e v="#REF!"/>
    <e v="#REF!"/>
    <x v="13"/>
  </r>
  <r>
    <n v="345"/>
    <s v="SA25"/>
    <x v="0"/>
    <d v="2024-10-18T00:00:00"/>
    <s v="Automated Credit VISION EXPRESS UK RG50570002423124"/>
    <n v="425"/>
    <m/>
    <n v="18288.74"/>
    <n v="425"/>
    <e v="#REF!"/>
    <e v="#REF!"/>
    <x v="0"/>
  </r>
  <r>
    <n v="346"/>
    <s v="SA25"/>
    <x v="0"/>
    <d v="2024-10-18T00:00:00"/>
    <s v="Card Transaction 4163 17OCT24 C THE GREAT WESTERN HOTE NEWQUAY GB"/>
    <m/>
    <n v="14.25"/>
    <n v="18274.49"/>
    <n v="-14.25"/>
    <e v="#REF!"/>
    <e v="#REF!"/>
    <x v="10"/>
  </r>
  <r>
    <n v="347"/>
    <s v="SA25"/>
    <x v="0"/>
    <d v="2024-10-23T00:00:00"/>
    <s v="Card Transaction 4163 22OCT24 C LIDL GB LAUNCESTON LAUNCESTON GB"/>
    <m/>
    <n v="76.28"/>
    <n v="18198.21"/>
    <n v="-76.28"/>
    <e v="#REF!"/>
    <e v="#REF!"/>
    <x v="20"/>
  </r>
  <r>
    <n v="348"/>
    <s v="SA25"/>
    <x v="0"/>
    <d v="2024-10-25T00:00:00"/>
    <s v="Automated Credit VISION EXPRESS UK RG50570002466924"/>
    <n v="1800"/>
    <m/>
    <n v="19998.21"/>
    <n v="1800"/>
    <e v="#REF!"/>
    <e v="#REF!"/>
    <x v="0"/>
  </r>
  <r>
    <n v="349"/>
    <s v="SA25"/>
    <x v="0"/>
    <d v="2024-10-30T00:00:00"/>
    <s v="Card Transaction 4163 29OCT24 C DRAKE CIRCUS CAR PARK PLYMOUTH GB"/>
    <m/>
    <n v="15"/>
    <n v="19983.21"/>
    <n v="-15"/>
    <e v="#REF!"/>
    <e v="#REF!"/>
    <x v="6"/>
  </r>
  <r>
    <n v="350"/>
    <s v="SA25"/>
    <x v="0"/>
    <d v="2024-10-31T00:00:00"/>
    <s v="Automated Credit VISION EXPRESS UK RG50570002549424"/>
    <n v="905"/>
    <m/>
    <n v="20888.21"/>
    <n v="905"/>
    <e v="#REF!"/>
    <e v="#REF!"/>
    <x v="0"/>
  </r>
  <r>
    <n v="351"/>
    <s v="SA25"/>
    <x v="0"/>
    <d v="2024-10-31T00:00:00"/>
    <s v="Charges 04OCT A/C 41204042"/>
    <m/>
    <n v="7.35"/>
    <n v="20880.86"/>
    <n v="-7.35"/>
    <e v="#REF!"/>
    <e v="#REF!"/>
    <x v="18"/>
  </r>
  <r>
    <n v="352"/>
    <s v="SA25"/>
    <x v="0"/>
    <d v="2024-10-31T00:00:00"/>
    <s v="Card Transaction 4163 30OCT24 C DRAKE CIRCUS CAR PARK PLYMOUTH GB"/>
    <m/>
    <n v="15"/>
    <n v="20865.86"/>
    <n v="-15"/>
    <e v="#REF!"/>
    <e v="#REF!"/>
    <x v="6"/>
  </r>
  <r>
    <n v="353"/>
    <s v="SA25"/>
    <x v="0"/>
    <d v="2024-11-01T00:00:00"/>
    <s v="Direct Debit THE COLLEGE OF OPT DD001773"/>
    <m/>
    <n v="26.33"/>
    <n v="20839.53"/>
    <n v="-26.33"/>
    <e v="#REF!"/>
    <e v="#REF!"/>
    <x v="1"/>
  </r>
  <r>
    <n v="354"/>
    <s v="SA25"/>
    <x v="0"/>
    <d v="2024-11-08T00:00:00"/>
    <s v="Automated Credit SCRIVENS LTD"/>
    <n v="990"/>
    <m/>
    <n v="21829.53"/>
    <n v="990"/>
    <e v="#REF!"/>
    <e v="#REF!"/>
    <x v="0"/>
  </r>
  <r>
    <n v="355"/>
    <s v="SA25"/>
    <x v="0"/>
    <d v="2024-11-11T00:00:00"/>
    <s v="Automated Credit VISION EXPRESS UK RG50570002619724"/>
    <n v="400"/>
    <m/>
    <n v="22229.53"/>
    <n v="400"/>
    <e v="#REF!"/>
    <e v="#REF!"/>
    <x v="0"/>
  </r>
  <r>
    <n v="356"/>
    <s v="SA25"/>
    <x v="0"/>
    <d v="2024-11-15T00:00:00"/>
    <s v="Automated Credit VISION EXPRESS UK RG50570002689724"/>
    <n v="1665"/>
    <m/>
    <n v="23894.53"/>
    <n v="1665"/>
    <e v="#REF!"/>
    <e v="#REF!"/>
    <x v="0"/>
  </r>
  <r>
    <n v="357"/>
    <s v="SA25"/>
    <x v="0"/>
    <d v="2024-11-15T00:00:00"/>
    <s v="Automated Credit BOOTS OPTICIANS PR 1003 2000024381 K"/>
    <n v="800"/>
    <m/>
    <n v="24694.53"/>
    <n v="800"/>
    <e v="#REF!"/>
    <e v="#REF!"/>
    <x v="0"/>
  </r>
  <r>
    <n v="358"/>
    <s v="SA25"/>
    <x v="0"/>
    <d v="2024-11-22T00:00:00"/>
    <s v="Automated Credit VISION EXPRESS UK RG50570002757824"/>
    <n v="1275"/>
    <m/>
    <n v="25969.53"/>
    <n v="1275"/>
    <e v="#REF!"/>
    <e v="#REF!"/>
    <x v="0"/>
  </r>
  <r>
    <n v="359"/>
    <s v="SA25"/>
    <x v="0"/>
    <d v="2024-11-25T00:00:00"/>
    <s v="Card Transaction 4163 24NOV24 1STFORMATIO NS.CO.UK LONDON GB"/>
    <m/>
    <n v="265.19"/>
    <n v="25704.34"/>
    <n v="-265.19"/>
    <e v="#REF!"/>
    <e v="#REF!"/>
    <x v="14"/>
  </r>
  <r>
    <n v="360"/>
    <s v="SA25"/>
    <x v="0"/>
    <d v="2024-11-29T00:00:00"/>
    <s v="Automated Credit VISION EXPRESS UK RG50570002837524"/>
    <n v="845"/>
    <m/>
    <n v="26549.34"/>
    <n v="845"/>
    <e v="#REF!"/>
    <e v="#REF!"/>
    <x v="0"/>
  </r>
  <r>
    <n v="361"/>
    <s v="SA25"/>
    <x v="0"/>
    <d v="2024-11-29T00:00:00"/>
    <s v="Charges 01NOV A/C 41204042"/>
    <m/>
    <n v="4.9"/>
    <n v="26544.44"/>
    <n v="-4.9"/>
    <e v="#REF!"/>
    <e v="#REF!"/>
    <x v="18"/>
  </r>
  <r>
    <n v="362"/>
    <s v="SA25"/>
    <x v="1"/>
    <d v="2024-12-02T00:00:00"/>
    <s v="OnLine Transaction CHIDO HOVE TRANSFER VIA MOBILE - PYMT FP 01/12/24 10 10095647708161000N"/>
    <m/>
    <n v="5000"/>
    <n v="21544.44"/>
    <n v="-5000"/>
    <e v="#REF!"/>
    <e v="#REF!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9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2:C25" firstHeaderRow="1" firstDataRow="2" firstDataCol="1"/>
  <pivotFields count="12">
    <pivotField showAll="0"/>
    <pivotField showAll="0"/>
    <pivotField axis="axisCol" showAll="0">
      <items count="4">
        <item m="1" x="2"/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4">
        <item x="16"/>
        <item x="18"/>
        <item x="9"/>
        <item x="2"/>
        <item m="1" x="24"/>
        <item x="17"/>
        <item x="19"/>
        <item x="10"/>
        <item x="0"/>
        <item m="1" x="25"/>
        <item x="13"/>
        <item m="1" x="26"/>
        <item x="6"/>
        <item m="1" x="21"/>
        <item m="1" x="30"/>
        <item x="5"/>
        <item x="1"/>
        <item x="8"/>
        <item x="14"/>
        <item x="3"/>
        <item x="7"/>
        <item m="1" x="29"/>
        <item m="1" x="22"/>
        <item m="1" x="32"/>
        <item m="1" x="31"/>
        <item m="1" x="27"/>
        <item x="12"/>
        <item x="20"/>
        <item x="11"/>
        <item x="15"/>
        <item m="1" x="28"/>
        <item x="4"/>
        <item m="1" x="23"/>
        <item t="default"/>
      </items>
    </pivotField>
  </pivotFields>
  <rowFields count="1">
    <field x="11"/>
  </rowFields>
  <rowItems count="22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10"/>
    </i>
    <i>
      <x v="12"/>
    </i>
    <i>
      <x v="15"/>
    </i>
    <i>
      <x v="16"/>
    </i>
    <i>
      <x v="17"/>
    </i>
    <i>
      <x v="18"/>
    </i>
    <i>
      <x v="19"/>
    </i>
    <i>
      <x v="20"/>
    </i>
    <i>
      <x v="26"/>
    </i>
    <i>
      <x v="27"/>
    </i>
    <i>
      <x v="28"/>
    </i>
    <i>
      <x v="29"/>
    </i>
    <i>
      <x v="31"/>
    </i>
    <i t="grand">
      <x/>
    </i>
  </rowItems>
  <colFields count="1">
    <field x="2"/>
  </colFields>
  <colItems count="2">
    <i>
      <x v="1"/>
    </i>
    <i>
      <x v="2"/>
    </i>
  </colItems>
  <dataFields count="1">
    <dataField name="Sum of NET" fld="8" baseField="11" baseItem="0" numFmtId="43"/>
  </dataFields>
  <formats count="12">
    <format dxfId="11">
      <pivotArea collapsedLevelsAreSubtotals="1" fieldPosition="0">
        <references count="2">
          <reference field="2" count="1" selected="0">
            <x v="1"/>
          </reference>
          <reference field="11" count="1">
            <x v="0"/>
          </reference>
        </references>
      </pivotArea>
    </format>
    <format dxfId="10">
      <pivotArea collapsedLevelsAreSubtotals="1" fieldPosition="0">
        <references count="2">
          <reference field="2" count="1" selected="0">
            <x v="1"/>
          </reference>
          <reference field="11" count="1">
            <x v="1"/>
          </reference>
        </references>
      </pivotArea>
    </format>
    <format dxfId="9">
      <pivotArea collapsedLevelsAreSubtotals="1" fieldPosition="0">
        <references count="2">
          <reference field="2" count="1" selected="0">
            <x v="1"/>
          </reference>
          <reference field="11" count="1">
            <x v="2"/>
          </reference>
        </references>
      </pivotArea>
    </format>
    <format dxfId="8">
      <pivotArea collapsedLevelsAreSubtotals="1" fieldPosition="0">
        <references count="2">
          <reference field="2" count="1" selected="0">
            <x v="1"/>
          </reference>
          <reference field="11" count="1">
            <x v="3"/>
          </reference>
        </references>
      </pivotArea>
    </format>
    <format dxfId="7">
      <pivotArea collapsedLevelsAreSubtotals="1" fieldPosition="0">
        <references count="2">
          <reference field="2" count="1" selected="0">
            <x v="1"/>
          </reference>
          <reference field="11" count="1">
            <x v="4"/>
          </reference>
        </references>
      </pivotArea>
    </format>
    <format dxfId="6">
      <pivotArea collapsedLevelsAreSubtotals="1" fieldPosition="0">
        <references count="2">
          <reference field="2" count="1" selected="0">
            <x v="1"/>
          </reference>
          <reference field="11" count="2">
            <x v="5"/>
            <x v="6"/>
          </reference>
        </references>
      </pivotArea>
    </format>
    <format dxfId="5">
      <pivotArea collapsedLevelsAreSubtotals="1" fieldPosition="0">
        <references count="2">
          <reference field="2" count="1" selected="0">
            <x v="1"/>
          </reference>
          <reference field="11" count="2">
            <x v="5"/>
            <x v="6"/>
          </reference>
        </references>
      </pivotArea>
    </format>
    <format dxfId="4">
      <pivotArea collapsedLevelsAreSubtotals="1" fieldPosition="0">
        <references count="2">
          <reference field="2" count="1" selected="0">
            <x v="1"/>
          </reference>
          <reference field="11" count="1">
            <x v="7"/>
          </reference>
        </references>
      </pivotArea>
    </format>
    <format dxfId="3">
      <pivotArea collapsedLevelsAreSubtotals="1" fieldPosition="0">
        <references count="2">
          <reference field="2" count="1" selected="0">
            <x v="1"/>
          </reference>
          <reference field="11" count="1">
            <x v="7"/>
          </reference>
        </references>
      </pivotArea>
    </format>
    <format dxfId="2">
      <pivotArea collapsedLevelsAreSubtotals="1" fieldPosition="0">
        <references count="2">
          <reference field="2" count="1" selected="0">
            <x v="1"/>
          </reference>
          <reference field="11" count="1">
            <x v="8"/>
          </reference>
        </references>
      </pivotArea>
    </format>
    <format dxfId="1">
      <pivotArea collapsedLevelsAreSubtotals="1" fieldPosition="0">
        <references count="2">
          <reference field="2" count="1" selected="0">
            <x v="1"/>
          </reference>
          <reference field="11" count="11">
            <x v="9"/>
            <x v="10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0">
      <pivotArea collapsedLevelsAreSubtotals="1" fieldPosition="0">
        <references count="2">
          <reference field="2" count="1" selected="0">
            <x v="1"/>
          </reference>
          <reference field="11" count="4">
            <x v="21"/>
            <x v="22"/>
            <x v="23"/>
            <x v="2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79"/>
  <sheetViews>
    <sheetView tabSelected="1" workbookViewId="0">
      <pane ySplit="1" topLeftCell="A229" activePane="bottomLeft" state="frozen"/>
      <selection pane="bottomLeft" activeCell="L278" sqref="L278"/>
    </sheetView>
  </sheetViews>
  <sheetFormatPr defaultRowHeight="15" x14ac:dyDescent="0.25"/>
  <cols>
    <col min="4" max="4" width="17.28515625" bestFit="1" customWidth="1"/>
    <col min="5" max="5" width="101" customWidth="1"/>
    <col min="6" max="7" width="9.5703125" style="1" bestFit="1" customWidth="1"/>
    <col min="8" max="8" width="10.5703125" style="1" bestFit="1" customWidth="1"/>
    <col min="9" max="9" width="9.5703125" style="1" bestFit="1" customWidth="1"/>
    <col min="10" max="10" width="10.5703125" style="1" bestFit="1" customWidth="1"/>
    <col min="11" max="11" width="13" style="16" bestFit="1" customWidth="1"/>
    <col min="12" max="12" width="20.85546875" customWidth="1"/>
    <col min="13" max="13" width="20.5703125" bestFit="1" customWidth="1"/>
    <col min="14" max="14" width="9.140625" customWidth="1"/>
  </cols>
  <sheetData>
    <row r="1" spans="1:13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16" t="s">
        <v>45</v>
      </c>
      <c r="L1" s="2" t="s">
        <v>46</v>
      </c>
    </row>
    <row r="2" spans="1:13" x14ac:dyDescent="0.25">
      <c r="A2">
        <v>151</v>
      </c>
      <c r="B2" t="s">
        <v>47</v>
      </c>
      <c r="C2" t="s">
        <v>3</v>
      </c>
      <c r="D2" s="5">
        <v>45261</v>
      </c>
      <c r="E2" t="s">
        <v>48</v>
      </c>
      <c r="F2" s="1">
        <v>1200</v>
      </c>
      <c r="H2" s="1">
        <v>13590.3</v>
      </c>
      <c r="I2" s="1">
        <f t="shared" ref="I2:I65" si="0">F2-G2</f>
        <v>1200</v>
      </c>
      <c r="J2" s="1">
        <v>13590.3</v>
      </c>
      <c r="K2" s="16">
        <f t="shared" ref="K2:K65" si="1">H2-J2</f>
        <v>0</v>
      </c>
      <c r="L2" t="s">
        <v>19</v>
      </c>
      <c r="M2" t="e">
        <f>VLOOKUP(A2,#REF!,6,FALSE)</f>
        <v>#REF!</v>
      </c>
    </row>
    <row r="3" spans="1:13" x14ac:dyDescent="0.25">
      <c r="A3">
        <v>152</v>
      </c>
      <c r="B3" t="s">
        <v>47</v>
      </c>
      <c r="C3" t="s">
        <v>3</v>
      </c>
      <c r="D3" s="5">
        <v>45261</v>
      </c>
      <c r="E3" t="s">
        <v>49</v>
      </c>
      <c r="F3" s="1">
        <v>2500</v>
      </c>
      <c r="H3" s="1">
        <v>16090.3</v>
      </c>
      <c r="I3" s="1">
        <f t="shared" si="0"/>
        <v>2500</v>
      </c>
      <c r="J3" s="1">
        <f t="shared" ref="J3:J66" si="2">J2+I3</f>
        <v>16090.3</v>
      </c>
      <c r="K3" s="16">
        <f t="shared" si="1"/>
        <v>0</v>
      </c>
      <c r="L3" t="s">
        <v>19</v>
      </c>
      <c r="M3" t="e">
        <f>VLOOKUP(A3,#REF!,6,FALSE)</f>
        <v>#REF!</v>
      </c>
    </row>
    <row r="4" spans="1:13" x14ac:dyDescent="0.25">
      <c r="A4">
        <v>153</v>
      </c>
      <c r="B4" t="s">
        <v>47</v>
      </c>
      <c r="C4" t="s">
        <v>3</v>
      </c>
      <c r="D4" s="5">
        <v>45261</v>
      </c>
      <c r="E4" t="s">
        <v>50</v>
      </c>
      <c r="G4" s="1">
        <v>25.42</v>
      </c>
      <c r="H4" s="1">
        <v>16064.88</v>
      </c>
      <c r="I4" s="1">
        <f t="shared" si="0"/>
        <v>-25.42</v>
      </c>
      <c r="J4" s="1">
        <f t="shared" si="2"/>
        <v>16064.88</v>
      </c>
      <c r="K4" s="16">
        <f t="shared" si="1"/>
        <v>0</v>
      </c>
      <c r="L4" t="s">
        <v>25</v>
      </c>
      <c r="M4" t="e">
        <f>VLOOKUP(A4,#REF!,6,FALSE)</f>
        <v>#REF!</v>
      </c>
    </row>
    <row r="5" spans="1:13" x14ac:dyDescent="0.25">
      <c r="A5">
        <v>154</v>
      </c>
      <c r="B5" t="s">
        <v>47</v>
      </c>
      <c r="C5" t="s">
        <v>3</v>
      </c>
      <c r="D5" s="5">
        <v>45266</v>
      </c>
      <c r="E5" t="s">
        <v>51</v>
      </c>
      <c r="G5" s="1">
        <v>1000</v>
      </c>
      <c r="H5" s="1">
        <v>15064.88</v>
      </c>
      <c r="I5" s="1">
        <f t="shared" si="0"/>
        <v>-1000</v>
      </c>
      <c r="J5" s="1">
        <f t="shared" si="2"/>
        <v>15064.88</v>
      </c>
      <c r="K5" s="16">
        <f t="shared" si="1"/>
        <v>0</v>
      </c>
      <c r="L5" t="s">
        <v>10</v>
      </c>
      <c r="M5" t="e">
        <f>VLOOKUP(A5,#REF!,6,FALSE)</f>
        <v>#REF!</v>
      </c>
    </row>
    <row r="6" spans="1:13" x14ac:dyDescent="0.25">
      <c r="A6">
        <v>155</v>
      </c>
      <c r="B6" t="s">
        <v>47</v>
      </c>
      <c r="C6" t="s">
        <v>3</v>
      </c>
      <c r="D6" s="5">
        <v>45267</v>
      </c>
      <c r="E6" t="s">
        <v>52</v>
      </c>
      <c r="F6" s="1">
        <v>850</v>
      </c>
      <c r="H6" s="1">
        <v>15914.88</v>
      </c>
      <c r="I6" s="1">
        <f t="shared" si="0"/>
        <v>850</v>
      </c>
      <c r="J6" s="1">
        <f t="shared" si="2"/>
        <v>15914.88</v>
      </c>
      <c r="K6" s="16">
        <f t="shared" si="1"/>
        <v>0</v>
      </c>
      <c r="L6" t="s">
        <v>19</v>
      </c>
      <c r="M6" t="e">
        <f>VLOOKUP(A6,#REF!,6,FALSE)</f>
        <v>#REF!</v>
      </c>
    </row>
    <row r="7" spans="1:13" x14ac:dyDescent="0.25">
      <c r="A7">
        <v>156</v>
      </c>
      <c r="B7" t="s">
        <v>47</v>
      </c>
      <c r="C7" t="s">
        <v>3</v>
      </c>
      <c r="D7" s="5">
        <v>45268</v>
      </c>
      <c r="E7" t="s">
        <v>53</v>
      </c>
      <c r="F7" s="1">
        <v>2400</v>
      </c>
      <c r="H7" s="1">
        <v>18314.88</v>
      </c>
      <c r="I7" s="1">
        <f t="shared" si="0"/>
        <v>2400</v>
      </c>
      <c r="J7" s="1">
        <f t="shared" si="2"/>
        <v>18314.879999999997</v>
      </c>
      <c r="K7" s="16">
        <f t="shared" si="1"/>
        <v>0</v>
      </c>
      <c r="L7" t="s">
        <v>19</v>
      </c>
      <c r="M7" t="e">
        <f>VLOOKUP(A7,#REF!,6,FALSE)</f>
        <v>#REF!</v>
      </c>
    </row>
    <row r="8" spans="1:13" x14ac:dyDescent="0.25">
      <c r="A8">
        <v>157</v>
      </c>
      <c r="B8" t="s">
        <v>47</v>
      </c>
      <c r="C8" t="s">
        <v>3</v>
      </c>
      <c r="D8" s="5">
        <v>45272</v>
      </c>
      <c r="E8" t="s">
        <v>54</v>
      </c>
      <c r="F8" s="1">
        <v>500</v>
      </c>
      <c r="H8" s="1">
        <v>18814.88</v>
      </c>
      <c r="I8" s="1">
        <f t="shared" si="0"/>
        <v>500</v>
      </c>
      <c r="J8" s="1">
        <f t="shared" si="2"/>
        <v>18814.879999999997</v>
      </c>
      <c r="K8" s="16">
        <f t="shared" si="1"/>
        <v>0</v>
      </c>
      <c r="L8" t="s">
        <v>19</v>
      </c>
      <c r="M8" t="e">
        <f>VLOOKUP(A8,#REF!,6,FALSE)</f>
        <v>#REF!</v>
      </c>
    </row>
    <row r="9" spans="1:13" x14ac:dyDescent="0.25">
      <c r="A9">
        <v>158</v>
      </c>
      <c r="B9" t="s">
        <v>47</v>
      </c>
      <c r="C9" t="s">
        <v>3</v>
      </c>
      <c r="D9" s="5">
        <v>45272</v>
      </c>
      <c r="E9" t="s">
        <v>55</v>
      </c>
      <c r="F9" s="10"/>
      <c r="G9" s="1">
        <v>5000</v>
      </c>
      <c r="H9" s="1">
        <v>13814.88</v>
      </c>
      <c r="I9" s="1">
        <f t="shared" si="0"/>
        <v>-5000</v>
      </c>
      <c r="J9" s="1">
        <f t="shared" si="2"/>
        <v>13814.879999999997</v>
      </c>
      <c r="K9" s="16">
        <f t="shared" si="1"/>
        <v>0</v>
      </c>
      <c r="L9" t="s">
        <v>10</v>
      </c>
      <c r="M9" t="e">
        <f>VLOOKUP(A9,#REF!,6,FALSE)</f>
        <v>#REF!</v>
      </c>
    </row>
    <row r="10" spans="1:13" x14ac:dyDescent="0.25">
      <c r="A10">
        <v>159</v>
      </c>
      <c r="B10" t="s">
        <v>47</v>
      </c>
      <c r="C10" t="s">
        <v>3</v>
      </c>
      <c r="D10" s="5">
        <v>45280</v>
      </c>
      <c r="E10" s="6" t="s">
        <v>56</v>
      </c>
      <c r="G10" s="4">
        <v>2.6</v>
      </c>
      <c r="H10" s="4">
        <v>13812.28</v>
      </c>
      <c r="I10" s="1">
        <f t="shared" si="0"/>
        <v>-2.6</v>
      </c>
      <c r="J10" s="1">
        <f t="shared" si="2"/>
        <v>13812.279999999997</v>
      </c>
      <c r="K10" s="16">
        <f t="shared" si="1"/>
        <v>0</v>
      </c>
      <c r="L10" t="s">
        <v>30</v>
      </c>
      <c r="M10" t="e">
        <f>VLOOKUP(A10,#REF!,6,FALSE)</f>
        <v>#REF!</v>
      </c>
    </row>
    <row r="11" spans="1:13" x14ac:dyDescent="0.25">
      <c r="A11">
        <v>160</v>
      </c>
      <c r="B11" t="s">
        <v>47</v>
      </c>
      <c r="C11" t="s">
        <v>3</v>
      </c>
      <c r="D11" s="5">
        <v>45653</v>
      </c>
      <c r="E11" s="7" t="s">
        <v>57</v>
      </c>
      <c r="G11" s="4">
        <v>1000</v>
      </c>
      <c r="H11" s="4">
        <v>12812.28</v>
      </c>
      <c r="I11" s="1">
        <f t="shared" si="0"/>
        <v>-1000</v>
      </c>
      <c r="J11" s="1">
        <f t="shared" si="2"/>
        <v>12812.279999999997</v>
      </c>
      <c r="K11" s="16">
        <f t="shared" si="1"/>
        <v>0</v>
      </c>
      <c r="L11" t="s">
        <v>10</v>
      </c>
      <c r="M11" t="e">
        <f>VLOOKUP(A11,#REF!,6,FALSE)</f>
        <v>#REF!</v>
      </c>
    </row>
    <row r="12" spans="1:13" x14ac:dyDescent="0.25">
      <c r="A12">
        <v>161</v>
      </c>
      <c r="B12" t="s">
        <v>47</v>
      </c>
      <c r="C12" t="s">
        <v>3</v>
      </c>
      <c r="D12" s="5">
        <v>45654</v>
      </c>
      <c r="E12" t="s">
        <v>58</v>
      </c>
      <c r="G12" s="4">
        <v>1000</v>
      </c>
      <c r="H12" s="4">
        <v>11812.28</v>
      </c>
      <c r="I12" s="1">
        <f t="shared" si="0"/>
        <v>-1000</v>
      </c>
      <c r="J12" s="1">
        <f t="shared" si="2"/>
        <v>11812.279999999997</v>
      </c>
      <c r="K12" s="16">
        <f t="shared" si="1"/>
        <v>0</v>
      </c>
      <c r="L12" t="s">
        <v>10</v>
      </c>
      <c r="M12" t="e">
        <f>VLOOKUP(A12,#REF!,6,FALSE)</f>
        <v>#REF!</v>
      </c>
    </row>
    <row r="13" spans="1:13" x14ac:dyDescent="0.25">
      <c r="A13">
        <v>162</v>
      </c>
      <c r="B13" t="s">
        <v>47</v>
      </c>
      <c r="C13" t="s">
        <v>3</v>
      </c>
      <c r="D13" s="5">
        <v>45293</v>
      </c>
      <c r="E13" t="s">
        <v>59</v>
      </c>
      <c r="G13" s="4">
        <v>1000</v>
      </c>
      <c r="H13" s="4">
        <v>10812.28</v>
      </c>
      <c r="I13" s="1">
        <f t="shared" si="0"/>
        <v>-1000</v>
      </c>
      <c r="J13" s="1">
        <f t="shared" si="2"/>
        <v>10812.279999999997</v>
      </c>
      <c r="K13" s="16">
        <f t="shared" si="1"/>
        <v>0</v>
      </c>
      <c r="L13" t="s">
        <v>10</v>
      </c>
      <c r="M13" t="e">
        <f>VLOOKUP(A13,#REF!,6,FALSE)</f>
        <v>#REF!</v>
      </c>
    </row>
    <row r="14" spans="1:13" x14ac:dyDescent="0.25">
      <c r="A14">
        <v>163</v>
      </c>
      <c r="B14" t="s">
        <v>47</v>
      </c>
      <c r="C14" t="s">
        <v>3</v>
      </c>
      <c r="D14" s="5">
        <v>45293</v>
      </c>
      <c r="E14" t="s">
        <v>60</v>
      </c>
      <c r="G14" s="4">
        <v>1000</v>
      </c>
      <c r="H14" s="4">
        <v>9812.2800000000007</v>
      </c>
      <c r="I14" s="1">
        <f t="shared" si="0"/>
        <v>-1000</v>
      </c>
      <c r="J14" s="1">
        <f t="shared" si="2"/>
        <v>9812.279999999997</v>
      </c>
      <c r="K14" s="16">
        <f t="shared" si="1"/>
        <v>0</v>
      </c>
      <c r="L14" t="s">
        <v>10</v>
      </c>
      <c r="M14" t="e">
        <f>VLOOKUP(A14,#REF!,6,FALSE)</f>
        <v>#REF!</v>
      </c>
    </row>
    <row r="15" spans="1:13" x14ac:dyDescent="0.25">
      <c r="A15">
        <v>164</v>
      </c>
      <c r="B15" t="s">
        <v>47</v>
      </c>
      <c r="C15" t="s">
        <v>3</v>
      </c>
      <c r="D15" s="5">
        <v>45293</v>
      </c>
      <c r="E15" t="s">
        <v>61</v>
      </c>
      <c r="G15" s="4">
        <v>30.7</v>
      </c>
      <c r="H15" s="4">
        <v>9781.58</v>
      </c>
      <c r="I15" s="1">
        <f t="shared" si="0"/>
        <v>-30.7</v>
      </c>
      <c r="J15" s="1">
        <f t="shared" si="2"/>
        <v>9781.5799999999963</v>
      </c>
      <c r="K15" s="16">
        <f t="shared" si="1"/>
        <v>0</v>
      </c>
      <c r="L15" t="s">
        <v>33</v>
      </c>
      <c r="M15" t="e">
        <f>VLOOKUP(A15,#REF!,6,FALSE)</f>
        <v>#REF!</v>
      </c>
    </row>
    <row r="16" spans="1:13" x14ac:dyDescent="0.25">
      <c r="A16">
        <v>165</v>
      </c>
      <c r="B16" t="s">
        <v>47</v>
      </c>
      <c r="C16" t="s">
        <v>3</v>
      </c>
      <c r="D16" s="5">
        <v>45293</v>
      </c>
      <c r="E16" t="s">
        <v>62</v>
      </c>
      <c r="G16" s="4">
        <v>25.42</v>
      </c>
      <c r="H16" s="4">
        <v>9756.16</v>
      </c>
      <c r="I16" s="1">
        <f t="shared" si="0"/>
        <v>-25.42</v>
      </c>
      <c r="J16" s="1">
        <f t="shared" si="2"/>
        <v>9756.1599999999962</v>
      </c>
      <c r="K16" s="16">
        <f t="shared" si="1"/>
        <v>0</v>
      </c>
      <c r="L16" t="s">
        <v>25</v>
      </c>
      <c r="M16" t="e">
        <f>VLOOKUP(A16,#REF!,6,FALSE)</f>
        <v>#REF!</v>
      </c>
    </row>
    <row r="17" spans="1:13" x14ac:dyDescent="0.25">
      <c r="A17">
        <v>166</v>
      </c>
      <c r="B17" t="s">
        <v>47</v>
      </c>
      <c r="C17" t="s">
        <v>3</v>
      </c>
      <c r="D17" s="5">
        <v>45293</v>
      </c>
      <c r="E17" t="s">
        <v>63</v>
      </c>
      <c r="G17" s="4">
        <v>72</v>
      </c>
      <c r="H17" s="4">
        <v>9684.16</v>
      </c>
      <c r="I17" s="1">
        <f t="shared" si="0"/>
        <v>-72</v>
      </c>
      <c r="J17" s="1">
        <f t="shared" si="2"/>
        <v>9684.1599999999962</v>
      </c>
      <c r="K17" s="16">
        <f t="shared" si="1"/>
        <v>0</v>
      </c>
      <c r="L17" t="s">
        <v>24</v>
      </c>
      <c r="M17" t="e">
        <f>VLOOKUP(A17,#REF!,6,FALSE)</f>
        <v>#REF!</v>
      </c>
    </row>
    <row r="18" spans="1:13" x14ac:dyDescent="0.25">
      <c r="A18">
        <v>167</v>
      </c>
      <c r="B18" t="s">
        <v>47</v>
      </c>
      <c r="C18" t="s">
        <v>3</v>
      </c>
      <c r="D18" s="5">
        <v>45296</v>
      </c>
      <c r="E18" t="s">
        <v>64</v>
      </c>
      <c r="F18" s="1">
        <v>1600</v>
      </c>
      <c r="G18" s="4"/>
      <c r="H18" s="4">
        <v>11284.16</v>
      </c>
      <c r="I18" s="1">
        <f t="shared" si="0"/>
        <v>1600</v>
      </c>
      <c r="J18" s="1">
        <f t="shared" si="2"/>
        <v>11284.159999999996</v>
      </c>
      <c r="K18" s="16">
        <f t="shared" si="1"/>
        <v>0</v>
      </c>
      <c r="L18" t="s">
        <v>19</v>
      </c>
      <c r="M18" t="e">
        <f>VLOOKUP(A18,#REF!,6,FALSE)</f>
        <v>#REF!</v>
      </c>
    </row>
    <row r="19" spans="1:13" x14ac:dyDescent="0.25">
      <c r="A19">
        <v>168</v>
      </c>
      <c r="B19" t="s">
        <v>47</v>
      </c>
      <c r="C19" t="s">
        <v>3</v>
      </c>
      <c r="D19" s="5">
        <v>45301</v>
      </c>
      <c r="E19" t="s">
        <v>64</v>
      </c>
      <c r="F19" s="1">
        <v>2500</v>
      </c>
      <c r="G19" s="4"/>
      <c r="H19" s="4">
        <v>13784.16</v>
      </c>
      <c r="I19" s="1">
        <f t="shared" si="0"/>
        <v>2500</v>
      </c>
      <c r="J19" s="1">
        <f t="shared" si="2"/>
        <v>13784.159999999996</v>
      </c>
      <c r="K19" s="16">
        <f t="shared" si="1"/>
        <v>0</v>
      </c>
      <c r="L19" t="s">
        <v>19</v>
      </c>
      <c r="M19" t="e">
        <f>VLOOKUP(A19,#REF!,6,FALSE)</f>
        <v>#REF!</v>
      </c>
    </row>
    <row r="20" spans="1:13" x14ac:dyDescent="0.25">
      <c r="A20">
        <v>169</v>
      </c>
      <c r="B20" t="s">
        <v>47</v>
      </c>
      <c r="C20" t="s">
        <v>3</v>
      </c>
      <c r="D20" s="5">
        <v>45301</v>
      </c>
      <c r="E20" t="s">
        <v>65</v>
      </c>
      <c r="G20" s="4">
        <v>2.6</v>
      </c>
      <c r="H20" s="4">
        <v>13781.56</v>
      </c>
      <c r="I20" s="1">
        <f t="shared" si="0"/>
        <v>-2.6</v>
      </c>
      <c r="J20" s="1">
        <f t="shared" si="2"/>
        <v>13781.559999999996</v>
      </c>
      <c r="K20" s="16">
        <f t="shared" si="1"/>
        <v>0</v>
      </c>
      <c r="L20" t="s">
        <v>30</v>
      </c>
      <c r="M20" t="e">
        <f>VLOOKUP(A20,#REF!,6,FALSE)</f>
        <v>#REF!</v>
      </c>
    </row>
    <row r="21" spans="1:13" x14ac:dyDescent="0.25">
      <c r="A21">
        <v>170</v>
      </c>
      <c r="B21" t="s">
        <v>47</v>
      </c>
      <c r="C21" t="s">
        <v>3</v>
      </c>
      <c r="D21" s="5">
        <v>45303</v>
      </c>
      <c r="E21" t="s">
        <v>66</v>
      </c>
      <c r="F21" s="1">
        <v>1760</v>
      </c>
      <c r="G21" s="4"/>
      <c r="H21" s="4">
        <v>15541.56</v>
      </c>
      <c r="I21" s="1">
        <f t="shared" si="0"/>
        <v>1760</v>
      </c>
      <c r="J21" s="1">
        <f t="shared" si="2"/>
        <v>15541.559999999996</v>
      </c>
      <c r="K21" s="16">
        <f t="shared" si="1"/>
        <v>0</v>
      </c>
      <c r="L21" t="s">
        <v>19</v>
      </c>
      <c r="M21" t="e">
        <f>VLOOKUP(A21,#REF!,6,FALSE)</f>
        <v>#REF!</v>
      </c>
    </row>
    <row r="22" spans="1:13" x14ac:dyDescent="0.25">
      <c r="A22">
        <v>171</v>
      </c>
      <c r="B22" t="s">
        <v>47</v>
      </c>
      <c r="C22" t="s">
        <v>3</v>
      </c>
      <c r="D22" s="5">
        <v>45303</v>
      </c>
      <c r="E22" t="s">
        <v>67</v>
      </c>
      <c r="G22" s="4">
        <v>2.6</v>
      </c>
      <c r="H22" s="4">
        <v>15538.96</v>
      </c>
      <c r="I22" s="1">
        <f t="shared" si="0"/>
        <v>-2.6</v>
      </c>
      <c r="J22" s="1">
        <f t="shared" si="2"/>
        <v>15538.959999999995</v>
      </c>
      <c r="K22" s="16">
        <f t="shared" si="1"/>
        <v>0</v>
      </c>
      <c r="L22" t="s">
        <v>30</v>
      </c>
      <c r="M22" t="e">
        <f>VLOOKUP(A22,#REF!,6,FALSE)</f>
        <v>#REF!</v>
      </c>
    </row>
    <row r="23" spans="1:13" x14ac:dyDescent="0.25">
      <c r="A23">
        <v>172</v>
      </c>
      <c r="B23" t="s">
        <v>47</v>
      </c>
      <c r="C23" t="s">
        <v>3</v>
      </c>
      <c r="D23" s="5">
        <v>45306</v>
      </c>
      <c r="E23" t="s">
        <v>68</v>
      </c>
      <c r="G23" s="4">
        <v>1000</v>
      </c>
      <c r="H23" s="1">
        <v>14538.96</v>
      </c>
      <c r="I23" s="1">
        <f t="shared" si="0"/>
        <v>-1000</v>
      </c>
      <c r="J23" s="1">
        <f t="shared" si="2"/>
        <v>14538.959999999995</v>
      </c>
      <c r="K23" s="16">
        <f t="shared" si="1"/>
        <v>0</v>
      </c>
      <c r="L23" t="s">
        <v>10</v>
      </c>
      <c r="M23" t="e">
        <f>VLOOKUP(A23,#REF!,6,FALSE)</f>
        <v>#REF!</v>
      </c>
    </row>
    <row r="24" spans="1:13" x14ac:dyDescent="0.25">
      <c r="A24">
        <v>173</v>
      </c>
      <c r="B24" t="s">
        <v>47</v>
      </c>
      <c r="C24" t="s">
        <v>3</v>
      </c>
      <c r="D24" s="5">
        <v>45306</v>
      </c>
      <c r="E24" t="s">
        <v>69</v>
      </c>
      <c r="G24" s="4">
        <v>22.02</v>
      </c>
      <c r="H24" s="1">
        <v>14516.94</v>
      </c>
      <c r="I24" s="1">
        <f t="shared" si="0"/>
        <v>-22.02</v>
      </c>
      <c r="J24" s="1">
        <f t="shared" si="2"/>
        <v>14516.939999999995</v>
      </c>
      <c r="K24" s="16">
        <f t="shared" si="1"/>
        <v>0</v>
      </c>
      <c r="L24" t="s">
        <v>33</v>
      </c>
      <c r="M24" t="e">
        <f>VLOOKUP(A24,#REF!,6,FALSE)</f>
        <v>#REF!</v>
      </c>
    </row>
    <row r="25" spans="1:13" x14ac:dyDescent="0.25">
      <c r="A25">
        <v>174</v>
      </c>
      <c r="B25" t="s">
        <v>47</v>
      </c>
      <c r="C25" t="s">
        <v>3</v>
      </c>
      <c r="D25" s="5">
        <v>45310</v>
      </c>
      <c r="E25" t="s">
        <v>70</v>
      </c>
      <c r="F25" s="1">
        <v>440</v>
      </c>
      <c r="G25" s="4"/>
      <c r="H25" s="1">
        <v>14956.94</v>
      </c>
      <c r="I25" s="1">
        <f t="shared" si="0"/>
        <v>440</v>
      </c>
      <c r="J25" s="1">
        <f t="shared" si="2"/>
        <v>14956.939999999995</v>
      </c>
      <c r="K25" s="16">
        <f t="shared" si="1"/>
        <v>0</v>
      </c>
      <c r="L25" t="s">
        <v>19</v>
      </c>
      <c r="M25" t="e">
        <f>VLOOKUP(A25,#REF!,6,FALSE)</f>
        <v>#REF!</v>
      </c>
    </row>
    <row r="26" spans="1:13" x14ac:dyDescent="0.25">
      <c r="A26">
        <v>175</v>
      </c>
      <c r="B26" t="s">
        <v>47</v>
      </c>
      <c r="C26" t="s">
        <v>3</v>
      </c>
      <c r="D26" s="5">
        <v>45310</v>
      </c>
      <c r="E26" t="s">
        <v>71</v>
      </c>
      <c r="F26" s="1">
        <v>1500</v>
      </c>
      <c r="G26" s="4"/>
      <c r="H26" s="1">
        <v>16456.939999999999</v>
      </c>
      <c r="I26" s="1">
        <f t="shared" si="0"/>
        <v>1500</v>
      </c>
      <c r="J26" s="1">
        <f t="shared" si="2"/>
        <v>16456.939999999995</v>
      </c>
      <c r="K26" s="16">
        <f t="shared" si="1"/>
        <v>0</v>
      </c>
      <c r="L26" t="s">
        <v>19</v>
      </c>
      <c r="M26" t="e">
        <f>VLOOKUP(A26,#REF!,6,FALSE)</f>
        <v>#REF!</v>
      </c>
    </row>
    <row r="27" spans="1:13" x14ac:dyDescent="0.25">
      <c r="A27">
        <v>176</v>
      </c>
      <c r="B27" t="s">
        <v>47</v>
      </c>
      <c r="C27" t="s">
        <v>3</v>
      </c>
      <c r="D27" s="5">
        <v>45314</v>
      </c>
      <c r="E27" t="s">
        <v>72</v>
      </c>
      <c r="G27" s="4">
        <v>2.6</v>
      </c>
      <c r="H27" s="1">
        <v>16454.34</v>
      </c>
      <c r="I27" s="1">
        <f t="shared" si="0"/>
        <v>-2.6</v>
      </c>
      <c r="J27" s="1">
        <f t="shared" si="2"/>
        <v>16454.339999999997</v>
      </c>
      <c r="K27" s="16">
        <f t="shared" si="1"/>
        <v>0</v>
      </c>
      <c r="L27" t="s">
        <v>30</v>
      </c>
      <c r="M27" t="e">
        <f>VLOOKUP(A27,#REF!,6,FALSE)</f>
        <v>#REF!</v>
      </c>
    </row>
    <row r="28" spans="1:13" x14ac:dyDescent="0.25">
      <c r="A28">
        <v>177</v>
      </c>
      <c r="B28" t="s">
        <v>47</v>
      </c>
      <c r="C28" t="s">
        <v>3</v>
      </c>
      <c r="D28" s="5">
        <v>45315</v>
      </c>
      <c r="E28" t="s">
        <v>73</v>
      </c>
      <c r="G28" s="4">
        <v>2.8</v>
      </c>
      <c r="H28" s="1">
        <v>16451.54</v>
      </c>
      <c r="I28" s="1">
        <f t="shared" si="0"/>
        <v>-2.8</v>
      </c>
      <c r="J28" s="1">
        <f t="shared" si="2"/>
        <v>16451.539999999997</v>
      </c>
      <c r="K28" s="16">
        <f t="shared" si="1"/>
        <v>0</v>
      </c>
      <c r="L28" t="s">
        <v>22</v>
      </c>
      <c r="M28" t="e">
        <f>VLOOKUP(A28,#REF!,6,FALSE)</f>
        <v>#REF!</v>
      </c>
    </row>
    <row r="29" spans="1:13" x14ac:dyDescent="0.25">
      <c r="A29">
        <v>178</v>
      </c>
      <c r="B29" t="s">
        <v>47</v>
      </c>
      <c r="C29" t="s">
        <v>3</v>
      </c>
      <c r="D29" s="5">
        <v>45315</v>
      </c>
      <c r="E29" t="s">
        <v>64</v>
      </c>
      <c r="F29" s="1">
        <v>399.97</v>
      </c>
      <c r="G29" s="4"/>
      <c r="H29" s="1">
        <v>16851.509999999998</v>
      </c>
      <c r="I29" s="1">
        <f t="shared" si="0"/>
        <v>399.97</v>
      </c>
      <c r="J29" s="1">
        <f t="shared" si="2"/>
        <v>16851.509999999998</v>
      </c>
      <c r="K29" s="16">
        <f t="shared" si="1"/>
        <v>0</v>
      </c>
      <c r="L29" t="s">
        <v>19</v>
      </c>
      <c r="M29" t="e">
        <f>VLOOKUP(A29,#REF!,6,FALSE)</f>
        <v>#REF!</v>
      </c>
    </row>
    <row r="30" spans="1:13" x14ac:dyDescent="0.25">
      <c r="A30">
        <v>179</v>
      </c>
      <c r="B30" t="s">
        <v>47</v>
      </c>
      <c r="C30" t="s">
        <v>3</v>
      </c>
      <c r="D30" s="5">
        <v>45316</v>
      </c>
      <c r="E30" t="s">
        <v>74</v>
      </c>
      <c r="G30" s="4">
        <v>2.6</v>
      </c>
      <c r="H30" s="4">
        <v>16848.91</v>
      </c>
      <c r="I30" s="1">
        <f t="shared" si="0"/>
        <v>-2.6</v>
      </c>
      <c r="J30" s="1">
        <f t="shared" si="2"/>
        <v>16848.91</v>
      </c>
      <c r="K30" s="16">
        <f t="shared" si="1"/>
        <v>0</v>
      </c>
      <c r="L30" t="s">
        <v>30</v>
      </c>
      <c r="M30" t="e">
        <f>VLOOKUP(A30,#REF!,6,FALSE)</f>
        <v>#REF!</v>
      </c>
    </row>
    <row r="31" spans="1:13" x14ac:dyDescent="0.25">
      <c r="A31">
        <v>180</v>
      </c>
      <c r="B31" t="s">
        <v>47</v>
      </c>
      <c r="C31" t="s">
        <v>3</v>
      </c>
      <c r="D31" s="5">
        <v>45316</v>
      </c>
      <c r="E31" t="s">
        <v>74</v>
      </c>
      <c r="G31" s="4">
        <v>2.6</v>
      </c>
      <c r="H31" s="1">
        <v>16846.310000000001</v>
      </c>
      <c r="I31" s="1">
        <f t="shared" si="0"/>
        <v>-2.6</v>
      </c>
      <c r="J31" s="1">
        <f t="shared" si="2"/>
        <v>16846.310000000001</v>
      </c>
      <c r="K31" s="16">
        <f t="shared" si="1"/>
        <v>0</v>
      </c>
      <c r="L31" t="s">
        <v>30</v>
      </c>
      <c r="M31" t="e">
        <f>VLOOKUP(A31,#REF!,6,FALSE)</f>
        <v>#REF!</v>
      </c>
    </row>
    <row r="32" spans="1:13" x14ac:dyDescent="0.25">
      <c r="A32">
        <v>181</v>
      </c>
      <c r="B32" t="s">
        <v>47</v>
      </c>
      <c r="C32" t="s">
        <v>3</v>
      </c>
      <c r="D32" s="5">
        <v>45320</v>
      </c>
      <c r="E32" t="s">
        <v>75</v>
      </c>
      <c r="F32" s="1">
        <v>400</v>
      </c>
      <c r="G32" s="4"/>
      <c r="H32" s="4">
        <v>17246.310000000001</v>
      </c>
      <c r="I32" s="1">
        <f t="shared" si="0"/>
        <v>400</v>
      </c>
      <c r="J32" s="1">
        <f t="shared" si="2"/>
        <v>17246.310000000001</v>
      </c>
      <c r="K32" s="16">
        <f t="shared" si="1"/>
        <v>0</v>
      </c>
      <c r="L32" t="s">
        <v>19</v>
      </c>
      <c r="M32" t="e">
        <f>VLOOKUP(A32,#REF!,6,FALSE)</f>
        <v>#REF!</v>
      </c>
    </row>
    <row r="33" spans="1:13" x14ac:dyDescent="0.25">
      <c r="A33">
        <v>182</v>
      </c>
      <c r="B33" t="s">
        <v>47</v>
      </c>
      <c r="C33" t="s">
        <v>3</v>
      </c>
      <c r="D33" s="5">
        <v>45320</v>
      </c>
      <c r="E33" t="s">
        <v>76</v>
      </c>
      <c r="G33" s="4">
        <v>1000</v>
      </c>
      <c r="H33" s="4">
        <v>16246.31</v>
      </c>
      <c r="I33" s="1">
        <f t="shared" si="0"/>
        <v>-1000</v>
      </c>
      <c r="J33" s="1">
        <f t="shared" si="2"/>
        <v>16246.310000000001</v>
      </c>
      <c r="K33" s="16">
        <f t="shared" si="1"/>
        <v>0</v>
      </c>
      <c r="L33" t="s">
        <v>10</v>
      </c>
      <c r="M33" t="e">
        <f>VLOOKUP(A33,#REF!,6,FALSE)</f>
        <v>#REF!</v>
      </c>
    </row>
    <row r="34" spans="1:13" x14ac:dyDescent="0.25">
      <c r="A34">
        <v>183</v>
      </c>
      <c r="B34" t="s">
        <v>47</v>
      </c>
      <c r="C34" t="s">
        <v>3</v>
      </c>
      <c r="D34" s="5">
        <v>45322</v>
      </c>
      <c r="E34" t="s">
        <v>64</v>
      </c>
      <c r="F34" s="1">
        <v>2000</v>
      </c>
      <c r="G34" s="4"/>
      <c r="H34" s="4">
        <v>18246.310000000001</v>
      </c>
      <c r="I34" s="1">
        <f t="shared" si="0"/>
        <v>2000</v>
      </c>
      <c r="J34" s="1">
        <f t="shared" si="2"/>
        <v>18246.310000000001</v>
      </c>
      <c r="K34" s="16">
        <f t="shared" si="1"/>
        <v>0</v>
      </c>
      <c r="L34" t="s">
        <v>19</v>
      </c>
      <c r="M34" t="e">
        <f>VLOOKUP(A34,#REF!,6,FALSE)</f>
        <v>#REF!</v>
      </c>
    </row>
    <row r="35" spans="1:13" x14ac:dyDescent="0.25">
      <c r="A35">
        <v>184</v>
      </c>
      <c r="B35" t="s">
        <v>47</v>
      </c>
      <c r="C35" t="s">
        <v>3</v>
      </c>
      <c r="D35" s="5">
        <v>45323</v>
      </c>
      <c r="E35" t="s">
        <v>77</v>
      </c>
      <c r="G35" s="4">
        <v>25.42</v>
      </c>
      <c r="H35" s="4">
        <v>18220.89</v>
      </c>
      <c r="I35" s="1">
        <f t="shared" si="0"/>
        <v>-25.42</v>
      </c>
      <c r="J35" s="1">
        <f t="shared" si="2"/>
        <v>18220.890000000003</v>
      </c>
      <c r="K35" s="16">
        <f t="shared" si="1"/>
        <v>0</v>
      </c>
      <c r="L35" t="s">
        <v>25</v>
      </c>
      <c r="M35" t="e">
        <f>VLOOKUP(A35,#REF!,6,FALSE)</f>
        <v>#REF!</v>
      </c>
    </row>
    <row r="36" spans="1:13" x14ac:dyDescent="0.25">
      <c r="A36">
        <v>185</v>
      </c>
      <c r="B36" t="s">
        <v>47</v>
      </c>
      <c r="C36" t="s">
        <v>3</v>
      </c>
      <c r="D36" s="5">
        <v>45323</v>
      </c>
      <c r="E36" t="s">
        <v>63</v>
      </c>
      <c r="G36" s="4">
        <v>72</v>
      </c>
      <c r="H36" s="4">
        <v>18148.89</v>
      </c>
      <c r="I36" s="1">
        <f t="shared" si="0"/>
        <v>-72</v>
      </c>
      <c r="J36" s="1">
        <f t="shared" si="2"/>
        <v>18148.890000000003</v>
      </c>
      <c r="K36" s="16">
        <f t="shared" si="1"/>
        <v>0</v>
      </c>
      <c r="L36" t="s">
        <v>24</v>
      </c>
      <c r="M36" t="e">
        <f>VLOOKUP(A36,#REF!,6,FALSE)</f>
        <v>#REF!</v>
      </c>
    </row>
    <row r="37" spans="1:13" x14ac:dyDescent="0.25">
      <c r="A37">
        <v>186</v>
      </c>
      <c r="B37" t="s">
        <v>47</v>
      </c>
      <c r="C37" t="s">
        <v>3</v>
      </c>
      <c r="D37" s="5">
        <v>45324</v>
      </c>
      <c r="E37" t="s">
        <v>78</v>
      </c>
      <c r="F37" s="1">
        <v>880</v>
      </c>
      <c r="G37" s="4"/>
      <c r="H37" s="4">
        <v>19028.89</v>
      </c>
      <c r="I37" s="1">
        <f t="shared" si="0"/>
        <v>880</v>
      </c>
      <c r="J37" s="1">
        <f t="shared" si="2"/>
        <v>19028.890000000003</v>
      </c>
      <c r="K37" s="16">
        <f t="shared" si="1"/>
        <v>0</v>
      </c>
      <c r="L37" t="s">
        <v>19</v>
      </c>
      <c r="M37" t="e">
        <f>VLOOKUP(A37,#REF!,6,FALSE)</f>
        <v>#REF!</v>
      </c>
    </row>
    <row r="38" spans="1:13" x14ac:dyDescent="0.25">
      <c r="A38">
        <v>187</v>
      </c>
      <c r="B38" t="s">
        <v>47</v>
      </c>
      <c r="C38" t="s">
        <v>3</v>
      </c>
      <c r="D38" s="5">
        <v>45324</v>
      </c>
      <c r="E38" t="s">
        <v>79</v>
      </c>
      <c r="G38" s="4">
        <v>3000</v>
      </c>
      <c r="H38" s="4">
        <v>16028.89</v>
      </c>
      <c r="I38" s="1">
        <f t="shared" si="0"/>
        <v>-3000</v>
      </c>
      <c r="J38" s="1">
        <f t="shared" si="2"/>
        <v>16028.890000000003</v>
      </c>
      <c r="K38" s="16">
        <f t="shared" si="1"/>
        <v>0</v>
      </c>
      <c r="L38" t="s">
        <v>10</v>
      </c>
      <c r="M38" t="e">
        <f>VLOOKUP(A38,#REF!,6,FALSE)</f>
        <v>#REF!</v>
      </c>
    </row>
    <row r="39" spans="1:13" x14ac:dyDescent="0.25">
      <c r="A39">
        <v>188</v>
      </c>
      <c r="B39" t="s">
        <v>47</v>
      </c>
      <c r="C39" t="s">
        <v>3</v>
      </c>
      <c r="D39" s="5">
        <v>45324</v>
      </c>
      <c r="E39" t="s">
        <v>80</v>
      </c>
      <c r="G39" s="4">
        <v>2.6</v>
      </c>
      <c r="H39" s="4">
        <v>16026.29</v>
      </c>
      <c r="I39" s="1">
        <f t="shared" si="0"/>
        <v>-2.6</v>
      </c>
      <c r="J39" s="1">
        <f t="shared" si="2"/>
        <v>16026.290000000003</v>
      </c>
      <c r="K39" s="16">
        <f t="shared" si="1"/>
        <v>0</v>
      </c>
      <c r="L39" t="s">
        <v>30</v>
      </c>
      <c r="M39" t="e">
        <f>VLOOKUP(A39,#REF!,6,FALSE)</f>
        <v>#REF!</v>
      </c>
    </row>
    <row r="40" spans="1:13" x14ac:dyDescent="0.25">
      <c r="A40">
        <v>189</v>
      </c>
      <c r="B40" t="s">
        <v>47</v>
      </c>
      <c r="C40" t="s">
        <v>3</v>
      </c>
      <c r="D40" s="5">
        <v>45330</v>
      </c>
      <c r="E40" t="s">
        <v>80</v>
      </c>
      <c r="G40" s="4">
        <v>2.6</v>
      </c>
      <c r="H40" s="4">
        <v>16023.69</v>
      </c>
      <c r="I40" s="1">
        <f t="shared" si="0"/>
        <v>-2.6</v>
      </c>
      <c r="J40" s="1">
        <f t="shared" si="2"/>
        <v>16023.690000000002</v>
      </c>
      <c r="K40" s="16">
        <f t="shared" si="1"/>
        <v>0</v>
      </c>
      <c r="L40" t="s">
        <v>30</v>
      </c>
      <c r="M40" t="e">
        <f>VLOOKUP(A40,#REF!,6,FALSE)</f>
        <v>#REF!</v>
      </c>
    </row>
    <row r="41" spans="1:13" x14ac:dyDescent="0.25">
      <c r="A41">
        <v>190</v>
      </c>
      <c r="B41" t="s">
        <v>47</v>
      </c>
      <c r="C41" t="s">
        <v>3</v>
      </c>
      <c r="D41" s="5">
        <v>45331</v>
      </c>
      <c r="E41" t="s">
        <v>81</v>
      </c>
      <c r="F41" s="1">
        <v>880</v>
      </c>
      <c r="G41" s="4"/>
      <c r="H41" s="4">
        <v>16903.689999999999</v>
      </c>
      <c r="I41" s="1">
        <f t="shared" si="0"/>
        <v>880</v>
      </c>
      <c r="J41" s="1">
        <f t="shared" si="2"/>
        <v>16903.690000000002</v>
      </c>
      <c r="K41" s="16">
        <f t="shared" si="1"/>
        <v>0</v>
      </c>
      <c r="L41" t="s">
        <v>19</v>
      </c>
      <c r="M41" t="e">
        <f>VLOOKUP(A41,#REF!,6,FALSE)</f>
        <v>#REF!</v>
      </c>
    </row>
    <row r="42" spans="1:13" x14ac:dyDescent="0.25">
      <c r="A42">
        <v>191</v>
      </c>
      <c r="B42" t="s">
        <v>47</v>
      </c>
      <c r="C42" t="s">
        <v>3</v>
      </c>
      <c r="D42" s="5">
        <v>45337</v>
      </c>
      <c r="E42" s="3" t="s">
        <v>82</v>
      </c>
      <c r="F42" s="4">
        <v>450</v>
      </c>
      <c r="G42" s="4"/>
      <c r="H42" s="4">
        <v>17353.689999999999</v>
      </c>
      <c r="I42" s="1">
        <f t="shared" si="0"/>
        <v>450</v>
      </c>
      <c r="J42" s="1">
        <f t="shared" si="2"/>
        <v>17353.690000000002</v>
      </c>
      <c r="K42" s="16">
        <f t="shared" si="1"/>
        <v>0</v>
      </c>
      <c r="L42" t="s">
        <v>19</v>
      </c>
      <c r="M42" t="e">
        <f>VLOOKUP(A42,#REF!,6,FALSE)</f>
        <v>#REF!</v>
      </c>
    </row>
    <row r="43" spans="1:13" x14ac:dyDescent="0.25">
      <c r="A43">
        <v>192</v>
      </c>
      <c r="B43" t="s">
        <v>47</v>
      </c>
      <c r="C43" t="s">
        <v>3</v>
      </c>
      <c r="D43" s="5">
        <v>45341</v>
      </c>
      <c r="E43" s="3" t="s">
        <v>83</v>
      </c>
      <c r="F43" s="4"/>
      <c r="G43" s="4">
        <v>120</v>
      </c>
      <c r="H43" s="4">
        <v>17233.689999999999</v>
      </c>
      <c r="I43" s="1">
        <f t="shared" si="0"/>
        <v>-120</v>
      </c>
      <c r="J43" s="1">
        <f t="shared" si="2"/>
        <v>17233.690000000002</v>
      </c>
      <c r="K43" s="16">
        <f t="shared" si="1"/>
        <v>0</v>
      </c>
      <c r="L43" t="s">
        <v>10</v>
      </c>
      <c r="M43" t="e">
        <f>VLOOKUP(A43,#REF!,6,FALSE)</f>
        <v>#REF!</v>
      </c>
    </row>
    <row r="44" spans="1:13" x14ac:dyDescent="0.25">
      <c r="A44">
        <v>193</v>
      </c>
      <c r="B44" t="s">
        <v>47</v>
      </c>
      <c r="C44" t="s">
        <v>3</v>
      </c>
      <c r="D44" s="5">
        <v>45341</v>
      </c>
      <c r="E44" s="3" t="s">
        <v>84</v>
      </c>
      <c r="F44" s="4"/>
      <c r="G44" s="4">
        <v>2.6</v>
      </c>
      <c r="H44" s="4">
        <v>17231.09</v>
      </c>
      <c r="I44" s="1">
        <f t="shared" si="0"/>
        <v>-2.6</v>
      </c>
      <c r="J44" s="1">
        <f t="shared" si="2"/>
        <v>17231.090000000004</v>
      </c>
      <c r="K44" s="16">
        <f t="shared" si="1"/>
        <v>0</v>
      </c>
      <c r="L44" t="s">
        <v>30</v>
      </c>
      <c r="M44" t="e">
        <f>VLOOKUP(A44,#REF!,6,FALSE)</f>
        <v>#REF!</v>
      </c>
    </row>
    <row r="45" spans="1:13" x14ac:dyDescent="0.25">
      <c r="A45">
        <v>194</v>
      </c>
      <c r="B45" t="s">
        <v>47</v>
      </c>
      <c r="C45" t="s">
        <v>3</v>
      </c>
      <c r="D45" s="5">
        <v>45342</v>
      </c>
      <c r="E45" s="3" t="s">
        <v>85</v>
      </c>
      <c r="F45" s="4"/>
      <c r="G45" s="4">
        <v>5000</v>
      </c>
      <c r="H45" s="4">
        <v>12231.09</v>
      </c>
      <c r="I45" s="1">
        <f t="shared" si="0"/>
        <v>-5000</v>
      </c>
      <c r="J45" s="1">
        <f t="shared" si="2"/>
        <v>12231.090000000004</v>
      </c>
      <c r="K45" s="16">
        <f t="shared" si="1"/>
        <v>0</v>
      </c>
      <c r="L45" t="s">
        <v>10</v>
      </c>
      <c r="M45" t="e">
        <f>VLOOKUP(A45,#REF!,6,FALSE)</f>
        <v>#REF!</v>
      </c>
    </row>
    <row r="46" spans="1:13" x14ac:dyDescent="0.25">
      <c r="A46">
        <v>195</v>
      </c>
      <c r="B46" t="s">
        <v>47</v>
      </c>
      <c r="C46" t="s">
        <v>3</v>
      </c>
      <c r="D46" s="5">
        <v>45345</v>
      </c>
      <c r="E46" s="3" t="s">
        <v>64</v>
      </c>
      <c r="F46" s="4">
        <v>5500</v>
      </c>
      <c r="G46" s="4"/>
      <c r="H46" s="4">
        <v>17731.09</v>
      </c>
      <c r="I46" s="1">
        <f t="shared" si="0"/>
        <v>5500</v>
      </c>
      <c r="J46" s="1">
        <f t="shared" si="2"/>
        <v>17731.090000000004</v>
      </c>
      <c r="K46" s="16">
        <f t="shared" si="1"/>
        <v>0</v>
      </c>
      <c r="L46" t="s">
        <v>19</v>
      </c>
      <c r="M46" t="e">
        <f>VLOOKUP(A46,#REF!,6,FALSE)</f>
        <v>#REF!</v>
      </c>
    </row>
    <row r="47" spans="1:13" x14ac:dyDescent="0.25">
      <c r="A47">
        <v>196</v>
      </c>
      <c r="B47" t="s">
        <v>47</v>
      </c>
      <c r="C47" t="s">
        <v>3</v>
      </c>
      <c r="D47" s="5">
        <v>45345</v>
      </c>
      <c r="E47" s="3" t="s">
        <v>86</v>
      </c>
      <c r="F47" s="4"/>
      <c r="G47" s="4">
        <v>2.6</v>
      </c>
      <c r="H47" s="4">
        <v>17728.490000000002</v>
      </c>
      <c r="I47" s="1">
        <f t="shared" si="0"/>
        <v>-2.6</v>
      </c>
      <c r="J47" s="1">
        <f t="shared" si="2"/>
        <v>17728.490000000005</v>
      </c>
      <c r="K47" s="16">
        <f t="shared" si="1"/>
        <v>0</v>
      </c>
      <c r="L47" t="s">
        <v>30</v>
      </c>
      <c r="M47" t="e">
        <f>VLOOKUP(A47,#REF!,6,FALSE)</f>
        <v>#REF!</v>
      </c>
    </row>
    <row r="48" spans="1:13" x14ac:dyDescent="0.25">
      <c r="A48">
        <v>197</v>
      </c>
      <c r="B48" t="s">
        <v>47</v>
      </c>
      <c r="C48" t="s">
        <v>3</v>
      </c>
      <c r="D48" s="5">
        <v>45351</v>
      </c>
      <c r="E48" s="3" t="s">
        <v>87</v>
      </c>
      <c r="F48" s="4"/>
      <c r="G48" s="4">
        <v>2.6</v>
      </c>
      <c r="H48" s="4">
        <v>17725.89</v>
      </c>
      <c r="I48" s="1">
        <f t="shared" si="0"/>
        <v>-2.6</v>
      </c>
      <c r="J48" s="1">
        <f t="shared" si="2"/>
        <v>17725.890000000007</v>
      </c>
      <c r="K48" s="16">
        <f t="shared" si="1"/>
        <v>0</v>
      </c>
      <c r="L48" t="s">
        <v>30</v>
      </c>
      <c r="M48" t="e">
        <f>VLOOKUP(A48,#REF!,6,FALSE)</f>
        <v>#REF!</v>
      </c>
    </row>
    <row r="49" spans="1:13" x14ac:dyDescent="0.25">
      <c r="A49">
        <v>198</v>
      </c>
      <c r="B49" t="s">
        <v>47</v>
      </c>
      <c r="C49" t="s">
        <v>3</v>
      </c>
      <c r="D49" s="5">
        <v>45352</v>
      </c>
      <c r="E49" s="3" t="s">
        <v>88</v>
      </c>
      <c r="F49" s="4">
        <v>495</v>
      </c>
      <c r="G49" s="4"/>
      <c r="H49" s="4">
        <v>18220.89</v>
      </c>
      <c r="I49" s="1">
        <f t="shared" si="0"/>
        <v>495</v>
      </c>
      <c r="J49" s="1">
        <f t="shared" si="2"/>
        <v>18220.890000000007</v>
      </c>
      <c r="K49" s="16">
        <f t="shared" si="1"/>
        <v>0</v>
      </c>
      <c r="L49" t="s">
        <v>19</v>
      </c>
      <c r="M49" t="e">
        <f>VLOOKUP(A49,#REF!,6,FALSE)</f>
        <v>#REF!</v>
      </c>
    </row>
    <row r="50" spans="1:13" x14ac:dyDescent="0.25">
      <c r="A50">
        <v>199</v>
      </c>
      <c r="B50" t="s">
        <v>47</v>
      </c>
      <c r="C50" t="s">
        <v>3</v>
      </c>
      <c r="D50" s="5">
        <v>45352</v>
      </c>
      <c r="E50" s="3" t="s">
        <v>64</v>
      </c>
      <c r="F50" s="4">
        <v>2500</v>
      </c>
      <c r="G50" s="4"/>
      <c r="H50" s="4">
        <v>20720.89</v>
      </c>
      <c r="I50" s="1">
        <f t="shared" si="0"/>
        <v>2500</v>
      </c>
      <c r="J50" s="1">
        <f t="shared" si="2"/>
        <v>20720.890000000007</v>
      </c>
      <c r="K50" s="16">
        <f t="shared" si="1"/>
        <v>0</v>
      </c>
      <c r="L50" t="s">
        <v>19</v>
      </c>
      <c r="M50" t="e">
        <f>VLOOKUP(A50,#REF!,6,FALSE)</f>
        <v>#REF!</v>
      </c>
    </row>
    <row r="51" spans="1:13" x14ac:dyDescent="0.25">
      <c r="A51">
        <v>200</v>
      </c>
      <c r="B51" t="s">
        <v>47</v>
      </c>
      <c r="C51" t="s">
        <v>3</v>
      </c>
      <c r="D51" s="5">
        <v>45352</v>
      </c>
      <c r="E51" s="3" t="s">
        <v>89</v>
      </c>
      <c r="F51" s="4">
        <v>425</v>
      </c>
      <c r="G51" s="4"/>
      <c r="H51" s="4">
        <v>21145.89</v>
      </c>
      <c r="I51" s="1">
        <f t="shared" si="0"/>
        <v>425</v>
      </c>
      <c r="J51" s="1">
        <f t="shared" si="2"/>
        <v>21145.890000000007</v>
      </c>
      <c r="K51" s="16">
        <f t="shared" si="1"/>
        <v>0</v>
      </c>
      <c r="L51" t="s">
        <v>19</v>
      </c>
      <c r="M51" t="e">
        <f>VLOOKUP(A51,#REF!,6,FALSE)</f>
        <v>#REF!</v>
      </c>
    </row>
    <row r="52" spans="1:13" x14ac:dyDescent="0.25">
      <c r="A52">
        <v>201</v>
      </c>
      <c r="B52" t="s">
        <v>47</v>
      </c>
      <c r="C52" t="s">
        <v>3</v>
      </c>
      <c r="D52" s="5">
        <v>45352</v>
      </c>
      <c r="E52" s="3" t="s">
        <v>90</v>
      </c>
      <c r="F52" s="4"/>
      <c r="G52" s="4">
        <v>2.6</v>
      </c>
      <c r="H52" s="4">
        <v>21143.29</v>
      </c>
      <c r="I52" s="1">
        <f t="shared" si="0"/>
        <v>-2.6</v>
      </c>
      <c r="J52" s="1">
        <f t="shared" si="2"/>
        <v>21143.290000000008</v>
      </c>
      <c r="K52" s="16">
        <f t="shared" si="1"/>
        <v>0</v>
      </c>
      <c r="L52" t="s">
        <v>30</v>
      </c>
      <c r="M52" t="e">
        <f>VLOOKUP(A52,#REF!,6,FALSE)</f>
        <v>#REF!</v>
      </c>
    </row>
    <row r="53" spans="1:13" x14ac:dyDescent="0.25">
      <c r="A53">
        <v>202</v>
      </c>
      <c r="B53" t="s">
        <v>47</v>
      </c>
      <c r="C53" t="s">
        <v>3</v>
      </c>
      <c r="D53" s="5">
        <v>45352</v>
      </c>
      <c r="E53" s="3" t="s">
        <v>62</v>
      </c>
      <c r="F53" s="4"/>
      <c r="G53" s="4">
        <v>25.42</v>
      </c>
      <c r="H53" s="4">
        <v>21117.87</v>
      </c>
      <c r="I53" s="1">
        <f t="shared" si="0"/>
        <v>-25.42</v>
      </c>
      <c r="J53" s="1">
        <f t="shared" si="2"/>
        <v>21117.87000000001</v>
      </c>
      <c r="K53" s="16">
        <f t="shared" si="1"/>
        <v>0</v>
      </c>
      <c r="L53" t="s">
        <v>25</v>
      </c>
      <c r="M53" t="e">
        <f>VLOOKUP(A53,#REF!,6,FALSE)</f>
        <v>#REF!</v>
      </c>
    </row>
    <row r="54" spans="1:13" x14ac:dyDescent="0.25">
      <c r="A54">
        <v>203</v>
      </c>
      <c r="B54" t="s">
        <v>47</v>
      </c>
      <c r="C54" t="s">
        <v>3</v>
      </c>
      <c r="D54" s="5">
        <v>45352</v>
      </c>
      <c r="E54" s="3" t="s">
        <v>63</v>
      </c>
      <c r="F54" s="4"/>
      <c r="G54" s="4">
        <v>72</v>
      </c>
      <c r="H54" s="4">
        <v>21045.87</v>
      </c>
      <c r="I54" s="1">
        <f t="shared" si="0"/>
        <v>-72</v>
      </c>
      <c r="J54" s="1">
        <f t="shared" si="2"/>
        <v>21045.87000000001</v>
      </c>
      <c r="K54" s="16">
        <f t="shared" si="1"/>
        <v>0</v>
      </c>
      <c r="L54" t="s">
        <v>24</v>
      </c>
      <c r="M54" t="e">
        <f>VLOOKUP(A54,#REF!,6,FALSE)</f>
        <v>#REF!</v>
      </c>
    </row>
    <row r="55" spans="1:13" x14ac:dyDescent="0.25">
      <c r="A55">
        <v>204</v>
      </c>
      <c r="B55" t="s">
        <v>47</v>
      </c>
      <c r="C55" t="s">
        <v>3</v>
      </c>
      <c r="D55" s="5">
        <v>45356</v>
      </c>
      <c r="E55" s="3" t="s">
        <v>91</v>
      </c>
      <c r="F55" s="4"/>
      <c r="G55" s="4">
        <v>35</v>
      </c>
      <c r="H55" s="4">
        <v>21010.87</v>
      </c>
      <c r="I55" s="1">
        <f t="shared" si="0"/>
        <v>-35</v>
      </c>
      <c r="J55" s="1">
        <f t="shared" si="2"/>
        <v>21010.87000000001</v>
      </c>
      <c r="K55" s="16">
        <f t="shared" si="1"/>
        <v>0</v>
      </c>
      <c r="L55" t="s">
        <v>31</v>
      </c>
      <c r="M55" t="e">
        <f>VLOOKUP(A55,#REF!,6,FALSE)</f>
        <v>#REF!</v>
      </c>
    </row>
    <row r="56" spans="1:13" x14ac:dyDescent="0.25">
      <c r="A56">
        <v>205</v>
      </c>
      <c r="B56" t="s">
        <v>47</v>
      </c>
      <c r="C56" t="s">
        <v>3</v>
      </c>
      <c r="D56" s="5">
        <v>45356</v>
      </c>
      <c r="E56" s="3" t="s">
        <v>92</v>
      </c>
      <c r="F56" s="4"/>
      <c r="G56" s="4">
        <v>405</v>
      </c>
      <c r="H56" s="4">
        <v>20605.87</v>
      </c>
      <c r="I56" s="1">
        <f t="shared" si="0"/>
        <v>-405</v>
      </c>
      <c r="J56" s="1">
        <f t="shared" si="2"/>
        <v>20605.87000000001</v>
      </c>
      <c r="K56" s="16">
        <f t="shared" si="1"/>
        <v>0</v>
      </c>
      <c r="L56" t="s">
        <v>26</v>
      </c>
      <c r="M56" t="e">
        <f>VLOOKUP(A56,#REF!,6,FALSE)</f>
        <v>#REF!</v>
      </c>
    </row>
    <row r="57" spans="1:13" x14ac:dyDescent="0.25">
      <c r="A57">
        <v>206</v>
      </c>
      <c r="B57" t="s">
        <v>47</v>
      </c>
      <c r="C57" t="s">
        <v>3</v>
      </c>
      <c r="D57" s="5">
        <v>45357</v>
      </c>
      <c r="E57" s="3" t="s">
        <v>64</v>
      </c>
      <c r="F57" s="4">
        <v>1000</v>
      </c>
      <c r="G57" s="4"/>
      <c r="H57" s="4">
        <v>21605.87</v>
      </c>
      <c r="I57" s="1">
        <f t="shared" si="0"/>
        <v>1000</v>
      </c>
      <c r="J57" s="1">
        <f t="shared" si="2"/>
        <v>21605.87000000001</v>
      </c>
      <c r="K57" s="16">
        <f t="shared" si="1"/>
        <v>0</v>
      </c>
      <c r="L57" t="s">
        <v>19</v>
      </c>
      <c r="M57" t="e">
        <f>VLOOKUP(A57,#REF!,6,FALSE)</f>
        <v>#REF!</v>
      </c>
    </row>
    <row r="58" spans="1:13" x14ac:dyDescent="0.25">
      <c r="A58">
        <v>207</v>
      </c>
      <c r="B58" t="s">
        <v>47</v>
      </c>
      <c r="C58" t="s">
        <v>3</v>
      </c>
      <c r="D58" s="5">
        <v>45364</v>
      </c>
      <c r="E58" s="3" t="s">
        <v>93</v>
      </c>
      <c r="F58" s="4"/>
      <c r="G58" s="4">
        <v>2.6</v>
      </c>
      <c r="H58" s="4">
        <v>21603.27</v>
      </c>
      <c r="I58" s="1">
        <f t="shared" si="0"/>
        <v>-2.6</v>
      </c>
      <c r="J58" s="1">
        <f t="shared" si="2"/>
        <v>21603.270000000011</v>
      </c>
      <c r="K58" s="16">
        <f t="shared" si="1"/>
        <v>0</v>
      </c>
      <c r="L58" t="s">
        <v>30</v>
      </c>
      <c r="M58" t="e">
        <f>VLOOKUP(A58,#REF!,6,FALSE)</f>
        <v>#REF!</v>
      </c>
    </row>
    <row r="59" spans="1:13" x14ac:dyDescent="0.25">
      <c r="A59">
        <v>208</v>
      </c>
      <c r="B59" t="s">
        <v>47</v>
      </c>
      <c r="C59" t="s">
        <v>3</v>
      </c>
      <c r="D59" s="5">
        <v>45365</v>
      </c>
      <c r="E59" s="3" t="s">
        <v>64</v>
      </c>
      <c r="F59" s="4">
        <v>800</v>
      </c>
      <c r="G59" s="4"/>
      <c r="H59" s="4">
        <v>22403.27</v>
      </c>
      <c r="I59" s="1">
        <f t="shared" si="0"/>
        <v>800</v>
      </c>
      <c r="J59" s="1">
        <f t="shared" si="2"/>
        <v>22403.270000000011</v>
      </c>
      <c r="K59" s="16">
        <f t="shared" si="1"/>
        <v>0</v>
      </c>
      <c r="L59" t="s">
        <v>19</v>
      </c>
      <c r="M59" t="e">
        <f>VLOOKUP(A59,#REF!,6,FALSE)</f>
        <v>#REF!</v>
      </c>
    </row>
    <row r="60" spans="1:13" x14ac:dyDescent="0.25">
      <c r="A60">
        <v>209</v>
      </c>
      <c r="B60" t="s">
        <v>47</v>
      </c>
      <c r="C60" t="s">
        <v>3</v>
      </c>
      <c r="D60" s="5">
        <v>45365</v>
      </c>
      <c r="E60" s="3" t="s">
        <v>94</v>
      </c>
      <c r="F60" s="4"/>
      <c r="G60" s="4">
        <v>2.6</v>
      </c>
      <c r="H60" s="4">
        <v>22400.67</v>
      </c>
      <c r="I60" s="1">
        <f t="shared" si="0"/>
        <v>-2.6</v>
      </c>
      <c r="J60" s="1">
        <f t="shared" si="2"/>
        <v>22400.670000000013</v>
      </c>
      <c r="K60" s="16">
        <f t="shared" si="1"/>
        <v>0</v>
      </c>
      <c r="L60" t="s">
        <v>30</v>
      </c>
      <c r="M60" t="e">
        <f>VLOOKUP(A60,#REF!,6,FALSE)</f>
        <v>#REF!</v>
      </c>
    </row>
    <row r="61" spans="1:13" x14ac:dyDescent="0.25">
      <c r="A61">
        <v>210</v>
      </c>
      <c r="B61" t="s">
        <v>47</v>
      </c>
      <c r="C61" t="s">
        <v>3</v>
      </c>
      <c r="D61" s="5">
        <v>45366</v>
      </c>
      <c r="E61" s="3" t="s">
        <v>95</v>
      </c>
      <c r="F61" s="4">
        <v>2200</v>
      </c>
      <c r="G61" s="4"/>
      <c r="H61" s="4">
        <v>24600.67</v>
      </c>
      <c r="I61" s="1">
        <f t="shared" si="0"/>
        <v>2200</v>
      </c>
      <c r="J61" s="1">
        <f t="shared" si="2"/>
        <v>24600.670000000013</v>
      </c>
      <c r="K61" s="16">
        <f t="shared" si="1"/>
        <v>0</v>
      </c>
      <c r="L61" t="s">
        <v>19</v>
      </c>
      <c r="M61" t="e">
        <f>VLOOKUP(A61,#REF!,6,FALSE)</f>
        <v>#REF!</v>
      </c>
    </row>
    <row r="62" spans="1:13" x14ac:dyDescent="0.25">
      <c r="A62">
        <v>211</v>
      </c>
      <c r="B62" t="s">
        <v>47</v>
      </c>
      <c r="C62" t="s">
        <v>3</v>
      </c>
      <c r="D62" s="5">
        <v>45366</v>
      </c>
      <c r="E62" s="3" t="s">
        <v>96</v>
      </c>
      <c r="F62" s="4"/>
      <c r="G62" s="4">
        <v>300</v>
      </c>
      <c r="H62" s="4">
        <v>24300.67</v>
      </c>
      <c r="I62" s="1">
        <f t="shared" si="0"/>
        <v>-300</v>
      </c>
      <c r="J62" s="1">
        <f t="shared" si="2"/>
        <v>24300.670000000013</v>
      </c>
      <c r="K62" s="16">
        <f t="shared" si="1"/>
        <v>0</v>
      </c>
      <c r="L62" t="s">
        <v>10</v>
      </c>
      <c r="M62" t="e">
        <f>VLOOKUP(A62,#REF!,6,FALSE)</f>
        <v>#REF!</v>
      </c>
    </row>
    <row r="63" spans="1:13" x14ac:dyDescent="0.25">
      <c r="A63">
        <v>212</v>
      </c>
      <c r="B63" t="s">
        <v>47</v>
      </c>
      <c r="C63" t="s">
        <v>3</v>
      </c>
      <c r="D63" s="5">
        <v>45366</v>
      </c>
      <c r="E63" s="3" t="s">
        <v>97</v>
      </c>
      <c r="F63" s="4"/>
      <c r="G63" s="4">
        <v>2.6</v>
      </c>
      <c r="H63" s="4">
        <v>24298.07</v>
      </c>
      <c r="I63" s="1">
        <f t="shared" si="0"/>
        <v>-2.6</v>
      </c>
      <c r="J63" s="1">
        <f t="shared" si="2"/>
        <v>24298.070000000014</v>
      </c>
      <c r="K63" s="16">
        <f t="shared" si="1"/>
        <v>0</v>
      </c>
      <c r="L63" t="s">
        <v>30</v>
      </c>
      <c r="M63" t="e">
        <f>VLOOKUP(A63,#REF!,6,FALSE)</f>
        <v>#REF!</v>
      </c>
    </row>
    <row r="64" spans="1:13" x14ac:dyDescent="0.25">
      <c r="A64">
        <v>213</v>
      </c>
      <c r="B64" t="s">
        <v>47</v>
      </c>
      <c r="C64" t="s">
        <v>3</v>
      </c>
      <c r="D64" s="5">
        <v>45369</v>
      </c>
      <c r="E64" s="3" t="s">
        <v>98</v>
      </c>
      <c r="F64" s="4"/>
      <c r="G64" s="4">
        <v>50</v>
      </c>
      <c r="H64" s="4">
        <v>24248.07</v>
      </c>
      <c r="I64" s="1">
        <f t="shared" si="0"/>
        <v>-50</v>
      </c>
      <c r="J64" s="1">
        <f t="shared" si="2"/>
        <v>24248.070000000014</v>
      </c>
      <c r="K64" s="16">
        <f t="shared" si="1"/>
        <v>0</v>
      </c>
      <c r="L64" t="s">
        <v>22</v>
      </c>
      <c r="M64" t="e">
        <f>VLOOKUP(A64,#REF!,6,FALSE)</f>
        <v>#REF!</v>
      </c>
    </row>
    <row r="65" spans="1:13" x14ac:dyDescent="0.25">
      <c r="A65">
        <v>214</v>
      </c>
      <c r="B65" t="s">
        <v>47</v>
      </c>
      <c r="C65" t="s">
        <v>3</v>
      </c>
      <c r="D65" s="5">
        <v>45370</v>
      </c>
      <c r="E65" s="3" t="s">
        <v>99</v>
      </c>
      <c r="F65" s="4"/>
      <c r="G65" s="4">
        <v>4500</v>
      </c>
      <c r="H65" s="4">
        <v>19748.07</v>
      </c>
      <c r="I65" s="1">
        <f t="shared" si="0"/>
        <v>-4500</v>
      </c>
      <c r="J65" s="1">
        <f t="shared" si="2"/>
        <v>19748.070000000014</v>
      </c>
      <c r="K65" s="16">
        <f t="shared" si="1"/>
        <v>0</v>
      </c>
      <c r="L65" t="s">
        <v>10</v>
      </c>
      <c r="M65" t="e">
        <f>VLOOKUP(A65,#REF!,6,FALSE)</f>
        <v>#REF!</v>
      </c>
    </row>
    <row r="66" spans="1:13" x14ac:dyDescent="0.25">
      <c r="A66">
        <v>215</v>
      </c>
      <c r="B66" t="s">
        <v>47</v>
      </c>
      <c r="C66" t="s">
        <v>3</v>
      </c>
      <c r="D66" s="5">
        <v>45370</v>
      </c>
      <c r="E66" s="3" t="s">
        <v>100</v>
      </c>
      <c r="F66" s="4"/>
      <c r="G66" s="4">
        <v>16.3</v>
      </c>
      <c r="H66" s="4">
        <v>19731.77</v>
      </c>
      <c r="I66" s="1">
        <f t="shared" ref="I66:I129" si="3">F66-G66</f>
        <v>-16.3</v>
      </c>
      <c r="J66" s="1">
        <f t="shared" si="2"/>
        <v>19731.770000000015</v>
      </c>
      <c r="K66" s="16">
        <f t="shared" ref="K66:K129" si="4">H66-J66</f>
        <v>0</v>
      </c>
      <c r="L66" t="s">
        <v>9</v>
      </c>
      <c r="M66" t="e">
        <f>VLOOKUP(A66,#REF!,6,FALSE)</f>
        <v>#REF!</v>
      </c>
    </row>
    <row r="67" spans="1:13" x14ac:dyDescent="0.25">
      <c r="A67">
        <v>216</v>
      </c>
      <c r="B67" t="s">
        <v>47</v>
      </c>
      <c r="C67" t="s">
        <v>3</v>
      </c>
      <c r="D67" s="5">
        <v>45370</v>
      </c>
      <c r="E67" s="3" t="s">
        <v>101</v>
      </c>
      <c r="F67" s="4"/>
      <c r="G67" s="4">
        <v>2.6</v>
      </c>
      <c r="H67" s="4">
        <v>19729.169999999998</v>
      </c>
      <c r="I67" s="1">
        <f t="shared" si="3"/>
        <v>-2.6</v>
      </c>
      <c r="J67" s="1">
        <f t="shared" ref="J67:J130" si="5">J66+I67</f>
        <v>19729.170000000016</v>
      </c>
      <c r="K67" s="16">
        <f t="shared" si="4"/>
        <v>0</v>
      </c>
      <c r="L67" t="s">
        <v>30</v>
      </c>
      <c r="M67" t="e">
        <f>VLOOKUP(A67,#REF!,6,FALSE)</f>
        <v>#REF!</v>
      </c>
    </row>
    <row r="68" spans="1:13" x14ac:dyDescent="0.25">
      <c r="A68">
        <v>217</v>
      </c>
      <c r="B68" t="s">
        <v>47</v>
      </c>
      <c r="C68" t="s">
        <v>3</v>
      </c>
      <c r="D68" s="5">
        <v>45378</v>
      </c>
      <c r="E68" s="3" t="s">
        <v>64</v>
      </c>
      <c r="F68" s="4">
        <v>2250</v>
      </c>
      <c r="G68" s="4"/>
      <c r="H68" s="4">
        <v>21979.17</v>
      </c>
      <c r="I68" s="1">
        <f t="shared" si="3"/>
        <v>2250</v>
      </c>
      <c r="J68" s="1">
        <f t="shared" si="5"/>
        <v>21979.170000000016</v>
      </c>
      <c r="K68" s="16">
        <f t="shared" si="4"/>
        <v>0</v>
      </c>
      <c r="L68" t="s">
        <v>19</v>
      </c>
      <c r="M68" t="e">
        <f>VLOOKUP(A68,#REF!,6,FALSE)</f>
        <v>#REF!</v>
      </c>
    </row>
    <row r="69" spans="1:13" x14ac:dyDescent="0.25">
      <c r="A69">
        <v>218</v>
      </c>
      <c r="B69" t="s">
        <v>47</v>
      </c>
      <c r="C69" t="s">
        <v>3</v>
      </c>
      <c r="D69" s="5">
        <v>45378</v>
      </c>
      <c r="E69" s="3" t="s">
        <v>102</v>
      </c>
      <c r="F69" s="4"/>
      <c r="G69" s="4">
        <v>25</v>
      </c>
      <c r="H69" s="4">
        <v>21954.17</v>
      </c>
      <c r="I69" s="1">
        <f t="shared" si="3"/>
        <v>-25</v>
      </c>
      <c r="J69" s="1">
        <f t="shared" si="5"/>
        <v>21954.170000000016</v>
      </c>
      <c r="K69" s="16">
        <f t="shared" si="4"/>
        <v>0</v>
      </c>
      <c r="L69" t="s">
        <v>22</v>
      </c>
      <c r="M69" t="e">
        <f>VLOOKUP(A69,#REF!,6,FALSE)</f>
        <v>#REF!</v>
      </c>
    </row>
    <row r="70" spans="1:13" x14ac:dyDescent="0.25">
      <c r="A70">
        <v>219</v>
      </c>
      <c r="B70" t="s">
        <v>47</v>
      </c>
      <c r="C70" t="s">
        <v>3</v>
      </c>
      <c r="D70" s="5">
        <v>45384</v>
      </c>
      <c r="E70" s="3" t="s">
        <v>103</v>
      </c>
      <c r="F70" s="4">
        <v>440</v>
      </c>
      <c r="G70" s="4"/>
      <c r="H70" s="4">
        <v>22394.17</v>
      </c>
      <c r="I70" s="1">
        <f t="shared" si="3"/>
        <v>440</v>
      </c>
      <c r="J70" s="1">
        <f t="shared" si="5"/>
        <v>22394.170000000016</v>
      </c>
      <c r="K70" s="16">
        <f t="shared" si="4"/>
        <v>0</v>
      </c>
      <c r="L70" t="s">
        <v>19</v>
      </c>
      <c r="M70" t="e">
        <f>VLOOKUP(A70,#REF!,6,FALSE)</f>
        <v>#REF!</v>
      </c>
    </row>
    <row r="71" spans="1:13" x14ac:dyDescent="0.25">
      <c r="A71">
        <v>220</v>
      </c>
      <c r="B71" t="s">
        <v>47</v>
      </c>
      <c r="C71" t="s">
        <v>3</v>
      </c>
      <c r="D71" s="5">
        <v>45384</v>
      </c>
      <c r="E71" s="3" t="s">
        <v>104</v>
      </c>
      <c r="F71" s="4">
        <v>1350</v>
      </c>
      <c r="G71" s="4"/>
      <c r="H71" s="4">
        <v>23744.17</v>
      </c>
      <c r="I71" s="1">
        <f t="shared" si="3"/>
        <v>1350</v>
      </c>
      <c r="J71" s="1">
        <f t="shared" si="5"/>
        <v>23744.170000000016</v>
      </c>
      <c r="K71" s="16">
        <f t="shared" si="4"/>
        <v>0</v>
      </c>
      <c r="L71" t="s">
        <v>19</v>
      </c>
      <c r="M71" t="e">
        <f>VLOOKUP(A71,#REF!,6,FALSE)</f>
        <v>#REF!</v>
      </c>
    </row>
    <row r="72" spans="1:13" x14ac:dyDescent="0.25">
      <c r="A72">
        <v>221</v>
      </c>
      <c r="B72" t="s">
        <v>47</v>
      </c>
      <c r="C72" t="s">
        <v>3</v>
      </c>
      <c r="D72" s="5">
        <v>45384</v>
      </c>
      <c r="E72" s="3" t="s">
        <v>105</v>
      </c>
      <c r="F72" s="4"/>
      <c r="G72" s="4">
        <v>16</v>
      </c>
      <c r="H72" s="4">
        <v>23728.17</v>
      </c>
      <c r="I72" s="1">
        <f t="shared" si="3"/>
        <v>-16</v>
      </c>
      <c r="J72" s="1">
        <f t="shared" si="5"/>
        <v>23728.170000000016</v>
      </c>
      <c r="K72" s="16">
        <f t="shared" si="4"/>
        <v>0</v>
      </c>
      <c r="L72" t="s">
        <v>18</v>
      </c>
      <c r="M72" t="e">
        <f>VLOOKUP(A72,#REF!,6,FALSE)</f>
        <v>#REF!</v>
      </c>
    </row>
    <row r="73" spans="1:13" x14ac:dyDescent="0.25">
      <c r="A73">
        <v>222</v>
      </c>
      <c r="B73" t="s">
        <v>47</v>
      </c>
      <c r="C73" t="s">
        <v>3</v>
      </c>
      <c r="D73" s="5">
        <v>45384</v>
      </c>
      <c r="E73" s="3" t="s">
        <v>106</v>
      </c>
      <c r="F73" s="4"/>
      <c r="G73" s="4">
        <v>2.6</v>
      </c>
      <c r="H73" s="4">
        <v>23725.57</v>
      </c>
      <c r="I73" s="1">
        <f t="shared" si="3"/>
        <v>-2.6</v>
      </c>
      <c r="J73" s="1">
        <f t="shared" si="5"/>
        <v>23725.570000000018</v>
      </c>
      <c r="K73" s="16">
        <f t="shared" si="4"/>
        <v>0</v>
      </c>
      <c r="L73" t="s">
        <v>30</v>
      </c>
      <c r="M73" t="e">
        <f>VLOOKUP(A73,#REF!,6,FALSE)</f>
        <v>#REF!</v>
      </c>
    </row>
    <row r="74" spans="1:13" x14ac:dyDescent="0.25">
      <c r="A74">
        <v>223</v>
      </c>
      <c r="B74" t="s">
        <v>47</v>
      </c>
      <c r="C74" t="s">
        <v>3</v>
      </c>
      <c r="D74" s="5">
        <v>45384</v>
      </c>
      <c r="E74" s="3" t="s">
        <v>107</v>
      </c>
      <c r="F74" s="4"/>
      <c r="G74" s="4">
        <v>25</v>
      </c>
      <c r="H74" s="4">
        <v>23700.57</v>
      </c>
      <c r="I74" s="1">
        <f t="shared" si="3"/>
        <v>-25</v>
      </c>
      <c r="J74" s="1">
        <f t="shared" si="5"/>
        <v>23700.570000000018</v>
      </c>
      <c r="K74" s="16">
        <f t="shared" si="4"/>
        <v>0</v>
      </c>
      <c r="L74" t="s">
        <v>23</v>
      </c>
      <c r="M74" t="e">
        <f>VLOOKUP(A74,#REF!,6,FALSE)</f>
        <v>#REF!</v>
      </c>
    </row>
    <row r="75" spans="1:13" x14ac:dyDescent="0.25">
      <c r="A75">
        <v>224</v>
      </c>
      <c r="B75" t="s">
        <v>47</v>
      </c>
      <c r="C75" t="s">
        <v>3</v>
      </c>
      <c r="D75" s="5">
        <v>45384</v>
      </c>
      <c r="E75" s="3" t="s">
        <v>108</v>
      </c>
      <c r="F75" s="4"/>
      <c r="G75" s="4">
        <v>30.46</v>
      </c>
      <c r="H75" s="4">
        <v>23670.11</v>
      </c>
      <c r="I75" s="1">
        <f t="shared" si="3"/>
        <v>-30.46</v>
      </c>
      <c r="J75" s="1">
        <f t="shared" si="5"/>
        <v>23670.110000000019</v>
      </c>
      <c r="K75" s="16">
        <f t="shared" si="4"/>
        <v>0</v>
      </c>
      <c r="L75" t="s">
        <v>12</v>
      </c>
      <c r="M75" t="e">
        <f>VLOOKUP(A75,#REF!,6,FALSE)</f>
        <v>#REF!</v>
      </c>
    </row>
    <row r="76" spans="1:13" x14ac:dyDescent="0.25">
      <c r="A76">
        <v>225</v>
      </c>
      <c r="B76" t="s">
        <v>47</v>
      </c>
      <c r="C76" t="s">
        <v>3</v>
      </c>
      <c r="D76" s="5">
        <v>45384</v>
      </c>
      <c r="E76" s="3" t="s">
        <v>109</v>
      </c>
      <c r="F76" s="4"/>
      <c r="G76" s="4">
        <v>132</v>
      </c>
      <c r="H76" s="4">
        <v>23538.11</v>
      </c>
      <c r="I76" s="1">
        <f t="shared" si="3"/>
        <v>-132</v>
      </c>
      <c r="J76" s="1">
        <f t="shared" si="5"/>
        <v>23538.110000000019</v>
      </c>
      <c r="K76" s="16">
        <f t="shared" si="4"/>
        <v>0</v>
      </c>
      <c r="L76" t="s">
        <v>12</v>
      </c>
      <c r="M76" t="e">
        <f>VLOOKUP(A76,#REF!,6,FALSE)</f>
        <v>#REF!</v>
      </c>
    </row>
    <row r="77" spans="1:13" x14ac:dyDescent="0.25">
      <c r="A77">
        <v>226</v>
      </c>
      <c r="B77" t="s">
        <v>47</v>
      </c>
      <c r="C77" t="s">
        <v>3</v>
      </c>
      <c r="D77" s="5">
        <v>45384</v>
      </c>
      <c r="E77" s="3" t="s">
        <v>62</v>
      </c>
      <c r="F77" s="4"/>
      <c r="G77" s="4">
        <v>25.42</v>
      </c>
      <c r="H77" s="4">
        <v>23512.69</v>
      </c>
      <c r="I77" s="1">
        <f t="shared" si="3"/>
        <v>-25.42</v>
      </c>
      <c r="J77" s="1">
        <f t="shared" si="5"/>
        <v>23512.690000000021</v>
      </c>
      <c r="K77" s="16">
        <f t="shared" si="4"/>
        <v>0</v>
      </c>
      <c r="L77" t="s">
        <v>25</v>
      </c>
      <c r="M77" t="e">
        <f>VLOOKUP(A77,#REF!,6,FALSE)</f>
        <v>#REF!</v>
      </c>
    </row>
    <row r="78" spans="1:13" x14ac:dyDescent="0.25">
      <c r="A78">
        <v>227</v>
      </c>
      <c r="B78" t="s">
        <v>47</v>
      </c>
      <c r="C78" t="s">
        <v>3</v>
      </c>
      <c r="D78" s="5">
        <v>45385</v>
      </c>
      <c r="E78" s="3" t="s">
        <v>110</v>
      </c>
      <c r="F78" s="4"/>
      <c r="G78" s="4">
        <v>3</v>
      </c>
      <c r="H78" s="4">
        <v>23509.69</v>
      </c>
      <c r="I78" s="1">
        <f t="shared" si="3"/>
        <v>-3</v>
      </c>
      <c r="J78" s="1">
        <f t="shared" si="5"/>
        <v>23509.690000000021</v>
      </c>
      <c r="K78" s="16">
        <f t="shared" si="4"/>
        <v>0</v>
      </c>
      <c r="L78" t="s">
        <v>20</v>
      </c>
      <c r="M78" t="e">
        <f>VLOOKUP(A78,#REF!,6,FALSE)</f>
        <v>#REF!</v>
      </c>
    </row>
    <row r="79" spans="1:13" x14ac:dyDescent="0.25">
      <c r="A79">
        <v>228</v>
      </c>
      <c r="B79" t="s">
        <v>47</v>
      </c>
      <c r="C79" t="s">
        <v>3</v>
      </c>
      <c r="D79" s="5">
        <v>45385</v>
      </c>
      <c r="E79" s="3" t="s">
        <v>111</v>
      </c>
      <c r="F79" s="4"/>
      <c r="G79" s="4">
        <v>70.89</v>
      </c>
      <c r="H79" s="4">
        <v>23438.799999999999</v>
      </c>
      <c r="I79" s="1">
        <f t="shared" si="3"/>
        <v>-70.89</v>
      </c>
      <c r="J79" s="1">
        <f t="shared" si="5"/>
        <v>23438.800000000021</v>
      </c>
      <c r="K79" s="16">
        <f t="shared" si="4"/>
        <v>0</v>
      </c>
      <c r="L79" t="s">
        <v>18</v>
      </c>
      <c r="M79" t="e">
        <f>VLOOKUP(A79,#REF!,6,FALSE)</f>
        <v>#REF!</v>
      </c>
    </row>
    <row r="80" spans="1:13" x14ac:dyDescent="0.25">
      <c r="A80">
        <v>229</v>
      </c>
      <c r="B80" t="s">
        <v>47</v>
      </c>
      <c r="C80" t="s">
        <v>3</v>
      </c>
      <c r="D80" s="5">
        <v>45385</v>
      </c>
      <c r="E80" s="3" t="s">
        <v>63</v>
      </c>
      <c r="F80" s="4"/>
      <c r="G80" s="4">
        <v>72</v>
      </c>
      <c r="H80" s="4">
        <v>23366.799999999999</v>
      </c>
      <c r="I80" s="1">
        <f t="shared" si="3"/>
        <v>-72</v>
      </c>
      <c r="J80" s="1">
        <f t="shared" si="5"/>
        <v>23366.800000000021</v>
      </c>
      <c r="K80" s="16">
        <f t="shared" si="4"/>
        <v>0</v>
      </c>
      <c r="L80" t="s">
        <v>24</v>
      </c>
      <c r="M80" t="e">
        <f>VLOOKUP(A80,#REF!,6,FALSE)</f>
        <v>#REF!</v>
      </c>
    </row>
    <row r="81" spans="1:13" x14ac:dyDescent="0.25">
      <c r="A81">
        <v>230</v>
      </c>
      <c r="B81" t="s">
        <v>47</v>
      </c>
      <c r="C81" t="s">
        <v>3</v>
      </c>
      <c r="D81" s="5">
        <v>45386</v>
      </c>
      <c r="E81" s="3" t="s">
        <v>112</v>
      </c>
      <c r="F81" s="4"/>
      <c r="G81" s="4">
        <v>10.5</v>
      </c>
      <c r="H81" s="4">
        <v>23356.3</v>
      </c>
      <c r="I81" s="1">
        <f t="shared" si="3"/>
        <v>-10.5</v>
      </c>
      <c r="J81" s="1">
        <f t="shared" si="5"/>
        <v>23356.300000000021</v>
      </c>
      <c r="K81" s="16">
        <f t="shared" si="4"/>
        <v>0</v>
      </c>
      <c r="L81" t="s">
        <v>22</v>
      </c>
      <c r="M81" t="e">
        <f>VLOOKUP(A81,#REF!,6,FALSE)</f>
        <v>#REF!</v>
      </c>
    </row>
    <row r="82" spans="1:13" x14ac:dyDescent="0.25">
      <c r="A82">
        <v>231</v>
      </c>
      <c r="B82" t="s">
        <v>47</v>
      </c>
      <c r="C82" t="s">
        <v>3</v>
      </c>
      <c r="D82" s="5">
        <v>45387</v>
      </c>
      <c r="E82" s="3" t="s">
        <v>64</v>
      </c>
      <c r="F82" s="4">
        <v>800</v>
      </c>
      <c r="G82" s="4"/>
      <c r="H82" s="4">
        <v>24156.3</v>
      </c>
      <c r="I82" s="1">
        <f t="shared" si="3"/>
        <v>800</v>
      </c>
      <c r="J82" s="1">
        <f t="shared" si="5"/>
        <v>24156.300000000021</v>
      </c>
      <c r="K82" s="16">
        <f t="shared" si="4"/>
        <v>0</v>
      </c>
      <c r="L82" t="s">
        <v>19</v>
      </c>
      <c r="M82" t="e">
        <f>VLOOKUP(A82,#REF!,6,FALSE)</f>
        <v>#REF!</v>
      </c>
    </row>
    <row r="83" spans="1:13" x14ac:dyDescent="0.25">
      <c r="A83">
        <v>232</v>
      </c>
      <c r="B83" t="s">
        <v>47</v>
      </c>
      <c r="C83" t="s">
        <v>3</v>
      </c>
      <c r="D83" s="5">
        <v>45387</v>
      </c>
      <c r="E83" s="3" t="s">
        <v>113</v>
      </c>
      <c r="F83" s="4"/>
      <c r="G83" s="4">
        <v>2.6</v>
      </c>
      <c r="H83" s="4">
        <v>24153.7</v>
      </c>
      <c r="I83" s="1">
        <f t="shared" si="3"/>
        <v>-2.6</v>
      </c>
      <c r="J83" s="1">
        <f t="shared" si="5"/>
        <v>24153.700000000023</v>
      </c>
      <c r="K83" s="16">
        <f t="shared" si="4"/>
        <v>0</v>
      </c>
      <c r="L83" t="s">
        <v>30</v>
      </c>
      <c r="M83" t="e">
        <f>VLOOKUP(A83,#REF!,6,FALSE)</f>
        <v>#REF!</v>
      </c>
    </row>
    <row r="84" spans="1:13" x14ac:dyDescent="0.25">
      <c r="A84">
        <v>233</v>
      </c>
      <c r="B84" t="s">
        <v>114</v>
      </c>
      <c r="C84" t="s">
        <v>3</v>
      </c>
      <c r="D84" s="5">
        <v>45390</v>
      </c>
      <c r="E84" s="3" t="s">
        <v>115</v>
      </c>
      <c r="F84" s="4"/>
      <c r="G84" s="4">
        <v>1500</v>
      </c>
      <c r="H84" s="4">
        <v>22653.7</v>
      </c>
      <c r="I84" s="1">
        <f t="shared" si="3"/>
        <v>-1500</v>
      </c>
      <c r="J84" s="1">
        <f t="shared" si="5"/>
        <v>22653.700000000023</v>
      </c>
      <c r="K84" s="16">
        <f t="shared" si="4"/>
        <v>0</v>
      </c>
      <c r="L84" t="s">
        <v>10</v>
      </c>
      <c r="M84" t="e">
        <f>VLOOKUP(A84,#REF!,6,FALSE)</f>
        <v>#REF!</v>
      </c>
    </row>
    <row r="85" spans="1:13" x14ac:dyDescent="0.25">
      <c r="A85">
        <v>234</v>
      </c>
      <c r="B85" t="s">
        <v>114</v>
      </c>
      <c r="C85" t="s">
        <v>3</v>
      </c>
      <c r="D85" s="5">
        <v>45390</v>
      </c>
      <c r="E85" s="3" t="s">
        <v>116</v>
      </c>
      <c r="F85" s="4"/>
      <c r="G85" s="4">
        <v>3500</v>
      </c>
      <c r="H85" s="4">
        <v>19153.7</v>
      </c>
      <c r="I85" s="1">
        <f t="shared" si="3"/>
        <v>-3500</v>
      </c>
      <c r="J85" s="1">
        <f t="shared" si="5"/>
        <v>19153.700000000023</v>
      </c>
      <c r="K85" s="16">
        <f t="shared" si="4"/>
        <v>0</v>
      </c>
      <c r="L85" t="s">
        <v>10</v>
      </c>
      <c r="M85" t="e">
        <f>VLOOKUP(A85,#REF!,6,FALSE)</f>
        <v>#REF!</v>
      </c>
    </row>
    <row r="86" spans="1:13" x14ac:dyDescent="0.25">
      <c r="A86">
        <v>235</v>
      </c>
      <c r="B86" t="s">
        <v>114</v>
      </c>
      <c r="C86" t="s">
        <v>3</v>
      </c>
      <c r="D86" s="5">
        <v>45390</v>
      </c>
      <c r="E86" s="3" t="s">
        <v>117</v>
      </c>
      <c r="F86" s="4"/>
      <c r="G86" s="4">
        <v>10.5</v>
      </c>
      <c r="H86" s="4">
        <v>19143.2</v>
      </c>
      <c r="I86" s="1">
        <f t="shared" si="3"/>
        <v>-10.5</v>
      </c>
      <c r="J86" s="1">
        <f t="shared" si="5"/>
        <v>19143.200000000023</v>
      </c>
      <c r="K86" s="16">
        <f t="shared" si="4"/>
        <v>0</v>
      </c>
      <c r="L86" t="s">
        <v>22</v>
      </c>
      <c r="M86" t="e">
        <f>VLOOKUP(A86,#REF!,6,FALSE)</f>
        <v>#REF!</v>
      </c>
    </row>
    <row r="87" spans="1:13" x14ac:dyDescent="0.25">
      <c r="A87">
        <v>236</v>
      </c>
      <c r="B87" t="s">
        <v>114</v>
      </c>
      <c r="C87" t="s">
        <v>3</v>
      </c>
      <c r="D87" s="5">
        <v>45391</v>
      </c>
      <c r="E87" s="3" t="s">
        <v>118</v>
      </c>
      <c r="F87" s="4"/>
      <c r="G87" s="4">
        <v>2.6</v>
      </c>
      <c r="H87" s="4">
        <v>19140.599999999999</v>
      </c>
      <c r="I87" s="1">
        <f t="shared" si="3"/>
        <v>-2.6</v>
      </c>
      <c r="J87" s="1">
        <f t="shared" si="5"/>
        <v>19140.600000000024</v>
      </c>
      <c r="K87" s="16">
        <f t="shared" si="4"/>
        <v>0</v>
      </c>
      <c r="L87" t="s">
        <v>30</v>
      </c>
      <c r="M87" t="e">
        <f>VLOOKUP(A87,#REF!,6,FALSE)</f>
        <v>#REF!</v>
      </c>
    </row>
    <row r="88" spans="1:13" x14ac:dyDescent="0.25">
      <c r="A88">
        <v>237</v>
      </c>
      <c r="B88" t="s">
        <v>114</v>
      </c>
      <c r="C88" t="s">
        <v>3</v>
      </c>
      <c r="D88" s="5">
        <v>45392</v>
      </c>
      <c r="E88" s="3" t="s">
        <v>119</v>
      </c>
      <c r="F88" s="4"/>
      <c r="G88" s="4">
        <v>10.5</v>
      </c>
      <c r="H88" s="4">
        <v>19130.099999999999</v>
      </c>
      <c r="I88" s="1">
        <f t="shared" si="3"/>
        <v>-10.5</v>
      </c>
      <c r="J88" s="1">
        <f t="shared" si="5"/>
        <v>19130.100000000024</v>
      </c>
      <c r="K88" s="16">
        <f t="shared" si="4"/>
        <v>0</v>
      </c>
      <c r="L88" t="s">
        <v>22</v>
      </c>
      <c r="M88" t="e">
        <f>VLOOKUP(A88,#REF!,6,FALSE)</f>
        <v>#REF!</v>
      </c>
    </row>
    <row r="89" spans="1:13" x14ac:dyDescent="0.25">
      <c r="A89">
        <v>238</v>
      </c>
      <c r="B89" t="s">
        <v>114</v>
      </c>
      <c r="C89" t="s">
        <v>3</v>
      </c>
      <c r="D89" s="5">
        <v>45393</v>
      </c>
      <c r="E89" s="3" t="s">
        <v>120</v>
      </c>
      <c r="F89" s="4"/>
      <c r="G89" s="4">
        <v>2.6</v>
      </c>
      <c r="H89" s="4">
        <v>19127.5</v>
      </c>
      <c r="I89" s="1">
        <f t="shared" si="3"/>
        <v>-2.6</v>
      </c>
      <c r="J89" s="1">
        <f t="shared" si="5"/>
        <v>19127.500000000025</v>
      </c>
      <c r="K89" s="16">
        <f t="shared" si="4"/>
        <v>0</v>
      </c>
      <c r="L89" t="s">
        <v>30</v>
      </c>
      <c r="M89" t="e">
        <f>VLOOKUP(A89,#REF!,6,FALSE)</f>
        <v>#REF!</v>
      </c>
    </row>
    <row r="90" spans="1:13" x14ac:dyDescent="0.25">
      <c r="A90">
        <v>239</v>
      </c>
      <c r="B90" t="s">
        <v>114</v>
      </c>
      <c r="C90" t="s">
        <v>3</v>
      </c>
      <c r="D90" s="5">
        <v>45394</v>
      </c>
      <c r="E90" s="3" t="s">
        <v>121</v>
      </c>
      <c r="F90" s="4"/>
      <c r="G90" s="4">
        <v>2.6</v>
      </c>
      <c r="H90" s="4">
        <v>19124.900000000001</v>
      </c>
      <c r="I90" s="1">
        <f t="shared" si="3"/>
        <v>-2.6</v>
      </c>
      <c r="J90" s="1">
        <f t="shared" si="5"/>
        <v>19124.900000000027</v>
      </c>
      <c r="K90" s="16">
        <f t="shared" si="4"/>
        <v>0</v>
      </c>
      <c r="L90" t="s">
        <v>30</v>
      </c>
      <c r="M90" t="e">
        <f>VLOOKUP(A90,#REF!,6,FALSE)</f>
        <v>#REF!</v>
      </c>
    </row>
    <row r="91" spans="1:13" x14ac:dyDescent="0.25">
      <c r="A91">
        <v>240</v>
      </c>
      <c r="B91" t="s">
        <v>114</v>
      </c>
      <c r="C91" t="s">
        <v>3</v>
      </c>
      <c r="D91" s="5">
        <v>45397</v>
      </c>
      <c r="E91" s="3" t="s">
        <v>122</v>
      </c>
      <c r="F91" s="4">
        <v>1350</v>
      </c>
      <c r="G91" s="4"/>
      <c r="H91" s="4">
        <v>20474.900000000001</v>
      </c>
      <c r="I91" s="1">
        <f t="shared" si="3"/>
        <v>1350</v>
      </c>
      <c r="J91" s="1">
        <f t="shared" si="5"/>
        <v>20474.900000000027</v>
      </c>
      <c r="K91" s="16">
        <f t="shared" si="4"/>
        <v>0</v>
      </c>
      <c r="L91" t="s">
        <v>19</v>
      </c>
      <c r="M91" t="e">
        <f>VLOOKUP(A91,#REF!,6,FALSE)</f>
        <v>#REF!</v>
      </c>
    </row>
    <row r="92" spans="1:13" x14ac:dyDescent="0.25">
      <c r="A92">
        <v>241</v>
      </c>
      <c r="B92" t="s">
        <v>114</v>
      </c>
      <c r="C92" t="s">
        <v>3</v>
      </c>
      <c r="D92" s="5">
        <v>45397</v>
      </c>
      <c r="E92" s="3" t="s">
        <v>123</v>
      </c>
      <c r="F92" s="4"/>
      <c r="G92" s="4">
        <v>2.6</v>
      </c>
      <c r="H92" s="4">
        <v>20472.3</v>
      </c>
      <c r="I92" s="1">
        <f t="shared" si="3"/>
        <v>-2.6</v>
      </c>
      <c r="J92" s="1">
        <f t="shared" si="5"/>
        <v>20472.300000000028</v>
      </c>
      <c r="K92" s="16">
        <f t="shared" si="4"/>
        <v>-2.9103830456733704E-11</v>
      </c>
      <c r="L92" t="s">
        <v>30</v>
      </c>
      <c r="M92" t="e">
        <f>VLOOKUP(A92,#REF!,6,FALSE)</f>
        <v>#REF!</v>
      </c>
    </row>
    <row r="93" spans="1:13" x14ac:dyDescent="0.25">
      <c r="A93">
        <v>242</v>
      </c>
      <c r="B93" t="s">
        <v>114</v>
      </c>
      <c r="C93" t="s">
        <v>3</v>
      </c>
      <c r="D93" s="5">
        <v>45397</v>
      </c>
      <c r="E93" s="3" t="s">
        <v>124</v>
      </c>
      <c r="F93" s="4"/>
      <c r="G93" s="4">
        <v>1.43</v>
      </c>
      <c r="H93" s="4">
        <v>20470.87</v>
      </c>
      <c r="I93" s="1">
        <f t="shared" si="3"/>
        <v>-1.43</v>
      </c>
      <c r="J93" s="1">
        <f t="shared" si="5"/>
        <v>20470.870000000028</v>
      </c>
      <c r="K93" s="16">
        <f t="shared" si="4"/>
        <v>-2.9103830456733704E-11</v>
      </c>
      <c r="L93" t="s">
        <v>20</v>
      </c>
      <c r="M93" t="e">
        <f>VLOOKUP(A93,#REF!,6,FALSE)</f>
        <v>#REF!</v>
      </c>
    </row>
    <row r="94" spans="1:13" x14ac:dyDescent="0.25">
      <c r="A94">
        <v>243</v>
      </c>
      <c r="B94" t="s">
        <v>114</v>
      </c>
      <c r="C94" t="s">
        <v>3</v>
      </c>
      <c r="D94" s="5">
        <v>45401</v>
      </c>
      <c r="E94" s="3" t="s">
        <v>125</v>
      </c>
      <c r="F94" s="4">
        <v>1245</v>
      </c>
      <c r="G94" s="4"/>
      <c r="H94" s="4">
        <v>21715.87</v>
      </c>
      <c r="I94" s="1">
        <f t="shared" si="3"/>
        <v>1245</v>
      </c>
      <c r="J94" s="1">
        <f t="shared" si="5"/>
        <v>21715.870000000028</v>
      </c>
      <c r="K94" s="16">
        <f t="shared" si="4"/>
        <v>-2.9103830456733704E-11</v>
      </c>
      <c r="L94" t="s">
        <v>19</v>
      </c>
      <c r="M94" t="e">
        <f>VLOOKUP(A94,#REF!,6,FALSE)</f>
        <v>#REF!</v>
      </c>
    </row>
    <row r="95" spans="1:13" x14ac:dyDescent="0.25">
      <c r="A95">
        <v>244</v>
      </c>
      <c r="B95" t="s">
        <v>114</v>
      </c>
      <c r="C95" t="s">
        <v>3</v>
      </c>
      <c r="D95" s="5">
        <v>45401</v>
      </c>
      <c r="E95" s="3" t="s">
        <v>64</v>
      </c>
      <c r="F95" s="4">
        <v>2500</v>
      </c>
      <c r="G95" s="4"/>
      <c r="H95" s="4">
        <v>24215.87</v>
      </c>
      <c r="I95" s="1">
        <f t="shared" si="3"/>
        <v>2500</v>
      </c>
      <c r="J95" s="1">
        <f t="shared" si="5"/>
        <v>24215.870000000028</v>
      </c>
      <c r="K95" s="16">
        <f t="shared" si="4"/>
        <v>-2.9103830456733704E-11</v>
      </c>
      <c r="L95" t="s">
        <v>19</v>
      </c>
      <c r="M95" t="e">
        <f>VLOOKUP(A95,#REF!,6,FALSE)</f>
        <v>#REF!</v>
      </c>
    </row>
    <row r="96" spans="1:13" x14ac:dyDescent="0.25">
      <c r="A96">
        <v>245</v>
      </c>
      <c r="B96" t="s">
        <v>114</v>
      </c>
      <c r="C96" t="s">
        <v>3</v>
      </c>
      <c r="D96" s="5">
        <v>45401</v>
      </c>
      <c r="E96" s="3" t="s">
        <v>126</v>
      </c>
      <c r="F96" s="4"/>
      <c r="G96" s="4">
        <v>5000</v>
      </c>
      <c r="H96" s="4">
        <v>19215.87</v>
      </c>
      <c r="I96" s="1">
        <f t="shared" si="3"/>
        <v>-5000</v>
      </c>
      <c r="J96" s="1">
        <f t="shared" si="5"/>
        <v>19215.870000000028</v>
      </c>
      <c r="K96" s="16">
        <f t="shared" si="4"/>
        <v>-2.9103830456733704E-11</v>
      </c>
      <c r="L96" t="s">
        <v>10</v>
      </c>
      <c r="M96" t="e">
        <f>VLOOKUP(A96,#REF!,6,FALSE)</f>
        <v>#REF!</v>
      </c>
    </row>
    <row r="97" spans="1:13" x14ac:dyDescent="0.25">
      <c r="A97">
        <v>246</v>
      </c>
      <c r="B97" t="s">
        <v>114</v>
      </c>
      <c r="C97" t="s">
        <v>3</v>
      </c>
      <c r="D97" s="5">
        <v>45413</v>
      </c>
      <c r="E97" s="3" t="s">
        <v>62</v>
      </c>
      <c r="F97" s="4"/>
      <c r="G97" s="4">
        <v>25.42</v>
      </c>
      <c r="H97" s="4">
        <v>19190.45</v>
      </c>
      <c r="I97" s="1">
        <f t="shared" si="3"/>
        <v>-25.42</v>
      </c>
      <c r="J97" s="1">
        <f t="shared" si="5"/>
        <v>19190.45000000003</v>
      </c>
      <c r="K97" s="16">
        <f t="shared" si="4"/>
        <v>-2.9103830456733704E-11</v>
      </c>
      <c r="L97" t="s">
        <v>25</v>
      </c>
      <c r="M97" t="e">
        <f>VLOOKUP(A97,#REF!,6,FALSE)</f>
        <v>#REF!</v>
      </c>
    </row>
    <row r="98" spans="1:13" x14ac:dyDescent="0.25">
      <c r="A98">
        <v>247</v>
      </c>
      <c r="B98" t="s">
        <v>114</v>
      </c>
      <c r="C98" t="s">
        <v>3</v>
      </c>
      <c r="D98" s="5">
        <v>45413</v>
      </c>
      <c r="E98" s="3" t="s">
        <v>127</v>
      </c>
      <c r="F98" s="4"/>
      <c r="G98" s="4">
        <v>72</v>
      </c>
      <c r="H98" s="4">
        <v>19118.45</v>
      </c>
      <c r="I98" s="1">
        <f t="shared" si="3"/>
        <v>-72</v>
      </c>
      <c r="J98" s="1">
        <f t="shared" si="5"/>
        <v>19118.45000000003</v>
      </c>
      <c r="K98" s="16">
        <f t="shared" si="4"/>
        <v>-2.9103830456733704E-11</v>
      </c>
      <c r="L98" t="s">
        <v>24</v>
      </c>
      <c r="M98" t="e">
        <f>VLOOKUP(A98,#REF!,6,FALSE)</f>
        <v>#REF!</v>
      </c>
    </row>
    <row r="99" spans="1:13" x14ac:dyDescent="0.25">
      <c r="A99">
        <v>248</v>
      </c>
      <c r="B99" t="s">
        <v>114</v>
      </c>
      <c r="C99" t="s">
        <v>3</v>
      </c>
      <c r="D99" s="5">
        <v>45414</v>
      </c>
      <c r="E99" s="3" t="s">
        <v>128</v>
      </c>
      <c r="F99" s="4"/>
      <c r="G99" s="4">
        <v>0.6</v>
      </c>
      <c r="H99" s="4">
        <v>19117.849999999999</v>
      </c>
      <c r="I99" s="1">
        <f t="shared" si="3"/>
        <v>-0.6</v>
      </c>
      <c r="J99" s="1">
        <f t="shared" si="5"/>
        <v>19117.850000000031</v>
      </c>
      <c r="K99" s="16">
        <f t="shared" si="4"/>
        <v>-3.2741809263825417E-11</v>
      </c>
      <c r="L99" t="s">
        <v>29</v>
      </c>
      <c r="M99" t="e">
        <f>VLOOKUP(A99,#REF!,6,FALSE)</f>
        <v>#REF!</v>
      </c>
    </row>
    <row r="100" spans="1:13" x14ac:dyDescent="0.25">
      <c r="A100">
        <v>249</v>
      </c>
      <c r="B100" t="s">
        <v>114</v>
      </c>
      <c r="C100" t="s">
        <v>3</v>
      </c>
      <c r="D100" s="5">
        <v>45420</v>
      </c>
      <c r="E100" s="3" t="s">
        <v>129</v>
      </c>
      <c r="F100" s="4"/>
      <c r="G100" s="4">
        <v>2.6</v>
      </c>
      <c r="H100" s="4">
        <v>19115.25</v>
      </c>
      <c r="I100" s="1">
        <f t="shared" si="3"/>
        <v>-2.6</v>
      </c>
      <c r="J100" s="1">
        <f t="shared" si="5"/>
        <v>19115.250000000033</v>
      </c>
      <c r="K100" s="16">
        <f t="shared" si="4"/>
        <v>-3.2741809263825417E-11</v>
      </c>
      <c r="L100" t="s">
        <v>30</v>
      </c>
      <c r="M100" t="e">
        <f>VLOOKUP(A100,#REF!,6,FALSE)</f>
        <v>#REF!</v>
      </c>
    </row>
    <row r="101" spans="1:13" x14ac:dyDescent="0.25">
      <c r="A101">
        <v>250</v>
      </c>
      <c r="B101" t="s">
        <v>114</v>
      </c>
      <c r="C101" t="s">
        <v>3</v>
      </c>
      <c r="D101" s="5">
        <v>45421</v>
      </c>
      <c r="E101" s="3" t="s">
        <v>130</v>
      </c>
      <c r="F101" s="4"/>
      <c r="G101" s="4">
        <v>2.6</v>
      </c>
      <c r="H101" s="4">
        <v>19112.650000000001</v>
      </c>
      <c r="I101" s="1">
        <f t="shared" si="3"/>
        <v>-2.6</v>
      </c>
      <c r="J101" s="1">
        <f t="shared" si="5"/>
        <v>19112.650000000034</v>
      </c>
      <c r="K101" s="16">
        <f t="shared" si="4"/>
        <v>-3.2741809263825417E-11</v>
      </c>
      <c r="L101" t="s">
        <v>30</v>
      </c>
      <c r="M101" t="e">
        <f>VLOOKUP(A101,#REF!,6,FALSE)</f>
        <v>#REF!</v>
      </c>
    </row>
    <row r="102" spans="1:13" x14ac:dyDescent="0.25">
      <c r="A102">
        <v>251</v>
      </c>
      <c r="B102" t="s">
        <v>114</v>
      </c>
      <c r="C102" t="s">
        <v>3</v>
      </c>
      <c r="D102" s="5">
        <v>45422</v>
      </c>
      <c r="E102" s="3" t="s">
        <v>131</v>
      </c>
      <c r="F102" s="4"/>
      <c r="G102" s="4">
        <v>2.6</v>
      </c>
      <c r="H102" s="4">
        <v>19110.05</v>
      </c>
      <c r="I102" s="1">
        <f t="shared" si="3"/>
        <v>-2.6</v>
      </c>
      <c r="J102" s="1">
        <f t="shared" si="5"/>
        <v>19110.050000000036</v>
      </c>
      <c r="K102" s="16">
        <f t="shared" si="4"/>
        <v>-3.637978807091713E-11</v>
      </c>
      <c r="L102" t="s">
        <v>30</v>
      </c>
      <c r="M102" t="e">
        <f>VLOOKUP(A102,#REF!,6,FALSE)</f>
        <v>#REF!</v>
      </c>
    </row>
    <row r="103" spans="1:13" x14ac:dyDescent="0.25">
      <c r="A103">
        <v>252</v>
      </c>
      <c r="B103" t="s">
        <v>114</v>
      </c>
      <c r="C103" t="s">
        <v>3</v>
      </c>
      <c r="D103" s="5">
        <v>45425</v>
      </c>
      <c r="E103" s="3" t="s">
        <v>132</v>
      </c>
      <c r="F103" s="4"/>
      <c r="G103" s="4">
        <v>2.6</v>
      </c>
      <c r="H103" s="4">
        <v>19107.45</v>
      </c>
      <c r="I103" s="1">
        <f t="shared" si="3"/>
        <v>-2.6</v>
      </c>
      <c r="J103" s="1">
        <f t="shared" si="5"/>
        <v>19107.450000000037</v>
      </c>
      <c r="K103" s="16">
        <f t="shared" si="4"/>
        <v>-3.637978807091713E-11</v>
      </c>
      <c r="L103" t="s">
        <v>30</v>
      </c>
      <c r="M103" t="e">
        <f>VLOOKUP(A103,#REF!,6,FALSE)</f>
        <v>#REF!</v>
      </c>
    </row>
    <row r="104" spans="1:13" x14ac:dyDescent="0.25">
      <c r="A104">
        <v>253</v>
      </c>
      <c r="B104" t="s">
        <v>114</v>
      </c>
      <c r="C104" t="s">
        <v>3</v>
      </c>
      <c r="D104" s="5">
        <v>45428</v>
      </c>
      <c r="E104" s="3" t="s">
        <v>133</v>
      </c>
      <c r="F104" s="4"/>
      <c r="G104" s="4">
        <v>2.6</v>
      </c>
      <c r="H104" s="4">
        <v>19104.849999999999</v>
      </c>
      <c r="I104" s="1">
        <f t="shared" si="3"/>
        <v>-2.6</v>
      </c>
      <c r="J104" s="1">
        <f t="shared" si="5"/>
        <v>19104.850000000039</v>
      </c>
      <c r="K104" s="16">
        <f t="shared" si="4"/>
        <v>-4.0017766878008842E-11</v>
      </c>
      <c r="L104" t="s">
        <v>30</v>
      </c>
      <c r="M104" t="e">
        <f>VLOOKUP(A104,#REF!,6,FALSE)</f>
        <v>#REF!</v>
      </c>
    </row>
    <row r="105" spans="1:13" x14ac:dyDescent="0.25">
      <c r="A105">
        <v>254</v>
      </c>
      <c r="B105" t="s">
        <v>114</v>
      </c>
      <c r="C105" t="s">
        <v>3</v>
      </c>
      <c r="D105" s="5">
        <v>45429</v>
      </c>
      <c r="E105" s="3" t="s">
        <v>134</v>
      </c>
      <c r="F105" s="4"/>
      <c r="G105" s="4">
        <v>2.6</v>
      </c>
      <c r="H105" s="4">
        <v>19102.25</v>
      </c>
      <c r="I105" s="1">
        <f t="shared" si="3"/>
        <v>-2.6</v>
      </c>
      <c r="J105" s="1">
        <f t="shared" si="5"/>
        <v>19102.25000000004</v>
      </c>
      <c r="K105" s="16">
        <f t="shared" si="4"/>
        <v>-4.0017766878008842E-11</v>
      </c>
      <c r="L105" t="s">
        <v>30</v>
      </c>
      <c r="M105" t="e">
        <f>VLOOKUP(A105,#REF!,6,FALSE)</f>
        <v>#REF!</v>
      </c>
    </row>
    <row r="106" spans="1:13" x14ac:dyDescent="0.25">
      <c r="A106">
        <v>255</v>
      </c>
      <c r="B106" t="s">
        <v>114</v>
      </c>
      <c r="C106" t="s">
        <v>3</v>
      </c>
      <c r="D106" s="5">
        <v>45432</v>
      </c>
      <c r="E106" s="3" t="s">
        <v>135</v>
      </c>
      <c r="F106" s="4"/>
      <c r="G106" s="4">
        <v>5000</v>
      </c>
      <c r="H106" s="4">
        <v>14102.25</v>
      </c>
      <c r="I106" s="1">
        <f t="shared" si="3"/>
        <v>-5000</v>
      </c>
      <c r="J106" s="1">
        <f t="shared" si="5"/>
        <v>14102.25000000004</v>
      </c>
      <c r="K106" s="16">
        <f t="shared" si="4"/>
        <v>-4.0017766878008842E-11</v>
      </c>
      <c r="L106" t="s">
        <v>10</v>
      </c>
      <c r="M106" t="e">
        <f>VLOOKUP(A106,#REF!,6,FALSE)</f>
        <v>#REF!</v>
      </c>
    </row>
    <row r="107" spans="1:13" x14ac:dyDescent="0.25">
      <c r="A107">
        <v>256</v>
      </c>
      <c r="B107" t="s">
        <v>114</v>
      </c>
      <c r="C107" t="s">
        <v>3</v>
      </c>
      <c r="D107" s="5">
        <v>45432</v>
      </c>
      <c r="E107" s="3" t="s">
        <v>136</v>
      </c>
      <c r="F107" s="4"/>
      <c r="G107" s="4">
        <v>2.6</v>
      </c>
      <c r="H107" s="4">
        <v>14099.65</v>
      </c>
      <c r="I107" s="1">
        <f t="shared" si="3"/>
        <v>-2.6</v>
      </c>
      <c r="J107" s="1">
        <f t="shared" si="5"/>
        <v>14099.65000000004</v>
      </c>
      <c r="K107" s="16">
        <f t="shared" si="4"/>
        <v>-4.0017766878008842E-11</v>
      </c>
      <c r="L107" t="s">
        <v>30</v>
      </c>
      <c r="M107" t="e">
        <f>VLOOKUP(A107,#REF!,6,FALSE)</f>
        <v>#REF!</v>
      </c>
    </row>
    <row r="108" spans="1:13" x14ac:dyDescent="0.25">
      <c r="A108">
        <v>257</v>
      </c>
      <c r="B108" t="s">
        <v>114</v>
      </c>
      <c r="C108" t="s">
        <v>3</v>
      </c>
      <c r="D108" s="5">
        <v>45433</v>
      </c>
      <c r="E108" s="3" t="s">
        <v>137</v>
      </c>
      <c r="F108" s="4"/>
      <c r="G108" s="4">
        <v>50</v>
      </c>
      <c r="H108" s="4">
        <v>14049.65</v>
      </c>
      <c r="I108" s="1">
        <f t="shared" si="3"/>
        <v>-50</v>
      </c>
      <c r="J108" s="1">
        <f t="shared" si="5"/>
        <v>14049.65000000004</v>
      </c>
      <c r="K108" s="16">
        <f t="shared" si="4"/>
        <v>-4.0017766878008842E-11</v>
      </c>
      <c r="L108" t="s">
        <v>32</v>
      </c>
      <c r="M108" t="e">
        <f>VLOOKUP(A108,#REF!,6,FALSE)</f>
        <v>#REF!</v>
      </c>
    </row>
    <row r="109" spans="1:13" x14ac:dyDescent="0.25">
      <c r="A109">
        <v>258</v>
      </c>
      <c r="B109" t="s">
        <v>114</v>
      </c>
      <c r="C109" t="s">
        <v>3</v>
      </c>
      <c r="D109" s="5">
        <v>45433</v>
      </c>
      <c r="E109" s="3" t="s">
        <v>138</v>
      </c>
      <c r="F109" s="4"/>
      <c r="G109" s="4">
        <v>2.6</v>
      </c>
      <c r="H109" s="4">
        <v>14047.05</v>
      </c>
      <c r="I109" s="1">
        <f t="shared" si="3"/>
        <v>-2.6</v>
      </c>
      <c r="J109" s="1">
        <f t="shared" si="5"/>
        <v>14047.050000000039</v>
      </c>
      <c r="K109" s="16">
        <f t="shared" si="4"/>
        <v>-4.0017766878008842E-11</v>
      </c>
      <c r="L109" t="s">
        <v>30</v>
      </c>
      <c r="M109" t="e">
        <f>VLOOKUP(A109,#REF!,6,FALSE)</f>
        <v>#REF!</v>
      </c>
    </row>
    <row r="110" spans="1:13" x14ac:dyDescent="0.25">
      <c r="A110">
        <v>259</v>
      </c>
      <c r="B110" t="s">
        <v>114</v>
      </c>
      <c r="C110" t="s">
        <v>3</v>
      </c>
      <c r="D110" s="5">
        <v>45434</v>
      </c>
      <c r="E110" s="3" t="s">
        <v>139</v>
      </c>
      <c r="F110" s="4"/>
      <c r="G110" s="4">
        <v>2.6</v>
      </c>
      <c r="H110" s="4">
        <v>14044.45</v>
      </c>
      <c r="I110" s="1">
        <f t="shared" si="3"/>
        <v>-2.6</v>
      </c>
      <c r="J110" s="1">
        <f t="shared" si="5"/>
        <v>14044.450000000039</v>
      </c>
      <c r="K110" s="16">
        <f t="shared" si="4"/>
        <v>-3.8198777474462986E-11</v>
      </c>
      <c r="L110" t="s">
        <v>30</v>
      </c>
      <c r="M110" t="e">
        <f>VLOOKUP(A110,#REF!,6,FALSE)</f>
        <v>#REF!</v>
      </c>
    </row>
    <row r="111" spans="1:13" x14ac:dyDescent="0.25">
      <c r="A111">
        <v>260</v>
      </c>
      <c r="B111" t="s">
        <v>114</v>
      </c>
      <c r="C111" t="s">
        <v>3</v>
      </c>
      <c r="D111" s="5">
        <v>45435</v>
      </c>
      <c r="E111" s="3" t="s">
        <v>140</v>
      </c>
      <c r="F111" s="4"/>
      <c r="G111" s="4">
        <v>2.6</v>
      </c>
      <c r="H111" s="4">
        <v>14041.85</v>
      </c>
      <c r="I111" s="1">
        <f t="shared" si="3"/>
        <v>-2.6</v>
      </c>
      <c r="J111" s="1">
        <f t="shared" si="5"/>
        <v>14041.850000000039</v>
      </c>
      <c r="K111" s="16">
        <f t="shared" si="4"/>
        <v>-3.8198777474462986E-11</v>
      </c>
      <c r="L111" t="s">
        <v>30</v>
      </c>
      <c r="M111" t="e">
        <f>VLOOKUP(A111,#REF!,6,FALSE)</f>
        <v>#REF!</v>
      </c>
    </row>
    <row r="112" spans="1:13" x14ac:dyDescent="0.25">
      <c r="A112">
        <v>261</v>
      </c>
      <c r="B112" t="s">
        <v>114</v>
      </c>
      <c r="C112" t="s">
        <v>3</v>
      </c>
      <c r="D112" s="5">
        <v>45436</v>
      </c>
      <c r="E112" s="3" t="s">
        <v>64</v>
      </c>
      <c r="F112" s="4">
        <v>4000</v>
      </c>
      <c r="G112" s="4"/>
      <c r="H112" s="4">
        <v>18041.849999999999</v>
      </c>
      <c r="I112" s="1">
        <f t="shared" si="3"/>
        <v>4000</v>
      </c>
      <c r="J112" s="1">
        <f t="shared" si="5"/>
        <v>18041.850000000039</v>
      </c>
      <c r="K112" s="16">
        <f t="shared" si="4"/>
        <v>-4.0017766878008842E-11</v>
      </c>
      <c r="L112" t="s">
        <v>19</v>
      </c>
      <c r="M112" t="e">
        <f>VLOOKUP(A112,#REF!,6,FALSE)</f>
        <v>#REF!</v>
      </c>
    </row>
    <row r="113" spans="1:13" x14ac:dyDescent="0.25">
      <c r="A113">
        <v>262</v>
      </c>
      <c r="B113" t="s">
        <v>114</v>
      </c>
      <c r="C113" t="s">
        <v>3</v>
      </c>
      <c r="D113" s="5">
        <v>45436</v>
      </c>
      <c r="E113" s="3" t="s">
        <v>141</v>
      </c>
      <c r="F113" s="4"/>
      <c r="G113" s="4">
        <v>2.6</v>
      </c>
      <c r="H113" s="4">
        <v>18039.25</v>
      </c>
      <c r="I113" s="1">
        <f t="shared" si="3"/>
        <v>-2.6</v>
      </c>
      <c r="J113" s="1">
        <f t="shared" si="5"/>
        <v>18039.25000000004</v>
      </c>
      <c r="K113" s="16">
        <f t="shared" si="4"/>
        <v>-4.0017766878008842E-11</v>
      </c>
      <c r="L113" t="s">
        <v>30</v>
      </c>
      <c r="M113" t="e">
        <f>VLOOKUP(A113,#REF!,6,FALSE)</f>
        <v>#REF!</v>
      </c>
    </row>
    <row r="114" spans="1:13" x14ac:dyDescent="0.25">
      <c r="A114">
        <v>263</v>
      </c>
      <c r="B114" t="s">
        <v>114</v>
      </c>
      <c r="C114" t="s">
        <v>3</v>
      </c>
      <c r="D114" s="5">
        <v>45446</v>
      </c>
      <c r="E114" s="3" t="s">
        <v>62</v>
      </c>
      <c r="F114" s="4"/>
      <c r="G114" s="4">
        <v>25.42</v>
      </c>
      <c r="H114" s="4">
        <v>18013.830000000002</v>
      </c>
      <c r="I114" s="1">
        <f t="shared" si="3"/>
        <v>-25.42</v>
      </c>
      <c r="J114" s="1">
        <f t="shared" si="5"/>
        <v>18013.830000000042</v>
      </c>
      <c r="K114" s="16">
        <f t="shared" si="4"/>
        <v>-4.0017766878008842E-11</v>
      </c>
      <c r="L114" t="s">
        <v>25</v>
      </c>
      <c r="M114" t="e">
        <f>VLOOKUP(A114,#REF!,6,FALSE)</f>
        <v>#REF!</v>
      </c>
    </row>
    <row r="115" spans="1:13" x14ac:dyDescent="0.25">
      <c r="A115">
        <v>264</v>
      </c>
      <c r="B115" t="s">
        <v>114</v>
      </c>
      <c r="C115" t="s">
        <v>3</v>
      </c>
      <c r="D115" s="5">
        <v>45446</v>
      </c>
      <c r="E115" s="3" t="s">
        <v>127</v>
      </c>
      <c r="F115" s="4"/>
      <c r="G115" s="4">
        <v>72</v>
      </c>
      <c r="H115" s="4">
        <v>17941.830000000002</v>
      </c>
      <c r="I115" s="1">
        <f t="shared" si="3"/>
        <v>-72</v>
      </c>
      <c r="J115" s="1">
        <f t="shared" si="5"/>
        <v>17941.830000000042</v>
      </c>
      <c r="K115" s="16">
        <f t="shared" si="4"/>
        <v>-4.0017766878008842E-11</v>
      </c>
      <c r="L115" t="s">
        <v>24</v>
      </c>
      <c r="M115" t="e">
        <f>VLOOKUP(A115,#REF!,6,FALSE)</f>
        <v>#REF!</v>
      </c>
    </row>
    <row r="116" spans="1:13" x14ac:dyDescent="0.25">
      <c r="A116">
        <v>265</v>
      </c>
      <c r="B116" t="s">
        <v>114</v>
      </c>
      <c r="C116" t="s">
        <v>3</v>
      </c>
      <c r="D116" s="5">
        <v>45447</v>
      </c>
      <c r="E116" s="3" t="s">
        <v>142</v>
      </c>
      <c r="F116" s="4"/>
      <c r="G116" s="4">
        <v>50</v>
      </c>
      <c r="H116" s="4">
        <v>17891.830000000002</v>
      </c>
      <c r="I116" s="1">
        <f t="shared" si="3"/>
        <v>-50</v>
      </c>
      <c r="J116" s="1">
        <f t="shared" si="5"/>
        <v>17891.830000000042</v>
      </c>
      <c r="K116" s="16">
        <f t="shared" si="4"/>
        <v>-4.0017766878008842E-11</v>
      </c>
      <c r="L116" t="s">
        <v>22</v>
      </c>
      <c r="M116" t="e">
        <f>VLOOKUP(A116,#REF!,6,FALSE)</f>
        <v>#REF!</v>
      </c>
    </row>
    <row r="117" spans="1:13" x14ac:dyDescent="0.25">
      <c r="A117">
        <v>266</v>
      </c>
      <c r="B117" t="s">
        <v>114</v>
      </c>
      <c r="C117" t="s">
        <v>3</v>
      </c>
      <c r="D117" s="5">
        <v>45447</v>
      </c>
      <c r="E117" s="3" t="s">
        <v>143</v>
      </c>
      <c r="F117" s="4"/>
      <c r="G117" s="4">
        <v>50</v>
      </c>
      <c r="H117" s="4">
        <v>17841.830000000002</v>
      </c>
      <c r="I117" s="1">
        <f t="shared" si="3"/>
        <v>-50</v>
      </c>
      <c r="J117" s="1">
        <f t="shared" si="5"/>
        <v>17841.830000000042</v>
      </c>
      <c r="K117" s="16">
        <f t="shared" si="4"/>
        <v>-4.0017766878008842E-11</v>
      </c>
      <c r="L117" t="s">
        <v>22</v>
      </c>
      <c r="M117" t="e">
        <f>VLOOKUP(A117,#REF!,6,FALSE)</f>
        <v>#REF!</v>
      </c>
    </row>
    <row r="118" spans="1:13" x14ac:dyDescent="0.25">
      <c r="A118">
        <v>267</v>
      </c>
      <c r="B118" t="s">
        <v>114</v>
      </c>
      <c r="C118" t="s">
        <v>3</v>
      </c>
      <c r="D118" s="5">
        <v>45449</v>
      </c>
      <c r="E118" s="3" t="s">
        <v>144</v>
      </c>
      <c r="F118" s="4"/>
      <c r="G118" s="4">
        <v>50.28</v>
      </c>
      <c r="H118" s="4">
        <v>17791.55</v>
      </c>
      <c r="I118" s="1">
        <f t="shared" si="3"/>
        <v>-50.28</v>
      </c>
      <c r="J118" s="1">
        <f t="shared" si="5"/>
        <v>17791.550000000043</v>
      </c>
      <c r="K118" s="16">
        <f t="shared" si="4"/>
        <v>-4.3655745685100555E-11</v>
      </c>
      <c r="L118" t="s">
        <v>18</v>
      </c>
      <c r="M118" t="e">
        <f>VLOOKUP(A118,#REF!,6,FALSE)</f>
        <v>#REF!</v>
      </c>
    </row>
    <row r="119" spans="1:13" x14ac:dyDescent="0.25">
      <c r="A119">
        <v>268</v>
      </c>
      <c r="B119" t="s">
        <v>114</v>
      </c>
      <c r="C119" t="s">
        <v>3</v>
      </c>
      <c r="D119" s="5">
        <v>45453</v>
      </c>
      <c r="E119" s="3" t="s">
        <v>145</v>
      </c>
      <c r="F119" s="4"/>
      <c r="G119" s="4">
        <v>5000</v>
      </c>
      <c r="H119" s="4">
        <v>12791.55</v>
      </c>
      <c r="I119" s="1">
        <f t="shared" si="3"/>
        <v>-5000</v>
      </c>
      <c r="J119" s="1">
        <f t="shared" si="5"/>
        <v>12791.550000000043</v>
      </c>
      <c r="K119" s="16">
        <f t="shared" si="4"/>
        <v>-4.3655745685100555E-11</v>
      </c>
      <c r="L119" t="s">
        <v>10</v>
      </c>
      <c r="M119" t="e">
        <f>VLOOKUP(A119,#REF!,6,FALSE)</f>
        <v>#REF!</v>
      </c>
    </row>
    <row r="120" spans="1:13" x14ac:dyDescent="0.25">
      <c r="A120">
        <v>269</v>
      </c>
      <c r="B120" t="s">
        <v>114</v>
      </c>
      <c r="C120" t="s">
        <v>3</v>
      </c>
      <c r="D120" s="5">
        <v>45455</v>
      </c>
      <c r="E120" s="3" t="s">
        <v>64</v>
      </c>
      <c r="F120" s="4">
        <v>4000</v>
      </c>
      <c r="H120" s="4">
        <v>16791.55</v>
      </c>
      <c r="I120" s="1">
        <f t="shared" si="3"/>
        <v>4000</v>
      </c>
      <c r="J120" s="1">
        <f t="shared" si="5"/>
        <v>16791.550000000043</v>
      </c>
      <c r="K120" s="16">
        <f t="shared" si="4"/>
        <v>-4.3655745685100555E-11</v>
      </c>
      <c r="L120" t="s">
        <v>19</v>
      </c>
      <c r="M120" t="e">
        <f>VLOOKUP(A120,#REF!,6,FALSE)</f>
        <v>#REF!</v>
      </c>
    </row>
    <row r="121" spans="1:13" x14ac:dyDescent="0.25">
      <c r="A121">
        <v>270</v>
      </c>
      <c r="B121" t="s">
        <v>114</v>
      </c>
      <c r="C121" t="s">
        <v>3</v>
      </c>
      <c r="D121" s="5">
        <v>45457</v>
      </c>
      <c r="E121" s="3" t="s">
        <v>64</v>
      </c>
      <c r="F121" s="4">
        <v>424</v>
      </c>
      <c r="G121" s="4"/>
      <c r="H121" s="4">
        <v>17215.55</v>
      </c>
      <c r="I121" s="1">
        <f t="shared" si="3"/>
        <v>424</v>
      </c>
      <c r="J121" s="1">
        <f t="shared" si="5"/>
        <v>17215.550000000043</v>
      </c>
      <c r="K121" s="16">
        <f t="shared" si="4"/>
        <v>-4.3655745685100555E-11</v>
      </c>
      <c r="L121" t="s">
        <v>19</v>
      </c>
      <c r="M121" t="e">
        <f>VLOOKUP(A121,#REF!,6,FALSE)</f>
        <v>#REF!</v>
      </c>
    </row>
    <row r="122" spans="1:13" x14ac:dyDescent="0.25">
      <c r="A122">
        <v>271</v>
      </c>
      <c r="B122" t="s">
        <v>114</v>
      </c>
      <c r="C122" t="s">
        <v>3</v>
      </c>
      <c r="D122" s="5">
        <v>45460</v>
      </c>
      <c r="E122" s="3" t="s">
        <v>146</v>
      </c>
      <c r="F122" s="4"/>
      <c r="G122" s="4">
        <v>500</v>
      </c>
      <c r="H122" s="4">
        <v>16715.55</v>
      </c>
      <c r="I122" s="1">
        <f t="shared" si="3"/>
        <v>-500</v>
      </c>
      <c r="J122" s="1">
        <f t="shared" si="5"/>
        <v>16715.550000000043</v>
      </c>
      <c r="K122" s="16">
        <f t="shared" si="4"/>
        <v>-4.3655745685100555E-11</v>
      </c>
      <c r="L122" t="s">
        <v>10</v>
      </c>
      <c r="M122" t="e">
        <f>VLOOKUP(A122,#REF!,6,FALSE)</f>
        <v>#REF!</v>
      </c>
    </row>
    <row r="123" spans="1:13" x14ac:dyDescent="0.25">
      <c r="A123">
        <v>272</v>
      </c>
      <c r="B123" t="s">
        <v>114</v>
      </c>
      <c r="C123" t="s">
        <v>3</v>
      </c>
      <c r="D123" s="5">
        <v>45460</v>
      </c>
      <c r="E123" s="3" t="s">
        <v>147</v>
      </c>
      <c r="F123" s="4"/>
      <c r="G123" s="4">
        <v>500</v>
      </c>
      <c r="H123" s="4">
        <v>16215.55</v>
      </c>
      <c r="I123" s="1">
        <f t="shared" si="3"/>
        <v>-500</v>
      </c>
      <c r="J123" s="1">
        <f t="shared" si="5"/>
        <v>16215.550000000043</v>
      </c>
      <c r="K123" s="16">
        <f t="shared" si="4"/>
        <v>-4.3655745685100555E-11</v>
      </c>
      <c r="L123" t="s">
        <v>10</v>
      </c>
      <c r="M123" t="e">
        <f>VLOOKUP(A123,#REF!,6,FALSE)</f>
        <v>#REF!</v>
      </c>
    </row>
    <row r="124" spans="1:13" x14ac:dyDescent="0.25">
      <c r="A124">
        <v>273</v>
      </c>
      <c r="B124" t="s">
        <v>114</v>
      </c>
      <c r="C124" t="s">
        <v>3</v>
      </c>
      <c r="D124" s="5">
        <v>45462</v>
      </c>
      <c r="E124" s="3" t="s">
        <v>148</v>
      </c>
      <c r="F124" s="4"/>
      <c r="G124" s="4">
        <v>10.5</v>
      </c>
      <c r="H124" s="4">
        <v>16205.05</v>
      </c>
      <c r="I124" s="1">
        <f t="shared" si="3"/>
        <v>-10.5</v>
      </c>
      <c r="J124" s="1">
        <f t="shared" si="5"/>
        <v>16205.050000000043</v>
      </c>
      <c r="K124" s="16">
        <f t="shared" si="4"/>
        <v>-4.3655745685100555E-11</v>
      </c>
      <c r="L124" t="s">
        <v>22</v>
      </c>
      <c r="M124" t="e">
        <f>VLOOKUP(A124,#REF!,6,FALSE)</f>
        <v>#REF!</v>
      </c>
    </row>
    <row r="125" spans="1:13" x14ac:dyDescent="0.25">
      <c r="A125">
        <v>274</v>
      </c>
      <c r="B125" t="s">
        <v>114</v>
      </c>
      <c r="C125" t="s">
        <v>3</v>
      </c>
      <c r="D125" s="5">
        <v>45463</v>
      </c>
      <c r="E125" s="3" t="s">
        <v>149</v>
      </c>
      <c r="F125" s="4">
        <v>1255</v>
      </c>
      <c r="G125" s="4"/>
      <c r="H125" s="4">
        <v>17460.05</v>
      </c>
      <c r="I125" s="1">
        <f t="shared" si="3"/>
        <v>1255</v>
      </c>
      <c r="J125" s="1">
        <f t="shared" si="5"/>
        <v>17460.050000000043</v>
      </c>
      <c r="K125" s="16">
        <f t="shared" si="4"/>
        <v>-4.3655745685100555E-11</v>
      </c>
      <c r="L125" t="s">
        <v>19</v>
      </c>
      <c r="M125" t="e">
        <f>VLOOKUP(A125,#REF!,6,FALSE)</f>
        <v>#REF!</v>
      </c>
    </row>
    <row r="126" spans="1:13" x14ac:dyDescent="0.25">
      <c r="A126">
        <v>275</v>
      </c>
      <c r="B126" t="s">
        <v>114</v>
      </c>
      <c r="C126" t="s">
        <v>3</v>
      </c>
      <c r="D126" s="5">
        <v>45464</v>
      </c>
      <c r="E126" s="3" t="s">
        <v>150</v>
      </c>
      <c r="F126" s="4"/>
      <c r="G126" s="4">
        <v>4000</v>
      </c>
      <c r="H126" s="4">
        <v>13460.05</v>
      </c>
      <c r="I126" s="1">
        <f t="shared" si="3"/>
        <v>-4000</v>
      </c>
      <c r="J126" s="1">
        <f t="shared" si="5"/>
        <v>13460.050000000043</v>
      </c>
      <c r="K126" s="16">
        <f t="shared" si="4"/>
        <v>-4.3655745685100555E-11</v>
      </c>
      <c r="L126" t="s">
        <v>10</v>
      </c>
      <c r="M126" t="e">
        <f>VLOOKUP(A126,#REF!,6,FALSE)</f>
        <v>#REF!</v>
      </c>
    </row>
    <row r="127" spans="1:13" x14ac:dyDescent="0.25">
      <c r="A127">
        <v>276</v>
      </c>
      <c r="B127" t="s">
        <v>114</v>
      </c>
      <c r="C127" t="s">
        <v>3</v>
      </c>
      <c r="D127" s="5">
        <v>45470</v>
      </c>
      <c r="E127" s="3" t="s">
        <v>151</v>
      </c>
      <c r="F127" s="4"/>
      <c r="G127" s="4">
        <v>613</v>
      </c>
      <c r="H127" s="4">
        <v>12847.05</v>
      </c>
      <c r="I127" s="1">
        <f t="shared" si="3"/>
        <v>-613</v>
      </c>
      <c r="J127" s="1">
        <f t="shared" si="5"/>
        <v>12847.050000000043</v>
      </c>
      <c r="K127" s="16">
        <f t="shared" si="4"/>
        <v>-4.3655745685100555E-11</v>
      </c>
      <c r="L127" t="s">
        <v>6</v>
      </c>
      <c r="M127" t="e">
        <f>VLOOKUP(A127,#REF!,6,FALSE)</f>
        <v>#REF!</v>
      </c>
    </row>
    <row r="128" spans="1:13" x14ac:dyDescent="0.25">
      <c r="A128">
        <v>277</v>
      </c>
      <c r="B128" t="s">
        <v>114</v>
      </c>
      <c r="C128" t="s">
        <v>3</v>
      </c>
      <c r="D128" s="5">
        <v>45471</v>
      </c>
      <c r="E128" s="3" t="s">
        <v>152</v>
      </c>
      <c r="F128" s="4"/>
      <c r="G128" s="4">
        <v>3.7</v>
      </c>
      <c r="H128" s="4">
        <v>12843.35</v>
      </c>
      <c r="I128" s="1">
        <f t="shared" si="3"/>
        <v>-3.7</v>
      </c>
      <c r="J128" s="1">
        <f t="shared" si="5"/>
        <v>12843.350000000042</v>
      </c>
      <c r="K128" s="16">
        <f t="shared" si="4"/>
        <v>-4.1836756281554699E-11</v>
      </c>
      <c r="L128" t="s">
        <v>22</v>
      </c>
      <c r="M128" t="e">
        <f>VLOOKUP(A128,#REF!,6,FALSE)</f>
        <v>#REF!</v>
      </c>
    </row>
    <row r="129" spans="1:13" x14ac:dyDescent="0.25">
      <c r="A129">
        <v>278</v>
      </c>
      <c r="B129" t="s">
        <v>114</v>
      </c>
      <c r="C129" t="s">
        <v>3</v>
      </c>
      <c r="D129" s="5">
        <v>45474</v>
      </c>
      <c r="E129" s="3" t="s">
        <v>127</v>
      </c>
      <c r="F129" s="4"/>
      <c r="G129" s="4">
        <v>72</v>
      </c>
      <c r="H129" s="4">
        <v>12771.35</v>
      </c>
      <c r="I129" s="1">
        <f t="shared" si="3"/>
        <v>-72</v>
      </c>
      <c r="J129" s="1">
        <f t="shared" si="5"/>
        <v>12771.350000000042</v>
      </c>
      <c r="K129" s="16">
        <f t="shared" si="4"/>
        <v>-4.1836756281554699E-11</v>
      </c>
      <c r="L129" t="s">
        <v>24</v>
      </c>
      <c r="M129" t="e">
        <f>VLOOKUP(A129,#REF!,6,FALSE)</f>
        <v>#REF!</v>
      </c>
    </row>
    <row r="130" spans="1:13" x14ac:dyDescent="0.25">
      <c r="A130">
        <v>279</v>
      </c>
      <c r="B130" t="s">
        <v>114</v>
      </c>
      <c r="C130" t="s">
        <v>3</v>
      </c>
      <c r="D130" s="5">
        <v>45475</v>
      </c>
      <c r="E130" s="3" t="s">
        <v>153</v>
      </c>
      <c r="F130" s="4"/>
      <c r="G130" s="4">
        <v>6.3</v>
      </c>
      <c r="H130" s="4">
        <v>12765.05</v>
      </c>
      <c r="I130" s="1">
        <f t="shared" ref="I130:I193" si="6">F130-G130</f>
        <v>-6.3</v>
      </c>
      <c r="J130" s="1">
        <f t="shared" si="5"/>
        <v>12765.050000000043</v>
      </c>
      <c r="K130" s="16">
        <f t="shared" ref="K130:K193" si="7">H130-J130</f>
        <v>-4.3655745685100555E-11</v>
      </c>
      <c r="L130" t="s">
        <v>22</v>
      </c>
      <c r="M130" t="e">
        <f>VLOOKUP(A130,#REF!,6,FALSE)</f>
        <v>#REF!</v>
      </c>
    </row>
    <row r="131" spans="1:13" x14ac:dyDescent="0.25">
      <c r="A131">
        <v>280</v>
      </c>
      <c r="B131" t="s">
        <v>114</v>
      </c>
      <c r="C131" t="s">
        <v>3</v>
      </c>
      <c r="D131" s="5">
        <v>45475</v>
      </c>
      <c r="E131" s="3" t="s">
        <v>153</v>
      </c>
      <c r="F131" s="4"/>
      <c r="G131" s="4">
        <v>5</v>
      </c>
      <c r="H131" s="4">
        <v>12760.05</v>
      </c>
      <c r="I131" s="1">
        <f t="shared" si="6"/>
        <v>-5</v>
      </c>
      <c r="J131" s="1">
        <f t="shared" ref="J131:J194" si="8">J130+I131</f>
        <v>12760.050000000043</v>
      </c>
      <c r="K131" s="16">
        <f t="shared" si="7"/>
        <v>-4.3655745685100555E-11</v>
      </c>
      <c r="L131" t="s">
        <v>22</v>
      </c>
      <c r="M131" t="e">
        <f>VLOOKUP(A131,#REF!,6,FALSE)</f>
        <v>#REF!</v>
      </c>
    </row>
    <row r="132" spans="1:13" x14ac:dyDescent="0.25">
      <c r="A132">
        <v>281</v>
      </c>
      <c r="B132" t="s">
        <v>114</v>
      </c>
      <c r="C132" t="s">
        <v>3</v>
      </c>
      <c r="D132" s="5">
        <v>45478</v>
      </c>
      <c r="E132" s="3" t="s">
        <v>64</v>
      </c>
      <c r="F132" s="4">
        <v>4500</v>
      </c>
      <c r="G132" s="4"/>
      <c r="H132" s="4">
        <v>17260.05</v>
      </c>
      <c r="I132" s="1">
        <f t="shared" si="6"/>
        <v>4500</v>
      </c>
      <c r="J132" s="1">
        <f t="shared" si="8"/>
        <v>17260.050000000043</v>
      </c>
      <c r="K132" s="16">
        <f t="shared" si="7"/>
        <v>-4.3655745685100555E-11</v>
      </c>
      <c r="L132" t="s">
        <v>19</v>
      </c>
      <c r="M132" t="e">
        <f>VLOOKUP(A132,#REF!,6,FALSE)</f>
        <v>#REF!</v>
      </c>
    </row>
    <row r="133" spans="1:13" x14ac:dyDescent="0.25">
      <c r="A133">
        <v>282</v>
      </c>
      <c r="B133" t="s">
        <v>114</v>
      </c>
      <c r="C133" t="s">
        <v>3</v>
      </c>
      <c r="D133" s="5">
        <v>45481</v>
      </c>
      <c r="E133" s="3" t="s">
        <v>154</v>
      </c>
      <c r="F133" s="4"/>
      <c r="G133" s="4">
        <v>133.41</v>
      </c>
      <c r="H133" s="4">
        <v>17126.64</v>
      </c>
      <c r="I133" s="1">
        <f t="shared" si="6"/>
        <v>-133.41</v>
      </c>
      <c r="J133" s="1">
        <f t="shared" si="8"/>
        <v>17126.640000000043</v>
      </c>
      <c r="K133" s="16">
        <f t="shared" si="7"/>
        <v>-4.3655745685100555E-11</v>
      </c>
      <c r="L133" t="s">
        <v>10</v>
      </c>
      <c r="M133" t="e">
        <f>VLOOKUP(A133,#REF!,6,FALSE)</f>
        <v>#REF!</v>
      </c>
    </row>
    <row r="134" spans="1:13" x14ac:dyDescent="0.25">
      <c r="A134">
        <v>283</v>
      </c>
      <c r="B134" t="s">
        <v>114</v>
      </c>
      <c r="C134" t="s">
        <v>3</v>
      </c>
      <c r="D134" s="5">
        <v>45483</v>
      </c>
      <c r="E134" s="3" t="s">
        <v>155</v>
      </c>
      <c r="F134" s="4"/>
      <c r="G134" s="4">
        <v>22</v>
      </c>
      <c r="H134" s="4">
        <v>17104.64</v>
      </c>
      <c r="I134" s="1">
        <f t="shared" si="6"/>
        <v>-22</v>
      </c>
      <c r="J134" s="1">
        <f t="shared" si="8"/>
        <v>17104.640000000043</v>
      </c>
      <c r="K134" s="16">
        <f t="shared" si="7"/>
        <v>-4.3655745685100555E-11</v>
      </c>
      <c r="L134" t="s">
        <v>9</v>
      </c>
      <c r="M134" t="e">
        <f>VLOOKUP(A134,#REF!,6,FALSE)</f>
        <v>#REF!</v>
      </c>
    </row>
    <row r="135" spans="1:13" x14ac:dyDescent="0.25">
      <c r="A135">
        <v>284</v>
      </c>
      <c r="B135" t="s">
        <v>114</v>
      </c>
      <c r="C135" t="s">
        <v>3</v>
      </c>
      <c r="D135" s="5">
        <v>45483</v>
      </c>
      <c r="E135" s="3" t="s">
        <v>156</v>
      </c>
      <c r="F135" s="4"/>
      <c r="G135" s="4">
        <v>10.5</v>
      </c>
      <c r="H135" s="4">
        <v>17094.14</v>
      </c>
      <c r="I135" s="1">
        <f t="shared" si="6"/>
        <v>-10.5</v>
      </c>
      <c r="J135" s="1">
        <f t="shared" si="8"/>
        <v>17094.140000000043</v>
      </c>
      <c r="K135" s="16">
        <f t="shared" si="7"/>
        <v>-4.3655745685100555E-11</v>
      </c>
      <c r="L135" t="s">
        <v>22</v>
      </c>
      <c r="M135" t="e">
        <f>VLOOKUP(A135,#REF!,6,FALSE)</f>
        <v>#REF!</v>
      </c>
    </row>
    <row r="136" spans="1:13" x14ac:dyDescent="0.25">
      <c r="A136">
        <v>285</v>
      </c>
      <c r="B136" t="s">
        <v>114</v>
      </c>
      <c r="C136" t="s">
        <v>3</v>
      </c>
      <c r="D136" s="5">
        <v>45484</v>
      </c>
      <c r="E136" s="3" t="s">
        <v>64</v>
      </c>
      <c r="F136" s="4">
        <v>1400</v>
      </c>
      <c r="G136" s="4"/>
      <c r="H136" s="4">
        <v>18494.14</v>
      </c>
      <c r="I136" s="1">
        <f t="shared" si="6"/>
        <v>1400</v>
      </c>
      <c r="J136" s="1">
        <f t="shared" si="8"/>
        <v>18494.140000000043</v>
      </c>
      <c r="K136" s="16">
        <f t="shared" si="7"/>
        <v>-4.3655745685100555E-11</v>
      </c>
      <c r="L136" t="s">
        <v>19</v>
      </c>
      <c r="M136" t="e">
        <f>VLOOKUP(A136,#REF!,6,FALSE)</f>
        <v>#REF!</v>
      </c>
    </row>
    <row r="137" spans="1:13" x14ac:dyDescent="0.25">
      <c r="A137">
        <v>286</v>
      </c>
      <c r="B137" t="s">
        <v>114</v>
      </c>
      <c r="C137" t="s">
        <v>3</v>
      </c>
      <c r="D137" s="5">
        <v>45484</v>
      </c>
      <c r="E137" s="3" t="s">
        <v>157</v>
      </c>
      <c r="F137" s="4"/>
      <c r="G137" s="4">
        <v>10.5</v>
      </c>
      <c r="H137" s="4">
        <v>18483.64</v>
      </c>
      <c r="I137" s="1">
        <f t="shared" si="6"/>
        <v>-10.5</v>
      </c>
      <c r="J137" s="1">
        <f t="shared" si="8"/>
        <v>18483.640000000043</v>
      </c>
      <c r="K137" s="16">
        <f t="shared" si="7"/>
        <v>-4.3655745685100555E-11</v>
      </c>
      <c r="L137" t="s">
        <v>22</v>
      </c>
      <c r="M137" t="e">
        <f>VLOOKUP(A137,#REF!,6,FALSE)</f>
        <v>#REF!</v>
      </c>
    </row>
    <row r="138" spans="1:13" x14ac:dyDescent="0.25">
      <c r="A138">
        <v>287</v>
      </c>
      <c r="B138" t="s">
        <v>114</v>
      </c>
      <c r="C138" t="s">
        <v>3</v>
      </c>
      <c r="D138" s="5">
        <v>45485</v>
      </c>
      <c r="E138" s="3" t="s">
        <v>158</v>
      </c>
      <c r="F138" s="4">
        <v>850</v>
      </c>
      <c r="G138" s="4"/>
      <c r="H138" s="4">
        <v>19333.64</v>
      </c>
      <c r="I138" s="1">
        <f t="shared" si="6"/>
        <v>850</v>
      </c>
      <c r="J138" s="1">
        <f t="shared" si="8"/>
        <v>19333.640000000043</v>
      </c>
      <c r="K138" s="16">
        <f t="shared" si="7"/>
        <v>-4.3655745685100555E-11</v>
      </c>
      <c r="L138" t="s">
        <v>19</v>
      </c>
      <c r="M138" t="e">
        <f>VLOOKUP(A138,#REF!,6,FALSE)</f>
        <v>#REF!</v>
      </c>
    </row>
    <row r="139" spans="1:13" x14ac:dyDescent="0.25">
      <c r="A139">
        <v>288</v>
      </c>
      <c r="B139" t="s">
        <v>114</v>
      </c>
      <c r="C139" t="s">
        <v>3</v>
      </c>
      <c r="D139" s="5">
        <v>45490</v>
      </c>
      <c r="E139" s="3" t="s">
        <v>159</v>
      </c>
      <c r="F139" s="4"/>
      <c r="G139" s="4">
        <v>5000</v>
      </c>
      <c r="H139" s="4">
        <v>14333.64</v>
      </c>
      <c r="I139" s="1">
        <f t="shared" si="6"/>
        <v>-5000</v>
      </c>
      <c r="J139" s="1">
        <f t="shared" si="8"/>
        <v>14333.640000000043</v>
      </c>
      <c r="K139" s="16">
        <f t="shared" si="7"/>
        <v>-4.3655745685100555E-11</v>
      </c>
      <c r="L139" t="s">
        <v>10</v>
      </c>
      <c r="M139" t="e">
        <f>VLOOKUP(A139,#REF!,6,FALSE)</f>
        <v>#REF!</v>
      </c>
    </row>
    <row r="140" spans="1:13" x14ac:dyDescent="0.25">
      <c r="A140">
        <v>289</v>
      </c>
      <c r="B140" t="s">
        <v>114</v>
      </c>
      <c r="C140" t="s">
        <v>3</v>
      </c>
      <c r="D140" s="5">
        <v>45492</v>
      </c>
      <c r="E140" s="3" t="s">
        <v>88</v>
      </c>
      <c r="F140" s="4">
        <v>500</v>
      </c>
      <c r="G140" s="4"/>
      <c r="H140" s="4">
        <v>14833.64</v>
      </c>
      <c r="I140" s="1">
        <f t="shared" si="6"/>
        <v>500</v>
      </c>
      <c r="J140" s="1">
        <f t="shared" si="8"/>
        <v>14833.640000000043</v>
      </c>
      <c r="K140" s="16">
        <f t="shared" si="7"/>
        <v>-4.3655745685100555E-11</v>
      </c>
      <c r="L140" t="s">
        <v>19</v>
      </c>
      <c r="M140" t="e">
        <f>VLOOKUP(A140,#REF!,6,FALSE)</f>
        <v>#REF!</v>
      </c>
    </row>
    <row r="141" spans="1:13" x14ac:dyDescent="0.25">
      <c r="A141">
        <v>290</v>
      </c>
      <c r="B141" t="s">
        <v>114</v>
      </c>
      <c r="C141" t="s">
        <v>3</v>
      </c>
      <c r="D141" s="5">
        <v>45492</v>
      </c>
      <c r="E141" s="3" t="s">
        <v>160</v>
      </c>
      <c r="F141" s="4">
        <v>1975</v>
      </c>
      <c r="G141" s="4"/>
      <c r="H141" s="4">
        <v>16808.64</v>
      </c>
      <c r="I141" s="1">
        <f t="shared" si="6"/>
        <v>1975</v>
      </c>
      <c r="J141" s="1">
        <f t="shared" si="8"/>
        <v>16808.640000000043</v>
      </c>
      <c r="K141" s="16">
        <f t="shared" si="7"/>
        <v>-4.3655745685100555E-11</v>
      </c>
      <c r="L141" t="s">
        <v>19</v>
      </c>
      <c r="M141" t="e">
        <f>VLOOKUP(A141,#REF!,6,FALSE)</f>
        <v>#REF!</v>
      </c>
    </row>
    <row r="142" spans="1:13" x14ac:dyDescent="0.25">
      <c r="A142">
        <v>291</v>
      </c>
      <c r="B142" t="s">
        <v>114</v>
      </c>
      <c r="C142" t="s">
        <v>3</v>
      </c>
      <c r="D142" s="5">
        <v>45496</v>
      </c>
      <c r="E142" s="3" t="s">
        <v>62</v>
      </c>
      <c r="F142" s="4"/>
      <c r="G142" s="4">
        <v>25.42</v>
      </c>
      <c r="H142" s="4">
        <v>16783.22</v>
      </c>
      <c r="I142" s="1">
        <f t="shared" si="6"/>
        <v>-25.42</v>
      </c>
      <c r="J142" s="1">
        <f t="shared" si="8"/>
        <v>16783.220000000045</v>
      </c>
      <c r="K142" s="16">
        <f t="shared" si="7"/>
        <v>-4.3655745685100555E-11</v>
      </c>
      <c r="L142" t="s">
        <v>25</v>
      </c>
      <c r="M142" t="e">
        <f>VLOOKUP(A142,#REF!,6,FALSE)</f>
        <v>#REF!</v>
      </c>
    </row>
    <row r="143" spans="1:13" x14ac:dyDescent="0.25">
      <c r="A143">
        <v>292</v>
      </c>
      <c r="B143" t="s">
        <v>114</v>
      </c>
      <c r="C143" t="s">
        <v>3</v>
      </c>
      <c r="D143" s="5">
        <v>45497</v>
      </c>
      <c r="E143" s="3" t="s">
        <v>64</v>
      </c>
      <c r="F143" s="4">
        <v>1500</v>
      </c>
      <c r="G143" s="4"/>
      <c r="H143" s="4">
        <v>18283.22</v>
      </c>
      <c r="I143" s="1">
        <f t="shared" si="6"/>
        <v>1500</v>
      </c>
      <c r="J143" s="1">
        <f t="shared" si="8"/>
        <v>18283.220000000045</v>
      </c>
      <c r="K143" s="16">
        <f t="shared" si="7"/>
        <v>-4.3655745685100555E-11</v>
      </c>
      <c r="L143" t="s">
        <v>19</v>
      </c>
      <c r="M143" t="e">
        <f>VLOOKUP(A143,#REF!,6,FALSE)</f>
        <v>#REF!</v>
      </c>
    </row>
    <row r="144" spans="1:13" x14ac:dyDescent="0.25">
      <c r="A144">
        <v>293</v>
      </c>
      <c r="B144" t="s">
        <v>114</v>
      </c>
      <c r="C144" t="s">
        <v>3</v>
      </c>
      <c r="D144" s="5">
        <v>45498</v>
      </c>
      <c r="E144" s="3" t="s">
        <v>161</v>
      </c>
      <c r="F144" s="4"/>
      <c r="G144" s="4">
        <v>2.6</v>
      </c>
      <c r="H144" s="4">
        <v>18280.62</v>
      </c>
      <c r="I144" s="1">
        <f t="shared" si="6"/>
        <v>-2.6</v>
      </c>
      <c r="J144" s="1">
        <f t="shared" si="8"/>
        <v>18280.620000000046</v>
      </c>
      <c r="K144" s="16">
        <f t="shared" si="7"/>
        <v>-4.7293724492192268E-11</v>
      </c>
      <c r="L144" t="s">
        <v>30</v>
      </c>
      <c r="M144" t="e">
        <f>VLOOKUP(A144,#REF!,6,FALSE)</f>
        <v>#REF!</v>
      </c>
    </row>
    <row r="145" spans="1:13" x14ac:dyDescent="0.25">
      <c r="A145">
        <v>294</v>
      </c>
      <c r="B145" t="s">
        <v>114</v>
      </c>
      <c r="C145" t="s">
        <v>3</v>
      </c>
      <c r="D145" s="5">
        <v>45503</v>
      </c>
      <c r="E145" s="3" t="s">
        <v>162</v>
      </c>
      <c r="F145" s="4"/>
      <c r="G145" s="4">
        <v>2.6</v>
      </c>
      <c r="H145" s="4">
        <v>18278.02</v>
      </c>
      <c r="I145" s="1">
        <f t="shared" si="6"/>
        <v>-2.6</v>
      </c>
      <c r="J145" s="1">
        <f t="shared" si="8"/>
        <v>18278.020000000048</v>
      </c>
      <c r="K145" s="16">
        <f t="shared" si="7"/>
        <v>-4.7293724492192268E-11</v>
      </c>
      <c r="L145" t="s">
        <v>30</v>
      </c>
      <c r="M145" t="e">
        <f>VLOOKUP(A145,#REF!,6,FALSE)</f>
        <v>#REF!</v>
      </c>
    </row>
    <row r="146" spans="1:13" x14ac:dyDescent="0.25">
      <c r="A146">
        <v>295</v>
      </c>
      <c r="B146" t="s">
        <v>114</v>
      </c>
      <c r="C146" t="s">
        <v>3</v>
      </c>
      <c r="D146" s="5">
        <v>45504</v>
      </c>
      <c r="E146" s="3" t="s">
        <v>163</v>
      </c>
      <c r="F146" s="4"/>
      <c r="G146" s="4">
        <v>15</v>
      </c>
      <c r="H146" s="4">
        <v>18263.02</v>
      </c>
      <c r="I146" s="1">
        <f t="shared" si="6"/>
        <v>-15</v>
      </c>
      <c r="J146" s="1">
        <f t="shared" si="8"/>
        <v>18263.020000000048</v>
      </c>
      <c r="K146" s="16">
        <f t="shared" si="7"/>
        <v>-4.7293724492192268E-11</v>
      </c>
      <c r="L146" t="s">
        <v>22</v>
      </c>
      <c r="M146" t="e">
        <f>VLOOKUP(A146,#REF!,6,FALSE)</f>
        <v>#REF!</v>
      </c>
    </row>
    <row r="147" spans="1:13" x14ac:dyDescent="0.25">
      <c r="A147">
        <v>296</v>
      </c>
      <c r="B147" t="s">
        <v>114</v>
      </c>
      <c r="C147" t="s">
        <v>3</v>
      </c>
      <c r="D147" s="5">
        <v>45504</v>
      </c>
      <c r="E147" s="3" t="s">
        <v>164</v>
      </c>
      <c r="F147" s="4"/>
      <c r="G147" s="4">
        <v>2.6</v>
      </c>
      <c r="H147" s="4">
        <v>18260.419999999998</v>
      </c>
      <c r="I147" s="1">
        <f t="shared" si="6"/>
        <v>-2.6</v>
      </c>
      <c r="J147" s="1">
        <f t="shared" si="8"/>
        <v>18260.420000000049</v>
      </c>
      <c r="K147" s="16">
        <f t="shared" si="7"/>
        <v>-5.0931703299283981E-11</v>
      </c>
      <c r="L147" t="s">
        <v>30</v>
      </c>
      <c r="M147" t="e">
        <f>VLOOKUP(A147,#REF!,6,FALSE)</f>
        <v>#REF!</v>
      </c>
    </row>
    <row r="148" spans="1:13" x14ac:dyDescent="0.25">
      <c r="A148">
        <v>297</v>
      </c>
      <c r="B148" t="s">
        <v>114</v>
      </c>
      <c r="C148" t="s">
        <v>3</v>
      </c>
      <c r="D148" s="5">
        <v>45505</v>
      </c>
      <c r="E148" s="3" t="s">
        <v>127</v>
      </c>
      <c r="F148" s="4"/>
      <c r="G148" s="4">
        <v>72</v>
      </c>
      <c r="H148" s="4">
        <v>18188.419999999998</v>
      </c>
      <c r="I148" s="1">
        <f t="shared" si="6"/>
        <v>-72</v>
      </c>
      <c r="J148" s="1">
        <f t="shared" si="8"/>
        <v>18188.420000000049</v>
      </c>
      <c r="K148" s="16">
        <f t="shared" si="7"/>
        <v>-5.0931703299283981E-11</v>
      </c>
      <c r="L148" t="s">
        <v>24</v>
      </c>
      <c r="M148" t="e">
        <f>VLOOKUP(A148,#REF!,6,FALSE)</f>
        <v>#REF!</v>
      </c>
    </row>
    <row r="149" spans="1:13" x14ac:dyDescent="0.25">
      <c r="A149">
        <v>298</v>
      </c>
      <c r="B149" t="s">
        <v>114</v>
      </c>
      <c r="C149" t="s">
        <v>3</v>
      </c>
      <c r="D149" s="5">
        <v>45506</v>
      </c>
      <c r="E149" s="3" t="s">
        <v>64</v>
      </c>
      <c r="F149" s="4">
        <v>900</v>
      </c>
      <c r="G149" s="4"/>
      <c r="H149" s="4">
        <v>19088.419999999998</v>
      </c>
      <c r="I149" s="1">
        <f t="shared" si="6"/>
        <v>900</v>
      </c>
      <c r="J149" s="1">
        <f t="shared" si="8"/>
        <v>19088.420000000049</v>
      </c>
      <c r="K149" s="16">
        <f t="shared" si="7"/>
        <v>-5.0931703299283981E-11</v>
      </c>
      <c r="L149" t="s">
        <v>19</v>
      </c>
      <c r="M149" t="e">
        <f>VLOOKUP(A149,#REF!,6,FALSE)</f>
        <v>#REF!</v>
      </c>
    </row>
    <row r="150" spans="1:13" x14ac:dyDescent="0.25">
      <c r="A150">
        <v>299</v>
      </c>
      <c r="B150" t="s">
        <v>114</v>
      </c>
      <c r="C150" t="s">
        <v>3</v>
      </c>
      <c r="D150" s="5">
        <v>45506</v>
      </c>
      <c r="E150" s="3" t="s">
        <v>62</v>
      </c>
      <c r="F150" s="4"/>
      <c r="G150" s="4">
        <v>25.42</v>
      </c>
      <c r="H150" s="4">
        <v>19063</v>
      </c>
      <c r="I150" s="1">
        <f t="shared" si="6"/>
        <v>-25.42</v>
      </c>
      <c r="J150" s="1">
        <f t="shared" si="8"/>
        <v>19063.000000000051</v>
      </c>
      <c r="K150" s="16">
        <f t="shared" si="7"/>
        <v>-5.0931703299283981E-11</v>
      </c>
      <c r="L150" t="s">
        <v>25</v>
      </c>
      <c r="M150" t="e">
        <f>VLOOKUP(A150,#REF!,6,FALSE)</f>
        <v>#REF!</v>
      </c>
    </row>
    <row r="151" spans="1:13" x14ac:dyDescent="0.25">
      <c r="A151">
        <v>300</v>
      </c>
      <c r="B151" t="s">
        <v>114</v>
      </c>
      <c r="C151" t="s">
        <v>3</v>
      </c>
      <c r="D151" s="5">
        <v>45510</v>
      </c>
      <c r="E151" s="3" t="s">
        <v>165</v>
      </c>
      <c r="F151" s="4">
        <v>425</v>
      </c>
      <c r="G151" s="4"/>
      <c r="H151" s="4">
        <v>19488</v>
      </c>
      <c r="I151" s="1">
        <f t="shared" si="6"/>
        <v>425</v>
      </c>
      <c r="J151" s="1">
        <f t="shared" si="8"/>
        <v>19488.000000000051</v>
      </c>
      <c r="K151" s="16">
        <f t="shared" si="7"/>
        <v>-5.0931703299283981E-11</v>
      </c>
      <c r="L151" t="s">
        <v>19</v>
      </c>
      <c r="M151" t="e">
        <f>VLOOKUP(A151,#REF!,6,FALSE)</f>
        <v>#REF!</v>
      </c>
    </row>
    <row r="152" spans="1:13" x14ac:dyDescent="0.25">
      <c r="A152">
        <v>301</v>
      </c>
      <c r="B152" t="s">
        <v>114</v>
      </c>
      <c r="C152" t="s">
        <v>3</v>
      </c>
      <c r="D152" s="5">
        <v>45513</v>
      </c>
      <c r="E152" s="3" t="s">
        <v>166</v>
      </c>
      <c r="F152" s="4">
        <v>1245</v>
      </c>
      <c r="G152" s="4"/>
      <c r="H152" s="4">
        <v>20733</v>
      </c>
      <c r="I152" s="1">
        <f t="shared" si="6"/>
        <v>1245</v>
      </c>
      <c r="J152" s="1">
        <f t="shared" si="8"/>
        <v>20733.000000000051</v>
      </c>
      <c r="K152" s="16">
        <f t="shared" si="7"/>
        <v>-5.0931703299283981E-11</v>
      </c>
      <c r="L152" t="s">
        <v>19</v>
      </c>
      <c r="M152" t="e">
        <f>VLOOKUP(A152,#REF!,6,FALSE)</f>
        <v>#REF!</v>
      </c>
    </row>
    <row r="153" spans="1:13" x14ac:dyDescent="0.25">
      <c r="A153">
        <v>302</v>
      </c>
      <c r="B153" t="s">
        <v>114</v>
      </c>
      <c r="C153" t="s">
        <v>3</v>
      </c>
      <c r="D153" s="5">
        <v>45513</v>
      </c>
      <c r="E153" s="3" t="s">
        <v>64</v>
      </c>
      <c r="F153" s="4">
        <v>1000</v>
      </c>
      <c r="G153" s="4"/>
      <c r="H153" s="4">
        <v>21733</v>
      </c>
      <c r="I153" s="1">
        <f t="shared" si="6"/>
        <v>1000</v>
      </c>
      <c r="J153" s="1">
        <f t="shared" si="8"/>
        <v>21733.000000000051</v>
      </c>
      <c r="K153" s="16">
        <f t="shared" si="7"/>
        <v>-5.0931703299283981E-11</v>
      </c>
      <c r="L153" t="s">
        <v>19</v>
      </c>
      <c r="M153" t="e">
        <f>VLOOKUP(A153,#REF!,6,FALSE)</f>
        <v>#REF!</v>
      </c>
    </row>
    <row r="154" spans="1:13" x14ac:dyDescent="0.25">
      <c r="A154">
        <v>303</v>
      </c>
      <c r="B154" t="s">
        <v>114</v>
      </c>
      <c r="C154" t="s">
        <v>3</v>
      </c>
      <c r="D154" s="5">
        <v>45519</v>
      </c>
      <c r="E154" s="3" t="s">
        <v>167</v>
      </c>
      <c r="F154" s="4"/>
      <c r="G154" s="4">
        <v>218.7</v>
      </c>
      <c r="H154" s="4">
        <v>21514.3</v>
      </c>
      <c r="I154" s="1">
        <f t="shared" si="6"/>
        <v>-218.7</v>
      </c>
      <c r="J154" s="1">
        <f t="shared" si="8"/>
        <v>21514.30000000005</v>
      </c>
      <c r="K154" s="16">
        <f t="shared" si="7"/>
        <v>-5.0931703299283981E-11</v>
      </c>
      <c r="L154" t="s">
        <v>18</v>
      </c>
      <c r="M154" t="e">
        <f>VLOOKUP(A154,#REF!,6,FALSE)</f>
        <v>#REF!</v>
      </c>
    </row>
    <row r="155" spans="1:13" x14ac:dyDescent="0.25">
      <c r="A155">
        <v>304</v>
      </c>
      <c r="B155" t="s">
        <v>114</v>
      </c>
      <c r="C155" t="s">
        <v>3</v>
      </c>
      <c r="D155" s="5">
        <v>45520</v>
      </c>
      <c r="E155" s="3" t="s">
        <v>168</v>
      </c>
      <c r="F155" s="4"/>
      <c r="G155" s="4">
        <v>177.84</v>
      </c>
      <c r="H155" s="4">
        <v>21336.46</v>
      </c>
      <c r="I155" s="1">
        <f t="shared" si="6"/>
        <v>-177.84</v>
      </c>
      <c r="J155" s="1">
        <f t="shared" si="8"/>
        <v>21336.46000000005</v>
      </c>
      <c r="K155" s="16">
        <f t="shared" si="7"/>
        <v>-5.0931703299283981E-11</v>
      </c>
      <c r="L155" t="s">
        <v>16</v>
      </c>
      <c r="M155" t="e">
        <f>VLOOKUP(A155,#REF!,6,FALSE)</f>
        <v>#REF!</v>
      </c>
    </row>
    <row r="156" spans="1:13" x14ac:dyDescent="0.25">
      <c r="A156">
        <v>305</v>
      </c>
      <c r="B156" t="s">
        <v>114</v>
      </c>
      <c r="C156" t="s">
        <v>3</v>
      </c>
      <c r="D156" s="5">
        <v>45520</v>
      </c>
      <c r="E156" s="3" t="s">
        <v>169</v>
      </c>
      <c r="F156" s="4"/>
      <c r="G156" s="4">
        <v>8110.15</v>
      </c>
      <c r="H156" s="4">
        <v>13226.31</v>
      </c>
      <c r="I156" s="1">
        <f t="shared" si="6"/>
        <v>-8110.15</v>
      </c>
      <c r="J156" s="1">
        <f t="shared" si="8"/>
        <v>13226.31000000005</v>
      </c>
      <c r="K156" s="16">
        <f t="shared" si="7"/>
        <v>-5.0931703299283981E-11</v>
      </c>
      <c r="L156" t="s">
        <v>16</v>
      </c>
      <c r="M156" t="e">
        <f>VLOOKUP(A156,#REF!,6,FALSE)</f>
        <v>#REF!</v>
      </c>
    </row>
    <row r="157" spans="1:13" x14ac:dyDescent="0.25">
      <c r="A157">
        <v>306</v>
      </c>
      <c r="B157" t="s">
        <v>114</v>
      </c>
      <c r="C157" t="s">
        <v>3</v>
      </c>
      <c r="D157" s="5">
        <v>45525</v>
      </c>
      <c r="E157" s="3" t="s">
        <v>64</v>
      </c>
      <c r="F157" s="4">
        <v>450</v>
      </c>
      <c r="G157" s="4"/>
      <c r="H157" s="4">
        <v>13676.31</v>
      </c>
      <c r="I157" s="1">
        <f t="shared" si="6"/>
        <v>450</v>
      </c>
      <c r="J157" s="1">
        <f t="shared" si="8"/>
        <v>13676.31000000005</v>
      </c>
      <c r="K157" s="16">
        <f t="shared" si="7"/>
        <v>-5.0931703299283981E-11</v>
      </c>
      <c r="L157" t="s">
        <v>19</v>
      </c>
      <c r="M157" t="e">
        <f>VLOOKUP(A157,#REF!,6,FALSE)</f>
        <v>#REF!</v>
      </c>
    </row>
    <row r="158" spans="1:13" x14ac:dyDescent="0.25">
      <c r="A158">
        <v>307</v>
      </c>
      <c r="B158" t="s">
        <v>114</v>
      </c>
      <c r="C158" t="s">
        <v>3</v>
      </c>
      <c r="D158" s="5">
        <v>45525</v>
      </c>
      <c r="E158" s="3" t="s">
        <v>170</v>
      </c>
      <c r="F158" s="4"/>
      <c r="G158" s="4">
        <v>5000</v>
      </c>
      <c r="H158" s="4">
        <v>8676.31</v>
      </c>
      <c r="I158" s="1">
        <f t="shared" si="6"/>
        <v>-5000</v>
      </c>
      <c r="J158" s="1">
        <f t="shared" si="8"/>
        <v>8676.3100000000504</v>
      </c>
      <c r="K158" s="16">
        <f t="shared" si="7"/>
        <v>-5.0931703299283981E-11</v>
      </c>
      <c r="L158" t="s">
        <v>10</v>
      </c>
      <c r="M158" t="e">
        <f>VLOOKUP(A158,#REF!,6,FALSE)</f>
        <v>#REF!</v>
      </c>
    </row>
    <row r="159" spans="1:13" x14ac:dyDescent="0.25">
      <c r="A159">
        <v>308</v>
      </c>
      <c r="B159" t="s">
        <v>114</v>
      </c>
      <c r="C159" t="s">
        <v>3</v>
      </c>
      <c r="D159" s="5">
        <v>45525</v>
      </c>
      <c r="E159" s="3" t="s">
        <v>171</v>
      </c>
      <c r="F159" s="4"/>
      <c r="G159" s="4">
        <v>2.6</v>
      </c>
      <c r="H159" s="4">
        <v>8673.7099999999991</v>
      </c>
      <c r="I159" s="1">
        <f t="shared" si="6"/>
        <v>-2.6</v>
      </c>
      <c r="J159" s="1">
        <f t="shared" si="8"/>
        <v>8673.7100000000501</v>
      </c>
      <c r="K159" s="16">
        <f t="shared" si="7"/>
        <v>-5.0931703299283981E-11</v>
      </c>
      <c r="L159" t="s">
        <v>30</v>
      </c>
      <c r="M159" t="e">
        <f>VLOOKUP(A159,#REF!,6,FALSE)</f>
        <v>#REF!</v>
      </c>
    </row>
    <row r="160" spans="1:13" x14ac:dyDescent="0.25">
      <c r="A160">
        <v>309</v>
      </c>
      <c r="B160" t="s">
        <v>114</v>
      </c>
      <c r="C160" t="s">
        <v>3</v>
      </c>
      <c r="D160" s="5">
        <v>45527</v>
      </c>
      <c r="E160" s="3" t="s">
        <v>172</v>
      </c>
      <c r="F160" s="4">
        <v>885</v>
      </c>
      <c r="G160" s="4"/>
      <c r="H160" s="4">
        <v>9558.7099999999991</v>
      </c>
      <c r="I160" s="1">
        <f t="shared" si="6"/>
        <v>885</v>
      </c>
      <c r="J160" s="1">
        <f t="shared" si="8"/>
        <v>9558.7100000000501</v>
      </c>
      <c r="K160" s="16">
        <f t="shared" si="7"/>
        <v>-5.0931703299283981E-11</v>
      </c>
      <c r="L160" t="s">
        <v>19</v>
      </c>
      <c r="M160" t="e">
        <f>VLOOKUP(A160,#REF!,6,FALSE)</f>
        <v>#REF!</v>
      </c>
    </row>
    <row r="161" spans="1:13" x14ac:dyDescent="0.25">
      <c r="A161">
        <v>310</v>
      </c>
      <c r="B161" t="s">
        <v>114</v>
      </c>
      <c r="C161" t="s">
        <v>3</v>
      </c>
      <c r="D161" s="5">
        <v>45531</v>
      </c>
      <c r="E161" s="3" t="s">
        <v>173</v>
      </c>
      <c r="F161" s="4"/>
      <c r="G161" s="4">
        <v>45</v>
      </c>
      <c r="H161" s="4">
        <v>9513.7099999999991</v>
      </c>
      <c r="I161" s="1">
        <f t="shared" si="6"/>
        <v>-45</v>
      </c>
      <c r="J161" s="1">
        <f t="shared" si="8"/>
        <v>9513.7100000000501</v>
      </c>
      <c r="K161" s="16">
        <f t="shared" si="7"/>
        <v>-5.0931703299283981E-11</v>
      </c>
      <c r="L161" t="s">
        <v>23</v>
      </c>
      <c r="M161" t="e">
        <f>VLOOKUP(A161,#REF!,6,FALSE)</f>
        <v>#REF!</v>
      </c>
    </row>
    <row r="162" spans="1:13" x14ac:dyDescent="0.25">
      <c r="A162">
        <v>311</v>
      </c>
      <c r="B162" t="s">
        <v>114</v>
      </c>
      <c r="C162" t="s">
        <v>3</v>
      </c>
      <c r="D162" s="5">
        <v>45531</v>
      </c>
      <c r="E162" s="3" t="s">
        <v>174</v>
      </c>
      <c r="F162" s="4"/>
      <c r="G162" s="4">
        <v>2.6</v>
      </c>
      <c r="H162" s="4">
        <v>9511.11</v>
      </c>
      <c r="I162" s="1">
        <f t="shared" si="6"/>
        <v>-2.6</v>
      </c>
      <c r="J162" s="1">
        <f t="shared" si="8"/>
        <v>9511.1100000000497</v>
      </c>
      <c r="K162" s="16">
        <f t="shared" si="7"/>
        <v>-4.9112713895738125E-11</v>
      </c>
      <c r="L162" t="s">
        <v>30</v>
      </c>
      <c r="M162" t="e">
        <f>VLOOKUP(A162,#REF!,6,FALSE)</f>
        <v>#REF!</v>
      </c>
    </row>
    <row r="163" spans="1:13" x14ac:dyDescent="0.25">
      <c r="A163">
        <v>312</v>
      </c>
      <c r="B163" t="s">
        <v>114</v>
      </c>
      <c r="C163" t="s">
        <v>3</v>
      </c>
      <c r="D163" s="5">
        <v>45531</v>
      </c>
      <c r="E163" s="3" t="s">
        <v>175</v>
      </c>
      <c r="F163" s="4"/>
      <c r="G163" s="4">
        <v>2.6</v>
      </c>
      <c r="H163" s="4">
        <v>9508.51</v>
      </c>
      <c r="I163" s="1">
        <f t="shared" si="6"/>
        <v>-2.6</v>
      </c>
      <c r="J163" s="1">
        <f t="shared" si="8"/>
        <v>9508.5100000000493</v>
      </c>
      <c r="K163" s="16">
        <f t="shared" si="7"/>
        <v>-4.9112713895738125E-11</v>
      </c>
      <c r="L163" t="s">
        <v>30</v>
      </c>
      <c r="M163" t="e">
        <f>VLOOKUP(A163,#REF!,6,FALSE)</f>
        <v>#REF!</v>
      </c>
    </row>
    <row r="164" spans="1:13" x14ac:dyDescent="0.25">
      <c r="A164">
        <v>313</v>
      </c>
      <c r="B164" t="s">
        <v>114</v>
      </c>
      <c r="C164" t="s">
        <v>3</v>
      </c>
      <c r="D164" s="5">
        <v>45531</v>
      </c>
      <c r="E164" s="3" t="s">
        <v>176</v>
      </c>
      <c r="F164" s="4"/>
      <c r="G164" s="4">
        <v>100</v>
      </c>
      <c r="H164" s="4">
        <v>9408.51</v>
      </c>
      <c r="I164" s="1">
        <f t="shared" si="6"/>
        <v>-100</v>
      </c>
      <c r="J164" s="1">
        <f t="shared" si="8"/>
        <v>9408.5100000000493</v>
      </c>
      <c r="K164" s="16">
        <f t="shared" si="7"/>
        <v>-4.9112713895738125E-11</v>
      </c>
      <c r="L164" t="s">
        <v>32</v>
      </c>
      <c r="M164" t="e">
        <f>VLOOKUP(A164,#REF!,6,FALSE)</f>
        <v>#REF!</v>
      </c>
    </row>
    <row r="165" spans="1:13" x14ac:dyDescent="0.25">
      <c r="A165">
        <v>314</v>
      </c>
      <c r="B165" t="s">
        <v>114</v>
      </c>
      <c r="C165" t="s">
        <v>3</v>
      </c>
      <c r="D165" s="5">
        <v>45534</v>
      </c>
      <c r="E165" s="3" t="s">
        <v>177</v>
      </c>
      <c r="F165" s="4">
        <v>1225</v>
      </c>
      <c r="G165" s="4"/>
      <c r="H165" s="4">
        <v>10633.51</v>
      </c>
      <c r="I165" s="1">
        <f t="shared" si="6"/>
        <v>1225</v>
      </c>
      <c r="J165" s="1">
        <f t="shared" si="8"/>
        <v>10633.510000000049</v>
      </c>
      <c r="K165" s="16">
        <f t="shared" si="7"/>
        <v>-4.9112713895738125E-11</v>
      </c>
      <c r="L165" t="s">
        <v>19</v>
      </c>
      <c r="M165" t="e">
        <f>VLOOKUP(A165,#REF!,6,FALSE)</f>
        <v>#REF!</v>
      </c>
    </row>
    <row r="166" spans="1:13" x14ac:dyDescent="0.25">
      <c r="A166">
        <v>315</v>
      </c>
      <c r="B166" t="s">
        <v>114</v>
      </c>
      <c r="C166" t="s">
        <v>3</v>
      </c>
      <c r="D166" s="5">
        <v>45534</v>
      </c>
      <c r="E166" s="3" t="s">
        <v>178</v>
      </c>
      <c r="F166" s="4"/>
      <c r="G166" s="4">
        <v>7.7</v>
      </c>
      <c r="H166" s="4">
        <v>10625.81</v>
      </c>
      <c r="I166" s="1">
        <f t="shared" si="6"/>
        <v>-7.7</v>
      </c>
      <c r="J166" s="1">
        <f t="shared" si="8"/>
        <v>10625.810000000049</v>
      </c>
      <c r="K166" s="16">
        <f t="shared" si="7"/>
        <v>-4.9112713895738125E-11</v>
      </c>
      <c r="L166" t="s">
        <v>7</v>
      </c>
      <c r="M166" t="e">
        <f>VLOOKUP(A166,#REF!,6,FALSE)</f>
        <v>#REF!</v>
      </c>
    </row>
    <row r="167" spans="1:13" x14ac:dyDescent="0.25">
      <c r="A167">
        <v>316</v>
      </c>
      <c r="B167" t="s">
        <v>114</v>
      </c>
      <c r="C167" t="s">
        <v>3</v>
      </c>
      <c r="D167" s="5">
        <v>45537</v>
      </c>
      <c r="E167" s="3" t="s">
        <v>179</v>
      </c>
      <c r="F167" s="4"/>
      <c r="G167" s="4">
        <v>0.6</v>
      </c>
      <c r="H167" s="4">
        <v>10625.21</v>
      </c>
      <c r="I167" s="1">
        <f t="shared" si="6"/>
        <v>-0.6</v>
      </c>
      <c r="J167" s="1">
        <f t="shared" si="8"/>
        <v>10625.210000000048</v>
      </c>
      <c r="K167" s="16">
        <f t="shared" si="7"/>
        <v>-4.9112713895738125E-11</v>
      </c>
      <c r="L167" t="s">
        <v>29</v>
      </c>
      <c r="M167" t="e">
        <f>VLOOKUP(A167,#REF!,6,FALSE)</f>
        <v>#REF!</v>
      </c>
    </row>
    <row r="168" spans="1:13" x14ac:dyDescent="0.25">
      <c r="A168">
        <v>317</v>
      </c>
      <c r="B168" t="s">
        <v>114</v>
      </c>
      <c r="C168" t="s">
        <v>3</v>
      </c>
      <c r="D168" s="5">
        <v>45537</v>
      </c>
      <c r="E168" s="3" t="s">
        <v>62</v>
      </c>
      <c r="F168" s="4"/>
      <c r="G168" s="4">
        <v>25.42</v>
      </c>
      <c r="H168" s="4">
        <v>10599.79</v>
      </c>
      <c r="I168" s="1">
        <f t="shared" si="6"/>
        <v>-25.42</v>
      </c>
      <c r="J168" s="1">
        <f t="shared" si="8"/>
        <v>10599.790000000048</v>
      </c>
      <c r="K168" s="16">
        <f t="shared" si="7"/>
        <v>-4.7293724492192268E-11</v>
      </c>
      <c r="L168" t="s">
        <v>25</v>
      </c>
      <c r="M168" t="e">
        <f>VLOOKUP(A168,#REF!,6,FALSE)</f>
        <v>#REF!</v>
      </c>
    </row>
    <row r="169" spans="1:13" x14ac:dyDescent="0.25">
      <c r="A169">
        <v>318</v>
      </c>
      <c r="B169" t="s">
        <v>114</v>
      </c>
      <c r="C169" t="s">
        <v>3</v>
      </c>
      <c r="D169" s="5">
        <v>45537</v>
      </c>
      <c r="E169" s="3" t="s">
        <v>127</v>
      </c>
      <c r="F169" s="4"/>
      <c r="G169" s="4">
        <v>72</v>
      </c>
      <c r="H169" s="4">
        <v>10527.79</v>
      </c>
      <c r="I169" s="1">
        <f t="shared" si="6"/>
        <v>-72</v>
      </c>
      <c r="J169" s="1">
        <f t="shared" si="8"/>
        <v>10527.790000000048</v>
      </c>
      <c r="K169" s="16">
        <f t="shared" si="7"/>
        <v>-4.7293724492192268E-11</v>
      </c>
      <c r="L169" t="s">
        <v>24</v>
      </c>
      <c r="M169" t="e">
        <f>VLOOKUP(A169,#REF!,6,FALSE)</f>
        <v>#REF!</v>
      </c>
    </row>
    <row r="170" spans="1:13" x14ac:dyDescent="0.25">
      <c r="A170">
        <v>319</v>
      </c>
      <c r="B170" t="s">
        <v>114</v>
      </c>
      <c r="C170" t="s">
        <v>3</v>
      </c>
      <c r="D170" s="5">
        <v>45541</v>
      </c>
      <c r="E170" s="3" t="s">
        <v>180</v>
      </c>
      <c r="F170" s="4"/>
      <c r="G170" s="4">
        <v>16.149999999999999</v>
      </c>
      <c r="H170" s="4">
        <v>10511.64</v>
      </c>
      <c r="I170" s="1">
        <f t="shared" si="6"/>
        <v>-16.149999999999999</v>
      </c>
      <c r="J170" s="1">
        <f t="shared" si="8"/>
        <v>10511.640000000049</v>
      </c>
      <c r="K170" s="16">
        <f t="shared" si="7"/>
        <v>-4.9112713895738125E-11</v>
      </c>
      <c r="L170" t="s">
        <v>9</v>
      </c>
      <c r="M170" t="e">
        <f>VLOOKUP(A170,#REF!,6,FALSE)</f>
        <v>#REF!</v>
      </c>
    </row>
    <row r="171" spans="1:13" x14ac:dyDescent="0.25">
      <c r="A171">
        <v>320</v>
      </c>
      <c r="B171" t="s">
        <v>114</v>
      </c>
      <c r="C171" t="s">
        <v>3</v>
      </c>
      <c r="D171" s="5">
        <v>45544</v>
      </c>
      <c r="E171" s="3" t="s">
        <v>181</v>
      </c>
      <c r="F171" s="4">
        <v>1240</v>
      </c>
      <c r="G171" s="4"/>
      <c r="H171" s="4">
        <v>11751.64</v>
      </c>
      <c r="I171" s="1">
        <f t="shared" si="6"/>
        <v>1240</v>
      </c>
      <c r="J171" s="1">
        <f t="shared" si="8"/>
        <v>11751.640000000049</v>
      </c>
      <c r="K171" s="16">
        <f t="shared" si="7"/>
        <v>-4.9112713895738125E-11</v>
      </c>
      <c r="L171" t="s">
        <v>19</v>
      </c>
      <c r="M171" t="e">
        <f>VLOOKUP(A171,#REF!,6,FALSE)</f>
        <v>#REF!</v>
      </c>
    </row>
    <row r="172" spans="1:13" x14ac:dyDescent="0.25">
      <c r="A172">
        <v>321</v>
      </c>
      <c r="B172" t="s">
        <v>114</v>
      </c>
      <c r="C172" t="s">
        <v>3</v>
      </c>
      <c r="D172" s="5">
        <v>45544</v>
      </c>
      <c r="E172" s="3" t="s">
        <v>182</v>
      </c>
      <c r="F172" s="4"/>
      <c r="G172" s="4">
        <v>109.35</v>
      </c>
      <c r="H172" s="4">
        <v>11642.29</v>
      </c>
      <c r="I172" s="1">
        <f t="shared" si="6"/>
        <v>-109.35</v>
      </c>
      <c r="J172" s="1">
        <f t="shared" si="8"/>
        <v>11642.290000000048</v>
      </c>
      <c r="K172" s="16">
        <f t="shared" si="7"/>
        <v>-4.7293724492192268E-11</v>
      </c>
      <c r="L172" t="s">
        <v>18</v>
      </c>
      <c r="M172" t="e">
        <f>VLOOKUP(A172,#REF!,6,FALSE)</f>
        <v>#REF!</v>
      </c>
    </row>
    <row r="173" spans="1:13" x14ac:dyDescent="0.25">
      <c r="A173">
        <v>322</v>
      </c>
      <c r="B173" t="s">
        <v>114</v>
      </c>
      <c r="C173" t="s">
        <v>3</v>
      </c>
      <c r="D173" s="5">
        <v>45548</v>
      </c>
      <c r="E173" s="3" t="s">
        <v>183</v>
      </c>
      <c r="F173" s="4">
        <v>425</v>
      </c>
      <c r="G173" s="4"/>
      <c r="H173" s="4">
        <v>12067.29</v>
      </c>
      <c r="I173" s="1">
        <f t="shared" si="6"/>
        <v>425</v>
      </c>
      <c r="J173" s="1">
        <f t="shared" si="8"/>
        <v>12067.290000000048</v>
      </c>
      <c r="K173" s="16">
        <f t="shared" si="7"/>
        <v>-4.7293724492192268E-11</v>
      </c>
      <c r="L173" t="s">
        <v>19</v>
      </c>
      <c r="M173" t="e">
        <f>VLOOKUP(A173,#REF!,6,FALSE)</f>
        <v>#REF!</v>
      </c>
    </row>
    <row r="174" spans="1:13" x14ac:dyDescent="0.25">
      <c r="A174">
        <v>323</v>
      </c>
      <c r="B174" t="s">
        <v>114</v>
      </c>
      <c r="C174" t="s">
        <v>3</v>
      </c>
      <c r="D174" s="5">
        <v>45552</v>
      </c>
      <c r="E174" s="3" t="s">
        <v>184</v>
      </c>
      <c r="F174" s="4"/>
      <c r="G174" s="4">
        <v>47.48</v>
      </c>
      <c r="H174" s="4">
        <v>12019.81</v>
      </c>
      <c r="I174" s="1">
        <f t="shared" si="6"/>
        <v>-47.48</v>
      </c>
      <c r="J174" s="1">
        <f t="shared" si="8"/>
        <v>12019.810000000049</v>
      </c>
      <c r="K174" s="16">
        <f t="shared" si="7"/>
        <v>-4.9112713895738125E-11</v>
      </c>
      <c r="L174" t="s">
        <v>17</v>
      </c>
      <c r="M174" t="e">
        <f>VLOOKUP(A174,#REF!,6,FALSE)</f>
        <v>#REF!</v>
      </c>
    </row>
    <row r="175" spans="1:13" x14ac:dyDescent="0.25">
      <c r="A175">
        <v>324</v>
      </c>
      <c r="B175" t="s">
        <v>114</v>
      </c>
      <c r="C175" t="s">
        <v>3</v>
      </c>
      <c r="D175" s="5">
        <v>45552</v>
      </c>
      <c r="E175" s="3" t="s">
        <v>185</v>
      </c>
      <c r="F175" s="4"/>
      <c r="G175" s="4">
        <v>149.13999999999999</v>
      </c>
      <c r="H175" s="4">
        <v>11870.67</v>
      </c>
      <c r="I175" s="1">
        <f t="shared" si="6"/>
        <v>-149.13999999999999</v>
      </c>
      <c r="J175" s="1">
        <f t="shared" si="8"/>
        <v>11870.670000000049</v>
      </c>
      <c r="K175" s="16">
        <f t="shared" si="7"/>
        <v>-4.9112713895738125E-11</v>
      </c>
      <c r="L175" t="s">
        <v>17</v>
      </c>
      <c r="M175" t="e">
        <f>VLOOKUP(A175,#REF!,6,FALSE)</f>
        <v>#REF!</v>
      </c>
    </row>
    <row r="176" spans="1:13" x14ac:dyDescent="0.25">
      <c r="A176">
        <v>325</v>
      </c>
      <c r="B176" t="s">
        <v>114</v>
      </c>
      <c r="C176" t="s">
        <v>3</v>
      </c>
      <c r="D176" s="5">
        <v>45552</v>
      </c>
      <c r="E176" s="3" t="s">
        <v>186</v>
      </c>
      <c r="F176" s="4"/>
      <c r="G176" s="4">
        <v>149.13</v>
      </c>
      <c r="H176" s="4">
        <v>11721.54</v>
      </c>
      <c r="I176" s="1">
        <f t="shared" si="6"/>
        <v>-149.13</v>
      </c>
      <c r="J176" s="1">
        <f t="shared" si="8"/>
        <v>11721.54000000005</v>
      </c>
      <c r="K176" s="16">
        <f t="shared" si="7"/>
        <v>-4.9112713895738125E-11</v>
      </c>
      <c r="L176" t="s">
        <v>17</v>
      </c>
      <c r="M176" t="e">
        <f>VLOOKUP(A176,#REF!,6,FALSE)</f>
        <v>#REF!</v>
      </c>
    </row>
    <row r="177" spans="1:13" x14ac:dyDescent="0.25">
      <c r="A177">
        <v>326</v>
      </c>
      <c r="B177" t="s">
        <v>114</v>
      </c>
      <c r="C177" t="s">
        <v>3</v>
      </c>
      <c r="D177" s="5">
        <v>45552</v>
      </c>
      <c r="E177" s="3" t="s">
        <v>187</v>
      </c>
      <c r="F177" s="4"/>
      <c r="G177" s="4">
        <v>149.13999999999999</v>
      </c>
      <c r="H177" s="4">
        <v>11572.4</v>
      </c>
      <c r="I177" s="1">
        <f t="shared" si="6"/>
        <v>-149.13999999999999</v>
      </c>
      <c r="J177" s="1">
        <f t="shared" si="8"/>
        <v>11572.400000000051</v>
      </c>
      <c r="K177" s="16">
        <f t="shared" si="7"/>
        <v>-5.0931703299283981E-11</v>
      </c>
      <c r="L177" t="s">
        <v>17</v>
      </c>
      <c r="M177" t="e">
        <f>VLOOKUP(A177,#REF!,6,FALSE)</f>
        <v>#REF!</v>
      </c>
    </row>
    <row r="178" spans="1:13" x14ac:dyDescent="0.25">
      <c r="A178">
        <v>327</v>
      </c>
      <c r="B178" t="s">
        <v>114</v>
      </c>
      <c r="C178" t="s">
        <v>3</v>
      </c>
      <c r="D178" s="5">
        <v>45553</v>
      </c>
      <c r="E178" s="3" t="s">
        <v>188</v>
      </c>
      <c r="F178" s="4">
        <v>1670</v>
      </c>
      <c r="G178" s="4"/>
      <c r="H178" s="4">
        <v>13242.4</v>
      </c>
      <c r="I178" s="1">
        <f t="shared" si="6"/>
        <v>1670</v>
      </c>
      <c r="J178" s="1">
        <f t="shared" si="8"/>
        <v>13242.400000000051</v>
      </c>
      <c r="K178" s="16">
        <f t="shared" si="7"/>
        <v>-5.0931703299283981E-11</v>
      </c>
      <c r="L178" t="s">
        <v>19</v>
      </c>
      <c r="M178" t="e">
        <f>VLOOKUP(A178,#REF!,6,FALSE)</f>
        <v>#REF!</v>
      </c>
    </row>
    <row r="179" spans="1:13" x14ac:dyDescent="0.25">
      <c r="A179">
        <v>328</v>
      </c>
      <c r="B179" t="s">
        <v>114</v>
      </c>
      <c r="C179" t="s">
        <v>3</v>
      </c>
      <c r="D179" s="5">
        <v>45554</v>
      </c>
      <c r="E179" s="3" t="s">
        <v>189</v>
      </c>
      <c r="F179" s="4"/>
      <c r="G179" s="4">
        <v>357.7</v>
      </c>
      <c r="H179" s="4">
        <v>12884.7</v>
      </c>
      <c r="I179" s="1">
        <f t="shared" si="6"/>
        <v>-357.7</v>
      </c>
      <c r="J179" s="1">
        <f t="shared" si="8"/>
        <v>12884.70000000005</v>
      </c>
      <c r="K179" s="16">
        <f t="shared" si="7"/>
        <v>-4.9112713895738125E-11</v>
      </c>
      <c r="L179" t="s">
        <v>18</v>
      </c>
      <c r="M179" t="e">
        <f>VLOOKUP(A179,#REF!,6,FALSE)</f>
        <v>#REF!</v>
      </c>
    </row>
    <row r="180" spans="1:13" x14ac:dyDescent="0.25">
      <c r="A180">
        <v>329</v>
      </c>
      <c r="B180" t="s">
        <v>114</v>
      </c>
      <c r="C180" t="s">
        <v>3</v>
      </c>
      <c r="D180" s="5">
        <v>45555</v>
      </c>
      <c r="E180" s="3" t="s">
        <v>190</v>
      </c>
      <c r="F180" s="4">
        <v>880</v>
      </c>
      <c r="G180" s="4"/>
      <c r="H180" s="4">
        <v>13764.7</v>
      </c>
      <c r="I180" s="1">
        <f t="shared" si="6"/>
        <v>880</v>
      </c>
      <c r="J180" s="1">
        <f t="shared" si="8"/>
        <v>13764.70000000005</v>
      </c>
      <c r="K180" s="16">
        <f t="shared" si="7"/>
        <v>-4.9112713895738125E-11</v>
      </c>
      <c r="L180" t="s">
        <v>19</v>
      </c>
      <c r="M180" t="e">
        <f>VLOOKUP(A180,#REF!,6,FALSE)</f>
        <v>#REF!</v>
      </c>
    </row>
    <row r="181" spans="1:13" x14ac:dyDescent="0.25">
      <c r="A181">
        <v>330</v>
      </c>
      <c r="B181" t="s">
        <v>114</v>
      </c>
      <c r="C181" t="s">
        <v>3</v>
      </c>
      <c r="D181" s="5">
        <v>45561</v>
      </c>
      <c r="E181" s="3" t="s">
        <v>191</v>
      </c>
      <c r="F181" s="4"/>
      <c r="G181" s="4">
        <v>9.41</v>
      </c>
      <c r="H181" s="4">
        <v>13755.29</v>
      </c>
      <c r="I181" s="1">
        <f t="shared" si="6"/>
        <v>-9.41</v>
      </c>
      <c r="J181" s="1">
        <f t="shared" si="8"/>
        <v>13755.29000000005</v>
      </c>
      <c r="K181" s="16">
        <f t="shared" si="7"/>
        <v>-4.9112713895738125E-11</v>
      </c>
      <c r="L181" t="s">
        <v>20</v>
      </c>
      <c r="M181" t="e">
        <f>VLOOKUP(A181,#REF!,6,FALSE)</f>
        <v>#REF!</v>
      </c>
    </row>
    <row r="182" spans="1:13" x14ac:dyDescent="0.25">
      <c r="A182">
        <v>331</v>
      </c>
      <c r="B182" t="s">
        <v>114</v>
      </c>
      <c r="C182" t="s">
        <v>3</v>
      </c>
      <c r="D182" s="5">
        <v>45562</v>
      </c>
      <c r="E182" s="3" t="s">
        <v>192</v>
      </c>
      <c r="F182" s="4">
        <v>1320</v>
      </c>
      <c r="G182" s="4"/>
      <c r="H182" s="4">
        <v>15075.29</v>
      </c>
      <c r="I182" s="1">
        <f t="shared" si="6"/>
        <v>1320</v>
      </c>
      <c r="J182" s="1">
        <f t="shared" si="8"/>
        <v>15075.29000000005</v>
      </c>
      <c r="K182" s="16">
        <f t="shared" si="7"/>
        <v>-4.9112713895738125E-11</v>
      </c>
      <c r="L182" t="s">
        <v>19</v>
      </c>
      <c r="M182" t="e">
        <f>VLOOKUP(A182,#REF!,6,FALSE)</f>
        <v>#REF!</v>
      </c>
    </row>
    <row r="183" spans="1:13" x14ac:dyDescent="0.25">
      <c r="A183">
        <v>332</v>
      </c>
      <c r="B183" t="s">
        <v>114</v>
      </c>
      <c r="C183" t="s">
        <v>3</v>
      </c>
      <c r="D183" s="5">
        <v>45565</v>
      </c>
      <c r="E183" s="3" t="s">
        <v>193</v>
      </c>
      <c r="F183" s="4">
        <v>1200</v>
      </c>
      <c r="G183" s="4"/>
      <c r="H183" s="4">
        <v>16275.29</v>
      </c>
      <c r="I183" s="1">
        <f t="shared" si="6"/>
        <v>1200</v>
      </c>
      <c r="J183" s="1">
        <f t="shared" si="8"/>
        <v>16275.29000000005</v>
      </c>
      <c r="K183" s="16">
        <f t="shared" si="7"/>
        <v>-4.9112713895738125E-11</v>
      </c>
      <c r="L183" t="s">
        <v>19</v>
      </c>
      <c r="M183" t="e">
        <f>VLOOKUP(A183,#REF!,6,FALSE)</f>
        <v>#REF!</v>
      </c>
    </row>
    <row r="184" spans="1:13" x14ac:dyDescent="0.25">
      <c r="A184">
        <v>333</v>
      </c>
      <c r="B184" t="s">
        <v>114</v>
      </c>
      <c r="C184" t="s">
        <v>3</v>
      </c>
      <c r="D184" s="5">
        <v>45565</v>
      </c>
      <c r="E184" s="3" t="s">
        <v>194</v>
      </c>
      <c r="F184" s="4"/>
      <c r="G184" s="4">
        <v>5.25</v>
      </c>
      <c r="H184" s="4">
        <v>16270.04</v>
      </c>
      <c r="I184" s="1">
        <f t="shared" si="6"/>
        <v>-5.25</v>
      </c>
      <c r="J184" s="1">
        <f t="shared" si="8"/>
        <v>16270.04000000005</v>
      </c>
      <c r="K184" s="16">
        <f t="shared" si="7"/>
        <v>-4.9112713895738125E-11</v>
      </c>
      <c r="L184" t="s">
        <v>7</v>
      </c>
      <c r="M184" t="e">
        <f>VLOOKUP(A184,#REF!,6,FALSE)</f>
        <v>#REF!</v>
      </c>
    </row>
    <row r="185" spans="1:13" x14ac:dyDescent="0.25">
      <c r="A185">
        <v>334</v>
      </c>
      <c r="B185" t="s">
        <v>114</v>
      </c>
      <c r="C185" t="s">
        <v>3</v>
      </c>
      <c r="D185" s="5">
        <v>45566</v>
      </c>
      <c r="E185" s="3" t="s">
        <v>195</v>
      </c>
      <c r="F185" s="4"/>
      <c r="G185" s="4">
        <v>92.99</v>
      </c>
      <c r="H185" s="4">
        <v>16177.05</v>
      </c>
      <c r="I185" s="1">
        <f t="shared" si="6"/>
        <v>-92.99</v>
      </c>
      <c r="J185" s="1">
        <f t="shared" si="8"/>
        <v>16177.05000000005</v>
      </c>
      <c r="K185" s="16">
        <f t="shared" si="7"/>
        <v>-5.0931703299283981E-11</v>
      </c>
      <c r="L185" t="s">
        <v>18</v>
      </c>
      <c r="M185" t="e">
        <f>VLOOKUP(A185,#REF!,6,FALSE)</f>
        <v>#REF!</v>
      </c>
    </row>
    <row r="186" spans="1:13" x14ac:dyDescent="0.25">
      <c r="A186">
        <v>335</v>
      </c>
      <c r="B186" t="s">
        <v>114</v>
      </c>
      <c r="C186" t="s">
        <v>3</v>
      </c>
      <c r="D186" s="5">
        <v>45566</v>
      </c>
      <c r="E186" s="3" t="s">
        <v>62</v>
      </c>
      <c r="F186" s="4"/>
      <c r="G186" s="4">
        <v>26.37</v>
      </c>
      <c r="H186" s="4">
        <v>16150.68</v>
      </c>
      <c r="I186" s="1">
        <f t="shared" si="6"/>
        <v>-26.37</v>
      </c>
      <c r="J186" s="1">
        <f t="shared" si="8"/>
        <v>16150.680000000049</v>
      </c>
      <c r="K186" s="16">
        <f t="shared" si="7"/>
        <v>-4.9112713895738125E-11</v>
      </c>
      <c r="L186" t="s">
        <v>25</v>
      </c>
      <c r="M186" t="e">
        <f>VLOOKUP(A186,#REF!,6,FALSE)</f>
        <v>#REF!</v>
      </c>
    </row>
    <row r="187" spans="1:13" x14ac:dyDescent="0.25">
      <c r="A187">
        <v>336</v>
      </c>
      <c r="B187" t="s">
        <v>114</v>
      </c>
      <c r="C187" t="s">
        <v>3</v>
      </c>
      <c r="D187" s="5">
        <v>45566</v>
      </c>
      <c r="E187" s="3" t="s">
        <v>127</v>
      </c>
      <c r="F187" s="4"/>
      <c r="G187" s="4">
        <v>72</v>
      </c>
      <c r="H187" s="4">
        <v>16078.68</v>
      </c>
      <c r="I187" s="1">
        <f t="shared" si="6"/>
        <v>-72</v>
      </c>
      <c r="J187" s="1">
        <f t="shared" si="8"/>
        <v>16078.680000000049</v>
      </c>
      <c r="K187" s="16">
        <f t="shared" si="7"/>
        <v>-4.9112713895738125E-11</v>
      </c>
      <c r="L187" t="s">
        <v>24</v>
      </c>
      <c r="M187" t="e">
        <f>VLOOKUP(A187,#REF!,6,FALSE)</f>
        <v>#REF!</v>
      </c>
    </row>
    <row r="188" spans="1:13" x14ac:dyDescent="0.25">
      <c r="A188">
        <v>337</v>
      </c>
      <c r="B188" t="s">
        <v>114</v>
      </c>
      <c r="C188" t="s">
        <v>3</v>
      </c>
      <c r="D188" s="5">
        <v>45567</v>
      </c>
      <c r="E188" s="3" t="s">
        <v>196</v>
      </c>
      <c r="F188" s="4"/>
      <c r="G188" s="4">
        <v>136.91999999999999</v>
      </c>
      <c r="H188" s="4">
        <v>15941.76</v>
      </c>
      <c r="I188" s="1">
        <f t="shared" si="6"/>
        <v>-136.91999999999999</v>
      </c>
      <c r="J188" s="1">
        <f t="shared" si="8"/>
        <v>15941.760000000049</v>
      </c>
      <c r="K188" s="16">
        <f t="shared" si="7"/>
        <v>-4.9112713895738125E-11</v>
      </c>
      <c r="L188" t="s">
        <v>18</v>
      </c>
      <c r="M188" t="e">
        <f>VLOOKUP(A188,#REF!,6,FALSE)</f>
        <v>#REF!</v>
      </c>
    </row>
    <row r="189" spans="1:13" x14ac:dyDescent="0.25">
      <c r="A189">
        <v>338</v>
      </c>
      <c r="B189" t="s">
        <v>114</v>
      </c>
      <c r="C189" t="s">
        <v>3</v>
      </c>
      <c r="D189" s="5">
        <v>45569</v>
      </c>
      <c r="E189" s="3" t="s">
        <v>64</v>
      </c>
      <c r="F189" s="4">
        <v>333</v>
      </c>
      <c r="G189" s="4"/>
      <c r="H189" s="4">
        <v>16274.76</v>
      </c>
      <c r="I189" s="1">
        <f t="shared" si="6"/>
        <v>333</v>
      </c>
      <c r="J189" s="1">
        <f t="shared" si="8"/>
        <v>16274.760000000049</v>
      </c>
      <c r="K189" s="16">
        <f t="shared" si="7"/>
        <v>-4.9112713895738125E-11</v>
      </c>
      <c r="L189" t="s">
        <v>19</v>
      </c>
      <c r="M189" t="e">
        <f>VLOOKUP(A189,#REF!,6,FALSE)</f>
        <v>#REF!</v>
      </c>
    </row>
    <row r="190" spans="1:13" x14ac:dyDescent="0.25">
      <c r="A190">
        <v>339</v>
      </c>
      <c r="B190" t="s">
        <v>114</v>
      </c>
      <c r="C190" t="s">
        <v>3</v>
      </c>
      <c r="D190" s="5">
        <v>45572</v>
      </c>
      <c r="E190" s="3" t="s">
        <v>197</v>
      </c>
      <c r="F190" s="4"/>
      <c r="G190" s="4">
        <v>32.82</v>
      </c>
      <c r="H190" s="4">
        <v>16241.94</v>
      </c>
      <c r="I190" s="1">
        <f t="shared" si="6"/>
        <v>-32.82</v>
      </c>
      <c r="J190" s="1">
        <f t="shared" si="8"/>
        <v>16241.94000000005</v>
      </c>
      <c r="K190" s="16">
        <f t="shared" si="7"/>
        <v>-4.9112713895738125E-11</v>
      </c>
      <c r="L190" t="s">
        <v>12</v>
      </c>
      <c r="M190" t="e">
        <f>VLOOKUP(A190,#REF!,6,FALSE)</f>
        <v>#REF!</v>
      </c>
    </row>
    <row r="191" spans="1:13" x14ac:dyDescent="0.25">
      <c r="A191">
        <v>340</v>
      </c>
      <c r="B191" t="s">
        <v>114</v>
      </c>
      <c r="C191" t="s">
        <v>3</v>
      </c>
      <c r="D191" s="5">
        <v>45573</v>
      </c>
      <c r="E191" s="3" t="s">
        <v>198</v>
      </c>
      <c r="F191" s="4">
        <v>425</v>
      </c>
      <c r="G191" s="4"/>
      <c r="H191" s="4">
        <v>16666.939999999999</v>
      </c>
      <c r="I191" s="1">
        <f t="shared" si="6"/>
        <v>425</v>
      </c>
      <c r="J191" s="1">
        <f t="shared" si="8"/>
        <v>16666.94000000005</v>
      </c>
      <c r="K191" s="16">
        <f t="shared" si="7"/>
        <v>-5.0931703299283981E-11</v>
      </c>
      <c r="L191" t="s">
        <v>19</v>
      </c>
      <c r="M191" t="e">
        <f>VLOOKUP(A191,#REF!,6,FALSE)</f>
        <v>#REF!</v>
      </c>
    </row>
    <row r="192" spans="1:13" x14ac:dyDescent="0.25">
      <c r="A192">
        <v>341</v>
      </c>
      <c r="B192" t="s">
        <v>114</v>
      </c>
      <c r="C192" t="s">
        <v>3</v>
      </c>
      <c r="D192" s="5">
        <v>45576</v>
      </c>
      <c r="E192" s="3" t="s">
        <v>199</v>
      </c>
      <c r="F192" s="4">
        <v>1245</v>
      </c>
      <c r="G192" s="4"/>
      <c r="H192" s="4">
        <v>17911.939999999999</v>
      </c>
      <c r="I192" s="1">
        <f t="shared" si="6"/>
        <v>1245</v>
      </c>
      <c r="J192" s="1">
        <f t="shared" si="8"/>
        <v>17911.94000000005</v>
      </c>
      <c r="K192" s="16">
        <f t="shared" si="7"/>
        <v>-5.0931703299283981E-11</v>
      </c>
      <c r="L192" t="s">
        <v>19</v>
      </c>
      <c r="M192" t="e">
        <f>VLOOKUP(A192,#REF!,6,FALSE)</f>
        <v>#REF!</v>
      </c>
    </row>
    <row r="193" spans="1:13" x14ac:dyDescent="0.25">
      <c r="A193">
        <v>342</v>
      </c>
      <c r="B193" t="s">
        <v>114</v>
      </c>
      <c r="C193" t="s">
        <v>3</v>
      </c>
      <c r="D193" s="5">
        <v>45582</v>
      </c>
      <c r="E193" s="3" t="s">
        <v>200</v>
      </c>
      <c r="F193" s="4"/>
      <c r="G193" s="4">
        <v>25</v>
      </c>
      <c r="H193" s="4">
        <v>17886.939999999999</v>
      </c>
      <c r="I193" s="1">
        <f t="shared" si="6"/>
        <v>-25</v>
      </c>
      <c r="J193" s="1">
        <f t="shared" si="8"/>
        <v>17886.94000000005</v>
      </c>
      <c r="K193" s="16">
        <f t="shared" si="7"/>
        <v>-5.0931703299283981E-11</v>
      </c>
      <c r="L193" t="s">
        <v>18</v>
      </c>
      <c r="M193" t="e">
        <f>VLOOKUP(A193,#REF!,6,FALSE)</f>
        <v>#REF!</v>
      </c>
    </row>
    <row r="194" spans="1:13" x14ac:dyDescent="0.25">
      <c r="A194">
        <v>343</v>
      </c>
      <c r="B194" t="s">
        <v>114</v>
      </c>
      <c r="C194" t="s">
        <v>3</v>
      </c>
      <c r="D194" s="5">
        <v>45582</v>
      </c>
      <c r="E194" s="3" t="s">
        <v>200</v>
      </c>
      <c r="F194" s="4"/>
      <c r="G194" s="4">
        <v>16</v>
      </c>
      <c r="H194" s="4">
        <v>17870.939999999999</v>
      </c>
      <c r="I194" s="1">
        <f t="shared" ref="I194:I213" si="9">F194-G194</f>
        <v>-16</v>
      </c>
      <c r="J194" s="1">
        <f t="shared" si="8"/>
        <v>17870.94000000005</v>
      </c>
      <c r="K194" s="16">
        <f t="shared" ref="K194:K213" si="10">H194-J194</f>
        <v>-5.0931703299283981E-11</v>
      </c>
      <c r="L194" t="s">
        <v>18</v>
      </c>
      <c r="M194" t="e">
        <f>VLOOKUP(A194,#REF!,6,FALSE)</f>
        <v>#REF!</v>
      </c>
    </row>
    <row r="195" spans="1:13" x14ac:dyDescent="0.25">
      <c r="A195">
        <v>344</v>
      </c>
      <c r="B195" t="s">
        <v>114</v>
      </c>
      <c r="C195" t="s">
        <v>3</v>
      </c>
      <c r="D195" s="5">
        <v>45582</v>
      </c>
      <c r="E195" s="3" t="s">
        <v>201</v>
      </c>
      <c r="F195" s="4"/>
      <c r="G195" s="4">
        <v>7.2</v>
      </c>
      <c r="H195" s="4">
        <v>17863.740000000002</v>
      </c>
      <c r="I195" s="1">
        <f t="shared" si="9"/>
        <v>-7.2</v>
      </c>
      <c r="J195" s="1">
        <f t="shared" ref="J195:J258" si="11">J194+I195</f>
        <v>17863.740000000049</v>
      </c>
      <c r="K195" s="16">
        <f t="shared" si="10"/>
        <v>-4.7293724492192268E-11</v>
      </c>
      <c r="L195" t="s">
        <v>20</v>
      </c>
      <c r="M195" t="e">
        <f>VLOOKUP(A195,#REF!,6,FALSE)</f>
        <v>#REF!</v>
      </c>
    </row>
    <row r="196" spans="1:13" x14ac:dyDescent="0.25">
      <c r="A196">
        <v>345</v>
      </c>
      <c r="B196" t="s">
        <v>114</v>
      </c>
      <c r="C196" t="s">
        <v>3</v>
      </c>
      <c r="D196" s="5">
        <v>45583</v>
      </c>
      <c r="E196" s="3" t="s">
        <v>202</v>
      </c>
      <c r="F196" s="4">
        <v>425</v>
      </c>
      <c r="G196" s="4"/>
      <c r="H196" s="4">
        <v>18288.740000000002</v>
      </c>
      <c r="I196" s="1">
        <f t="shared" si="9"/>
        <v>425</v>
      </c>
      <c r="J196" s="1">
        <f t="shared" si="11"/>
        <v>18288.740000000049</v>
      </c>
      <c r="K196" s="16">
        <f t="shared" si="10"/>
        <v>-4.7293724492192268E-11</v>
      </c>
      <c r="L196" t="s">
        <v>19</v>
      </c>
      <c r="M196" t="e">
        <f>VLOOKUP(A196,#REF!,6,FALSE)</f>
        <v>#REF!</v>
      </c>
    </row>
    <row r="197" spans="1:13" x14ac:dyDescent="0.25">
      <c r="A197">
        <v>346</v>
      </c>
      <c r="B197" t="s">
        <v>114</v>
      </c>
      <c r="C197" t="s">
        <v>3</v>
      </c>
      <c r="D197" s="5">
        <v>45583</v>
      </c>
      <c r="E197" s="3" t="s">
        <v>203</v>
      </c>
      <c r="F197" s="4"/>
      <c r="G197" s="4">
        <v>14.25</v>
      </c>
      <c r="H197" s="4">
        <v>18274.490000000002</v>
      </c>
      <c r="I197" s="1">
        <f t="shared" si="9"/>
        <v>-14.25</v>
      </c>
      <c r="J197" s="1">
        <f t="shared" si="11"/>
        <v>18274.490000000049</v>
      </c>
      <c r="K197" s="16">
        <f t="shared" si="10"/>
        <v>-4.7293724492192268E-11</v>
      </c>
      <c r="L197" t="s">
        <v>18</v>
      </c>
      <c r="M197" t="e">
        <f>VLOOKUP(A197,#REF!,6,FALSE)</f>
        <v>#REF!</v>
      </c>
    </row>
    <row r="198" spans="1:13" x14ac:dyDescent="0.25">
      <c r="A198">
        <v>347</v>
      </c>
      <c r="B198" t="s">
        <v>114</v>
      </c>
      <c r="C198" t="s">
        <v>3</v>
      </c>
      <c r="D198" s="5">
        <v>45588</v>
      </c>
      <c r="E198" s="3" t="s">
        <v>204</v>
      </c>
      <c r="F198" s="4"/>
      <c r="G198" s="4">
        <v>76.28</v>
      </c>
      <c r="H198" s="4">
        <v>18198.21</v>
      </c>
      <c r="I198" s="1">
        <f t="shared" si="9"/>
        <v>-76.28</v>
      </c>
      <c r="J198" s="1">
        <f t="shared" si="11"/>
        <v>18198.21000000005</v>
      </c>
      <c r="K198" s="16">
        <f t="shared" si="10"/>
        <v>-5.0931703299283981E-11</v>
      </c>
      <c r="L198" t="s">
        <v>8</v>
      </c>
      <c r="M198" t="e">
        <f>VLOOKUP(A198,#REF!,6,FALSE)</f>
        <v>#REF!</v>
      </c>
    </row>
    <row r="199" spans="1:13" x14ac:dyDescent="0.25">
      <c r="A199">
        <v>348</v>
      </c>
      <c r="B199" t="s">
        <v>114</v>
      </c>
      <c r="C199" t="s">
        <v>3</v>
      </c>
      <c r="D199" s="5">
        <v>45590</v>
      </c>
      <c r="E199" s="3" t="s">
        <v>205</v>
      </c>
      <c r="F199" s="4">
        <v>1800</v>
      </c>
      <c r="G199" s="4"/>
      <c r="H199" s="4">
        <v>19998.21</v>
      </c>
      <c r="I199" s="1">
        <f t="shared" si="9"/>
        <v>1800</v>
      </c>
      <c r="J199" s="1">
        <f t="shared" si="11"/>
        <v>19998.21000000005</v>
      </c>
      <c r="K199" s="16">
        <f t="shared" si="10"/>
        <v>-5.0931703299283981E-11</v>
      </c>
      <c r="L199" t="s">
        <v>19</v>
      </c>
      <c r="M199" t="e">
        <f>VLOOKUP(A199,#REF!,6,FALSE)</f>
        <v>#REF!</v>
      </c>
    </row>
    <row r="200" spans="1:13" x14ac:dyDescent="0.25">
      <c r="A200">
        <v>349</v>
      </c>
      <c r="B200" t="s">
        <v>114</v>
      </c>
      <c r="C200" t="s">
        <v>3</v>
      </c>
      <c r="D200" s="5">
        <v>45595</v>
      </c>
      <c r="E200" s="3" t="s">
        <v>206</v>
      </c>
      <c r="F200" s="4"/>
      <c r="G200" s="4">
        <v>15</v>
      </c>
      <c r="H200" s="4">
        <v>19983.21</v>
      </c>
      <c r="I200" s="1">
        <f t="shared" si="9"/>
        <v>-15</v>
      </c>
      <c r="J200" s="1">
        <f t="shared" si="11"/>
        <v>19983.21000000005</v>
      </c>
      <c r="K200" s="16">
        <f t="shared" si="10"/>
        <v>-5.0931703299283981E-11</v>
      </c>
      <c r="L200" t="s">
        <v>22</v>
      </c>
      <c r="M200" t="e">
        <f>VLOOKUP(A200,#REF!,6,FALSE)</f>
        <v>#REF!</v>
      </c>
    </row>
    <row r="201" spans="1:13" x14ac:dyDescent="0.25">
      <c r="A201">
        <v>350</v>
      </c>
      <c r="B201" t="s">
        <v>114</v>
      </c>
      <c r="C201" t="s">
        <v>3</v>
      </c>
      <c r="D201" s="5">
        <v>45596</v>
      </c>
      <c r="E201" s="3" t="s">
        <v>207</v>
      </c>
      <c r="F201" s="4">
        <v>905</v>
      </c>
      <c r="G201" s="4"/>
      <c r="H201" s="4">
        <v>20888.21</v>
      </c>
      <c r="I201" s="1">
        <f t="shared" si="9"/>
        <v>905</v>
      </c>
      <c r="J201" s="1">
        <f t="shared" si="11"/>
        <v>20888.21000000005</v>
      </c>
      <c r="K201" s="16">
        <f t="shared" si="10"/>
        <v>-5.0931703299283981E-11</v>
      </c>
      <c r="L201" t="s">
        <v>19</v>
      </c>
      <c r="M201" t="e">
        <f>VLOOKUP(A201,#REF!,6,FALSE)</f>
        <v>#REF!</v>
      </c>
    </row>
    <row r="202" spans="1:13" x14ac:dyDescent="0.25">
      <c r="A202">
        <v>351</v>
      </c>
      <c r="B202" t="s">
        <v>114</v>
      </c>
      <c r="C202" t="s">
        <v>3</v>
      </c>
      <c r="D202" s="5">
        <v>45596</v>
      </c>
      <c r="E202" s="3" t="s">
        <v>208</v>
      </c>
      <c r="F202" s="4"/>
      <c r="G202" s="4">
        <v>7.35</v>
      </c>
      <c r="H202" s="4">
        <v>20880.86</v>
      </c>
      <c r="I202" s="1">
        <f t="shared" si="9"/>
        <v>-7.35</v>
      </c>
      <c r="J202" s="1">
        <f t="shared" si="11"/>
        <v>20880.860000000052</v>
      </c>
      <c r="K202" s="16">
        <f t="shared" si="10"/>
        <v>-5.0931703299283981E-11</v>
      </c>
      <c r="L202" t="s">
        <v>7</v>
      </c>
      <c r="M202" t="e">
        <f>VLOOKUP(A202,#REF!,6,FALSE)</f>
        <v>#REF!</v>
      </c>
    </row>
    <row r="203" spans="1:13" x14ac:dyDescent="0.25">
      <c r="A203">
        <v>352</v>
      </c>
      <c r="B203" t="s">
        <v>114</v>
      </c>
      <c r="C203" t="s">
        <v>3</v>
      </c>
      <c r="D203" s="5">
        <v>45596</v>
      </c>
      <c r="E203" s="3" t="s">
        <v>209</v>
      </c>
      <c r="F203" s="4"/>
      <c r="G203" s="4">
        <v>15</v>
      </c>
      <c r="H203" s="4">
        <v>20865.86</v>
      </c>
      <c r="I203" s="1">
        <f t="shared" si="9"/>
        <v>-15</v>
      </c>
      <c r="J203" s="1">
        <f t="shared" si="11"/>
        <v>20865.860000000052</v>
      </c>
      <c r="K203" s="16">
        <f t="shared" si="10"/>
        <v>-5.0931703299283981E-11</v>
      </c>
      <c r="L203" t="s">
        <v>22</v>
      </c>
      <c r="M203" t="e">
        <f>VLOOKUP(A203,#REF!,6,FALSE)</f>
        <v>#REF!</v>
      </c>
    </row>
    <row r="204" spans="1:13" x14ac:dyDescent="0.25">
      <c r="A204">
        <v>353</v>
      </c>
      <c r="B204" t="s">
        <v>114</v>
      </c>
      <c r="C204" t="s">
        <v>3</v>
      </c>
      <c r="D204" s="5">
        <v>45597</v>
      </c>
      <c r="E204" s="3" t="s">
        <v>62</v>
      </c>
      <c r="F204" s="4"/>
      <c r="G204" s="4">
        <v>26.33</v>
      </c>
      <c r="H204" s="4">
        <v>20839.53</v>
      </c>
      <c r="I204" s="1">
        <f t="shared" si="9"/>
        <v>-26.33</v>
      </c>
      <c r="J204" s="1">
        <f t="shared" si="11"/>
        <v>20839.53000000005</v>
      </c>
      <c r="K204" s="16">
        <f t="shared" si="10"/>
        <v>-5.0931703299283981E-11</v>
      </c>
      <c r="L204" t="s">
        <v>25</v>
      </c>
      <c r="M204" t="e">
        <f>VLOOKUP(A204,#REF!,6,FALSE)</f>
        <v>#REF!</v>
      </c>
    </row>
    <row r="205" spans="1:13" x14ac:dyDescent="0.25">
      <c r="A205">
        <v>354</v>
      </c>
      <c r="B205" t="s">
        <v>114</v>
      </c>
      <c r="C205" t="s">
        <v>3</v>
      </c>
      <c r="D205" s="5">
        <v>45604</v>
      </c>
      <c r="E205" s="3" t="s">
        <v>88</v>
      </c>
      <c r="F205" s="4">
        <v>990</v>
      </c>
      <c r="G205" s="4"/>
      <c r="H205" s="4">
        <v>21829.53</v>
      </c>
      <c r="I205" s="1">
        <f t="shared" si="9"/>
        <v>990</v>
      </c>
      <c r="J205" s="1">
        <f t="shared" si="11"/>
        <v>21829.53000000005</v>
      </c>
      <c r="K205" s="16">
        <f t="shared" si="10"/>
        <v>-5.0931703299283981E-11</v>
      </c>
      <c r="L205" t="s">
        <v>19</v>
      </c>
      <c r="M205" t="e">
        <f>VLOOKUP(A205,#REF!,6,FALSE)</f>
        <v>#REF!</v>
      </c>
    </row>
    <row r="206" spans="1:13" x14ac:dyDescent="0.25">
      <c r="A206">
        <v>355</v>
      </c>
      <c r="B206" t="s">
        <v>114</v>
      </c>
      <c r="C206" t="s">
        <v>3</v>
      </c>
      <c r="D206" s="5">
        <v>45607</v>
      </c>
      <c r="E206" s="3" t="s">
        <v>210</v>
      </c>
      <c r="F206" s="4">
        <v>400</v>
      </c>
      <c r="G206" s="4"/>
      <c r="H206" s="4">
        <v>22229.53</v>
      </c>
      <c r="I206" s="1">
        <f t="shared" si="9"/>
        <v>400</v>
      </c>
      <c r="J206" s="1">
        <f t="shared" si="11"/>
        <v>22229.53000000005</v>
      </c>
      <c r="K206" s="16">
        <f t="shared" si="10"/>
        <v>-5.0931703299283981E-11</v>
      </c>
      <c r="L206" t="s">
        <v>19</v>
      </c>
      <c r="M206" t="e">
        <f>VLOOKUP(A206,#REF!,6,FALSE)</f>
        <v>#REF!</v>
      </c>
    </row>
    <row r="207" spans="1:13" x14ac:dyDescent="0.25">
      <c r="A207">
        <v>356</v>
      </c>
      <c r="B207" t="s">
        <v>114</v>
      </c>
      <c r="C207" t="s">
        <v>3</v>
      </c>
      <c r="D207" s="5">
        <v>45611</v>
      </c>
      <c r="E207" s="3" t="s">
        <v>211</v>
      </c>
      <c r="F207" s="4">
        <v>1665</v>
      </c>
      <c r="G207" s="4"/>
      <c r="H207" s="4">
        <v>23894.53</v>
      </c>
      <c r="I207" s="1">
        <f t="shared" si="9"/>
        <v>1665</v>
      </c>
      <c r="J207" s="1">
        <f t="shared" si="11"/>
        <v>23894.53000000005</v>
      </c>
      <c r="K207" s="16">
        <f t="shared" si="10"/>
        <v>-5.0931703299283981E-11</v>
      </c>
      <c r="L207" t="s">
        <v>19</v>
      </c>
      <c r="M207" t="e">
        <f>VLOOKUP(A207,#REF!,6,FALSE)</f>
        <v>#REF!</v>
      </c>
    </row>
    <row r="208" spans="1:13" x14ac:dyDescent="0.25">
      <c r="A208">
        <v>357</v>
      </c>
      <c r="B208" t="s">
        <v>114</v>
      </c>
      <c r="C208" t="s">
        <v>3</v>
      </c>
      <c r="D208" s="5">
        <v>45611</v>
      </c>
      <c r="E208" s="3" t="s">
        <v>212</v>
      </c>
      <c r="F208" s="4">
        <v>800</v>
      </c>
      <c r="G208" s="4"/>
      <c r="H208" s="4">
        <v>24694.53</v>
      </c>
      <c r="I208" s="1">
        <f t="shared" si="9"/>
        <v>800</v>
      </c>
      <c r="J208" s="1">
        <f t="shared" si="11"/>
        <v>24694.53000000005</v>
      </c>
      <c r="K208" s="16">
        <f t="shared" si="10"/>
        <v>-5.0931703299283981E-11</v>
      </c>
      <c r="L208" t="s">
        <v>19</v>
      </c>
      <c r="M208" t="e">
        <f>VLOOKUP(A208,#REF!,6,FALSE)</f>
        <v>#REF!</v>
      </c>
    </row>
    <row r="209" spans="1:14" x14ac:dyDescent="0.25">
      <c r="A209">
        <v>358</v>
      </c>
      <c r="B209" t="s">
        <v>114</v>
      </c>
      <c r="C209" t="s">
        <v>3</v>
      </c>
      <c r="D209" s="5">
        <v>45618</v>
      </c>
      <c r="E209" s="3" t="s">
        <v>213</v>
      </c>
      <c r="F209" s="4">
        <v>1275</v>
      </c>
      <c r="G209" s="4"/>
      <c r="H209" s="4">
        <v>25969.53</v>
      </c>
      <c r="I209" s="1">
        <f t="shared" si="9"/>
        <v>1275</v>
      </c>
      <c r="J209" s="1">
        <f t="shared" si="11"/>
        <v>25969.53000000005</v>
      </c>
      <c r="K209" s="16">
        <f t="shared" si="10"/>
        <v>-5.0931703299283981E-11</v>
      </c>
      <c r="L209" t="s">
        <v>19</v>
      </c>
      <c r="M209" t="e">
        <f>VLOOKUP(A209,#REF!,6,FALSE)</f>
        <v>#REF!</v>
      </c>
    </row>
    <row r="210" spans="1:14" x14ac:dyDescent="0.25">
      <c r="A210">
        <v>359</v>
      </c>
      <c r="B210" t="s">
        <v>114</v>
      </c>
      <c r="C210" t="s">
        <v>3</v>
      </c>
      <c r="D210" s="5">
        <v>45621</v>
      </c>
      <c r="E210" s="3" t="s">
        <v>214</v>
      </c>
      <c r="F210" s="4"/>
      <c r="G210" s="4">
        <v>265.19</v>
      </c>
      <c r="H210" s="4">
        <v>25704.34</v>
      </c>
      <c r="I210" s="1">
        <f t="shared" si="9"/>
        <v>-265.19</v>
      </c>
      <c r="J210" s="1">
        <f t="shared" si="11"/>
        <v>25704.340000000051</v>
      </c>
      <c r="K210" s="16">
        <f t="shared" si="10"/>
        <v>-5.0931703299283981E-11</v>
      </c>
      <c r="L210" t="s">
        <v>29</v>
      </c>
      <c r="M210" t="e">
        <f>VLOOKUP(A210,#REF!,6,FALSE)</f>
        <v>#REF!</v>
      </c>
    </row>
    <row r="211" spans="1:14" x14ac:dyDescent="0.25">
      <c r="A211">
        <v>360</v>
      </c>
      <c r="B211" t="s">
        <v>114</v>
      </c>
      <c r="C211" t="s">
        <v>3</v>
      </c>
      <c r="D211" s="5">
        <v>45625</v>
      </c>
      <c r="E211" s="3" t="s">
        <v>215</v>
      </c>
      <c r="F211" s="4">
        <v>845</v>
      </c>
      <c r="G211" s="4"/>
      <c r="H211" s="4">
        <v>26549.34</v>
      </c>
      <c r="I211" s="1">
        <f t="shared" si="9"/>
        <v>845</v>
      </c>
      <c r="J211" s="1">
        <f t="shared" si="11"/>
        <v>26549.340000000051</v>
      </c>
      <c r="K211" s="16">
        <f t="shared" si="10"/>
        <v>-5.0931703299283981E-11</v>
      </c>
      <c r="L211" t="s">
        <v>19</v>
      </c>
      <c r="M211" t="e">
        <f>VLOOKUP(A211,#REF!,6,FALSE)</f>
        <v>#REF!</v>
      </c>
    </row>
    <row r="212" spans="1:14" x14ac:dyDescent="0.25">
      <c r="A212">
        <v>361</v>
      </c>
      <c r="B212" t="s">
        <v>114</v>
      </c>
      <c r="C212" t="s">
        <v>3</v>
      </c>
      <c r="D212" s="8">
        <v>45625</v>
      </c>
      <c r="E212" s="3" t="s">
        <v>216</v>
      </c>
      <c r="F212" s="4"/>
      <c r="G212" s="4">
        <v>4.9000000000000004</v>
      </c>
      <c r="H212" s="4">
        <v>26544.44</v>
      </c>
      <c r="I212" s="1">
        <f t="shared" si="9"/>
        <v>-4.9000000000000004</v>
      </c>
      <c r="J212" s="1">
        <f t="shared" si="11"/>
        <v>26544.44000000005</v>
      </c>
      <c r="K212" s="16">
        <f t="shared" si="10"/>
        <v>-5.0931703299283981E-11</v>
      </c>
      <c r="L212" t="s">
        <v>7</v>
      </c>
      <c r="M212" t="e">
        <f>VLOOKUP(A212,#REF!,6,FALSE)</f>
        <v>#REF!</v>
      </c>
    </row>
    <row r="213" spans="1:14" x14ac:dyDescent="0.25">
      <c r="A213">
        <v>362</v>
      </c>
      <c r="B213" t="s">
        <v>114</v>
      </c>
      <c r="C213" t="s">
        <v>4</v>
      </c>
      <c r="D213" s="8">
        <v>45628</v>
      </c>
      <c r="E213" s="3" t="s">
        <v>217</v>
      </c>
      <c r="F213" s="4"/>
      <c r="G213" s="4">
        <v>5000</v>
      </c>
      <c r="H213" s="4">
        <v>21544.44</v>
      </c>
      <c r="I213" s="1">
        <f t="shared" si="9"/>
        <v>-5000</v>
      </c>
      <c r="J213" s="1">
        <f t="shared" si="11"/>
        <v>21544.44000000005</v>
      </c>
      <c r="K213" s="16">
        <f t="shared" si="10"/>
        <v>-5.0931703299283981E-11</v>
      </c>
      <c r="L213" t="s">
        <v>10</v>
      </c>
      <c r="M213" t="e">
        <f>VLOOKUP(A213,#REF!,6,FALSE)</f>
        <v>#REF!</v>
      </c>
    </row>
    <row r="214" spans="1:14" x14ac:dyDescent="0.25">
      <c r="A214" s="11">
        <v>370</v>
      </c>
      <c r="B214" s="15" t="s">
        <v>114</v>
      </c>
      <c r="C214" s="14" t="s">
        <v>3</v>
      </c>
      <c r="D214" s="12">
        <v>45659</v>
      </c>
      <c r="E214" s="11" t="s">
        <v>127</v>
      </c>
      <c r="F214" s="13"/>
      <c r="G214" s="11">
        <v>73</v>
      </c>
      <c r="H214" s="11">
        <v>23234.19</v>
      </c>
      <c r="I214" s="11">
        <f>F214-G214</f>
        <v>-73</v>
      </c>
      <c r="J214" s="1">
        <f>J213+I214</f>
        <v>21471.44000000005</v>
      </c>
      <c r="K214" s="16">
        <f>H214-J214</f>
        <v>1762.7499999999491</v>
      </c>
      <c r="L214" s="11" t="s">
        <v>5</v>
      </c>
      <c r="M214" t="s">
        <v>24</v>
      </c>
      <c r="N214">
        <f>IF(L214=M214,0,1)</f>
        <v>1</v>
      </c>
    </row>
    <row r="215" spans="1:14" x14ac:dyDescent="0.25">
      <c r="A215" s="11">
        <v>374</v>
      </c>
      <c r="B215" s="15" t="s">
        <v>114</v>
      </c>
      <c r="C215" s="14" t="s">
        <v>3</v>
      </c>
      <c r="D215" s="12">
        <v>45681</v>
      </c>
      <c r="E215" s="11" t="s">
        <v>224</v>
      </c>
      <c r="F215" s="11">
        <v>73</v>
      </c>
      <c r="G215" s="13"/>
      <c r="H215" s="11">
        <v>29690.27</v>
      </c>
      <c r="I215" s="11">
        <f>F215-G215</f>
        <v>73</v>
      </c>
      <c r="J215" s="1">
        <f>J214+I215</f>
        <v>21544.44000000005</v>
      </c>
      <c r="K215" s="16">
        <f>H215-J215</f>
        <v>8145.8299999999508</v>
      </c>
      <c r="L215" s="11" t="s">
        <v>5</v>
      </c>
      <c r="M215" t="s">
        <v>24</v>
      </c>
      <c r="N215">
        <f>IF(L215=M215,0,1)</f>
        <v>1</v>
      </c>
    </row>
    <row r="216" spans="1:14" hidden="1" x14ac:dyDescent="0.25">
      <c r="A216" s="11">
        <v>366</v>
      </c>
      <c r="B216" s="15" t="s">
        <v>114</v>
      </c>
      <c r="C216" s="14" t="s">
        <v>3</v>
      </c>
      <c r="D216" s="12">
        <v>45639</v>
      </c>
      <c r="E216" s="11" t="s">
        <v>219</v>
      </c>
      <c r="F216" s="11">
        <v>1720</v>
      </c>
      <c r="G216" s="13"/>
      <c r="H216" s="11">
        <v>22238.11</v>
      </c>
      <c r="I216" s="11">
        <f>F216-G216</f>
        <v>1720</v>
      </c>
      <c r="J216" s="1">
        <f>J215+I216</f>
        <v>23264.44000000005</v>
      </c>
      <c r="K216" s="16">
        <f>H216-J216</f>
        <v>-1026.330000000049</v>
      </c>
      <c r="L216" s="11" t="s">
        <v>19</v>
      </c>
      <c r="M216" t="s">
        <v>19</v>
      </c>
      <c r="N216">
        <f>IF(L216=M216,0,1)</f>
        <v>0</v>
      </c>
    </row>
    <row r="217" spans="1:14" hidden="1" x14ac:dyDescent="0.25">
      <c r="A217" s="11">
        <v>367</v>
      </c>
      <c r="B217" s="15" t="s">
        <v>114</v>
      </c>
      <c r="C217" s="14" t="s">
        <v>3</v>
      </c>
      <c r="D217" s="12">
        <v>45650</v>
      </c>
      <c r="E217" s="11" t="s">
        <v>220</v>
      </c>
      <c r="F217" s="11">
        <v>1075</v>
      </c>
      <c r="G217" s="13"/>
      <c r="H217" s="11">
        <v>23313.11</v>
      </c>
      <c r="I217" s="11">
        <f>F217-G217</f>
        <v>1075</v>
      </c>
      <c r="J217" s="1">
        <f>J216+I217</f>
        <v>24339.44000000005</v>
      </c>
      <c r="K217" s="16">
        <f>H217-J217</f>
        <v>-1026.330000000049</v>
      </c>
      <c r="L217" s="11" t="s">
        <v>19</v>
      </c>
      <c r="M217" t="s">
        <v>19</v>
      </c>
      <c r="N217">
        <f>IF(L217=M217,0,1)</f>
        <v>0</v>
      </c>
    </row>
    <row r="218" spans="1:14" hidden="1" x14ac:dyDescent="0.25">
      <c r="A218" s="11">
        <v>368</v>
      </c>
      <c r="B218" s="15" t="s">
        <v>114</v>
      </c>
      <c r="C218" s="14" t="s">
        <v>3</v>
      </c>
      <c r="D218" s="12">
        <v>45657</v>
      </c>
      <c r="E218" s="11" t="s">
        <v>221</v>
      </c>
      <c r="F218" s="13"/>
      <c r="G218" s="11">
        <v>2.4500000000000002</v>
      </c>
      <c r="H218" s="11">
        <v>23310.66</v>
      </c>
      <c r="I218" s="11">
        <f>F218-G218</f>
        <v>-2.4500000000000002</v>
      </c>
      <c r="J218" s="1">
        <f>J217+I218</f>
        <v>24336.990000000049</v>
      </c>
      <c r="K218" s="16">
        <f>H218-J218</f>
        <v>-1026.330000000049</v>
      </c>
      <c r="L218" s="11" t="s">
        <v>7</v>
      </c>
      <c r="M218" t="s">
        <v>7</v>
      </c>
      <c r="N218">
        <f>IF(L218=M218,0,1)</f>
        <v>0</v>
      </c>
    </row>
    <row r="219" spans="1:14" x14ac:dyDescent="0.25">
      <c r="A219" s="11">
        <v>412</v>
      </c>
      <c r="B219" s="15" t="s">
        <v>234</v>
      </c>
      <c r="C219" s="14" t="s">
        <v>4</v>
      </c>
      <c r="D219" s="12">
        <v>45954</v>
      </c>
      <c r="E219" s="11" t="s">
        <v>254</v>
      </c>
      <c r="F219" s="13"/>
      <c r="G219" s="11">
        <v>86.16</v>
      </c>
      <c r="H219" s="11">
        <v>259.95</v>
      </c>
      <c r="I219" s="11">
        <f>F219-G219</f>
        <v>-86.16</v>
      </c>
      <c r="J219" s="1">
        <f>J218+I219</f>
        <v>24250.830000000049</v>
      </c>
      <c r="K219" s="16">
        <f>H219-J219</f>
        <v>-23990.880000000048</v>
      </c>
      <c r="L219" s="11" t="s">
        <v>5</v>
      </c>
      <c r="M219" t="s">
        <v>24</v>
      </c>
      <c r="N219">
        <f>IF(L219=M219,0,1)</f>
        <v>1</v>
      </c>
    </row>
    <row r="220" spans="1:14" x14ac:dyDescent="0.25">
      <c r="A220" s="11">
        <v>426</v>
      </c>
      <c r="B220" s="15" t="s">
        <v>234</v>
      </c>
      <c r="C220" s="14" t="s">
        <v>4</v>
      </c>
      <c r="D220" s="12">
        <v>45992</v>
      </c>
      <c r="E220" s="11" t="s">
        <v>266</v>
      </c>
      <c r="F220" s="13"/>
      <c r="G220" s="11">
        <v>7.5</v>
      </c>
      <c r="H220" s="11">
        <v>1508.14</v>
      </c>
      <c r="I220" s="11">
        <f>F220-G220</f>
        <v>-7.5</v>
      </c>
      <c r="J220" s="1">
        <f>J219+I220</f>
        <v>24243.330000000049</v>
      </c>
      <c r="K220" s="16">
        <f>H220-J220</f>
        <v>-22735.19000000005</v>
      </c>
      <c r="L220" s="11" t="s">
        <v>11</v>
      </c>
      <c r="M220" t="s">
        <v>271</v>
      </c>
      <c r="N220">
        <f>IF(L220=M220,0,1)</f>
        <v>1</v>
      </c>
    </row>
    <row r="221" spans="1:14" x14ac:dyDescent="0.25">
      <c r="A221" s="11">
        <v>371</v>
      </c>
      <c r="B221" s="15" t="s">
        <v>114</v>
      </c>
      <c r="C221" s="14" t="s">
        <v>3</v>
      </c>
      <c r="D221" s="12">
        <v>45671</v>
      </c>
      <c r="E221" s="11" t="s">
        <v>222</v>
      </c>
      <c r="F221" s="11">
        <v>3429.58</v>
      </c>
      <c r="G221" s="13"/>
      <c r="H221" s="11">
        <v>26663.77</v>
      </c>
      <c r="I221" s="11">
        <f>F221-G221</f>
        <v>3429.58</v>
      </c>
      <c r="J221" s="1">
        <f>J220+I221</f>
        <v>27672.910000000047</v>
      </c>
      <c r="K221" s="16">
        <f>H221-J221</f>
        <v>-1009.1400000000467</v>
      </c>
      <c r="L221" s="11" t="s">
        <v>13</v>
      </c>
      <c r="M221" t="s">
        <v>269</v>
      </c>
      <c r="N221">
        <f>IF(L221=M221,0,1)</f>
        <v>1</v>
      </c>
    </row>
    <row r="222" spans="1:14" x14ac:dyDescent="0.25">
      <c r="A222" s="11">
        <v>372</v>
      </c>
      <c r="B222" s="15" t="s">
        <v>114</v>
      </c>
      <c r="C222" s="14" t="s">
        <v>3</v>
      </c>
      <c r="D222" s="12">
        <v>45672</v>
      </c>
      <c r="E222" s="11" t="s">
        <v>222</v>
      </c>
      <c r="F222" s="11">
        <v>4241.5</v>
      </c>
      <c r="G222" s="13"/>
      <c r="H222" s="11">
        <v>30905.27</v>
      </c>
      <c r="I222" s="11">
        <f>F222-G222</f>
        <v>4241.5</v>
      </c>
      <c r="J222" s="1">
        <f>J221+I222</f>
        <v>31914.410000000047</v>
      </c>
      <c r="K222" s="16">
        <f>H222-J222</f>
        <v>-1009.1400000000467</v>
      </c>
      <c r="L222" s="11" t="s">
        <v>13</v>
      </c>
      <c r="M222" t="s">
        <v>269</v>
      </c>
      <c r="N222">
        <f>IF(L222=M222,0,1)</f>
        <v>1</v>
      </c>
    </row>
    <row r="223" spans="1:14" x14ac:dyDescent="0.25">
      <c r="A223" s="11">
        <v>387</v>
      </c>
      <c r="B223" s="15" t="s">
        <v>234</v>
      </c>
      <c r="C223" s="14" t="s">
        <v>4</v>
      </c>
      <c r="D223" s="12">
        <v>45769</v>
      </c>
      <c r="E223" s="11" t="s">
        <v>235</v>
      </c>
      <c r="F223" s="13"/>
      <c r="G223" s="11">
        <v>433.67</v>
      </c>
      <c r="H223" s="11">
        <v>22052.33</v>
      </c>
      <c r="I223" s="11">
        <f>F223-G223</f>
        <v>-433.67</v>
      </c>
      <c r="J223" s="1">
        <f>J222+I223</f>
        <v>31480.740000000049</v>
      </c>
      <c r="K223" s="16">
        <f>H223-J223</f>
        <v>-9428.4100000000471</v>
      </c>
      <c r="L223" s="14" t="s">
        <v>14</v>
      </c>
      <c r="M223" t="s">
        <v>17</v>
      </c>
      <c r="N223">
        <f>IF(L223=M223,0,1)</f>
        <v>1</v>
      </c>
    </row>
    <row r="224" spans="1:14" x14ac:dyDescent="0.25">
      <c r="A224" s="11">
        <v>400</v>
      </c>
      <c r="B224" s="15" t="s">
        <v>234</v>
      </c>
      <c r="C224" s="14" t="s">
        <v>4</v>
      </c>
      <c r="D224" s="12">
        <v>45868</v>
      </c>
      <c r="E224" s="11" t="s">
        <v>245</v>
      </c>
      <c r="F224" s="13"/>
      <c r="G224" s="11">
        <v>13459.08</v>
      </c>
      <c r="H224" s="11">
        <v>3293.75</v>
      </c>
      <c r="I224" s="11">
        <f>F224-G224</f>
        <v>-13459.08</v>
      </c>
      <c r="J224" s="1">
        <f>J223+I224</f>
        <v>18021.660000000047</v>
      </c>
      <c r="K224" s="16">
        <f>H224-J224</f>
        <v>-14727.910000000047</v>
      </c>
      <c r="L224" s="14" t="s">
        <v>14</v>
      </c>
      <c r="M224" t="s">
        <v>16</v>
      </c>
      <c r="N224">
        <f>IF(L224=M224,0,1)</f>
        <v>1</v>
      </c>
    </row>
    <row r="225" spans="1:14" x14ac:dyDescent="0.25">
      <c r="A225" s="11">
        <v>401</v>
      </c>
      <c r="B225" s="15" t="s">
        <v>234</v>
      </c>
      <c r="C225" s="14" t="s">
        <v>4</v>
      </c>
      <c r="D225" s="12">
        <v>45868</v>
      </c>
      <c r="E225" s="11" t="s">
        <v>246</v>
      </c>
      <c r="F225" s="13"/>
      <c r="G225" s="11">
        <v>1502.11</v>
      </c>
      <c r="H225" s="11">
        <v>1791.64</v>
      </c>
      <c r="I225" s="11">
        <f>F225-G225</f>
        <v>-1502.11</v>
      </c>
      <c r="J225" s="1">
        <f>J224+I225</f>
        <v>16519.550000000047</v>
      </c>
      <c r="K225" s="16">
        <f>H225-J225</f>
        <v>-14727.910000000047</v>
      </c>
      <c r="L225" s="14" t="s">
        <v>14</v>
      </c>
      <c r="M225" t="s">
        <v>270</v>
      </c>
      <c r="N225">
        <f>IF(L225=M225,0,1)</f>
        <v>1</v>
      </c>
    </row>
    <row r="226" spans="1:14" x14ac:dyDescent="0.25">
      <c r="A226" s="11">
        <v>411</v>
      </c>
      <c r="B226" s="15" t="s">
        <v>234</v>
      </c>
      <c r="C226" s="14" t="s">
        <v>4</v>
      </c>
      <c r="D226" s="12">
        <v>45945</v>
      </c>
      <c r="E226" s="11" t="s">
        <v>253</v>
      </c>
      <c r="F226" s="13"/>
      <c r="G226" s="11">
        <v>192.75</v>
      </c>
      <c r="H226" s="11">
        <v>346.11</v>
      </c>
      <c r="I226" s="11">
        <f>F226-G226</f>
        <v>-192.75</v>
      </c>
      <c r="J226" s="1">
        <f>J225+I226</f>
        <v>16326.800000000047</v>
      </c>
      <c r="K226" s="16">
        <f>H226-J226</f>
        <v>-15980.690000000046</v>
      </c>
      <c r="L226" s="14" t="s">
        <v>14</v>
      </c>
      <c r="M226" t="s">
        <v>17</v>
      </c>
      <c r="N226">
        <f>IF(L226=M226,0,1)</f>
        <v>1</v>
      </c>
    </row>
    <row r="227" spans="1:14" hidden="1" x14ac:dyDescent="0.25">
      <c r="A227" s="11">
        <v>377</v>
      </c>
      <c r="B227" s="15" t="s">
        <v>114</v>
      </c>
      <c r="C227" s="14" t="s">
        <v>3</v>
      </c>
      <c r="D227" s="12">
        <v>45688</v>
      </c>
      <c r="E227" s="11" t="s">
        <v>227</v>
      </c>
      <c r="F227" s="13"/>
      <c r="G227" s="11">
        <v>2.4500000000000002</v>
      </c>
      <c r="H227" s="11">
        <v>25136.3</v>
      </c>
      <c r="I227" s="11">
        <f>F227-G227</f>
        <v>-2.4500000000000002</v>
      </c>
      <c r="J227" s="1">
        <f>J226+I227</f>
        <v>16324.350000000046</v>
      </c>
      <c r="K227" s="16">
        <f>H227-J227</f>
        <v>8811.9499999999534</v>
      </c>
      <c r="L227" s="11" t="s">
        <v>7</v>
      </c>
      <c r="M227" t="s">
        <v>7</v>
      </c>
      <c r="N227">
        <f>IF(L227=M227,0,1)</f>
        <v>0</v>
      </c>
    </row>
    <row r="228" spans="1:14" x14ac:dyDescent="0.25">
      <c r="A228" s="11">
        <v>376</v>
      </c>
      <c r="B228" s="15" t="s">
        <v>114</v>
      </c>
      <c r="C228" s="14" t="s">
        <v>3</v>
      </c>
      <c r="D228" s="12">
        <v>45685</v>
      </c>
      <c r="E228" s="11" t="s">
        <v>226</v>
      </c>
      <c r="F228" s="13"/>
      <c r="G228" s="11">
        <v>4506.33</v>
      </c>
      <c r="H228" s="11">
        <v>25138.75</v>
      </c>
      <c r="I228" s="11">
        <f>F228-G228</f>
        <v>-4506.33</v>
      </c>
      <c r="J228" s="1">
        <f>J227+I228</f>
        <v>11818.020000000046</v>
      </c>
      <c r="K228" s="16">
        <f>H228-J228</f>
        <v>13320.729999999954</v>
      </c>
      <c r="L228" s="11" t="s">
        <v>15</v>
      </c>
      <c r="M228" t="s">
        <v>270</v>
      </c>
      <c r="N228">
        <f>IF(L228=M228,0,1)</f>
        <v>1</v>
      </c>
    </row>
    <row r="229" spans="1:14" x14ac:dyDescent="0.25">
      <c r="A229" s="11">
        <v>364</v>
      </c>
      <c r="B229" s="15" t="s">
        <v>114</v>
      </c>
      <c r="C229" s="14" t="s">
        <v>3</v>
      </c>
      <c r="D229" s="12">
        <v>45629</v>
      </c>
      <c r="E229" s="11" t="s">
        <v>218</v>
      </c>
      <c r="F229" s="13"/>
      <c r="G229" s="11">
        <v>1000</v>
      </c>
      <c r="H229" s="11">
        <v>20544.439999999999</v>
      </c>
      <c r="I229" s="11">
        <f>F229-G229</f>
        <v>-1000</v>
      </c>
      <c r="J229" s="1">
        <f>J228+I229</f>
        <v>10818.020000000046</v>
      </c>
      <c r="K229" s="16">
        <f>H229-J229</f>
        <v>9726.4199999999528</v>
      </c>
      <c r="L229" s="14" t="s">
        <v>21</v>
      </c>
      <c r="M229" t="s">
        <v>10</v>
      </c>
      <c r="N229">
        <f>IF(L229=M229,0,1)</f>
        <v>1</v>
      </c>
    </row>
    <row r="230" spans="1:14" hidden="1" x14ac:dyDescent="0.25">
      <c r="A230" s="11">
        <v>380</v>
      </c>
      <c r="B230" s="15" t="s">
        <v>114</v>
      </c>
      <c r="C230" s="14" t="s">
        <v>3</v>
      </c>
      <c r="D230" s="12">
        <v>45716</v>
      </c>
      <c r="E230" s="11" t="s">
        <v>229</v>
      </c>
      <c r="F230" s="13"/>
      <c r="G230" s="11">
        <v>2.1</v>
      </c>
      <c r="H230" s="11">
        <v>24394.7</v>
      </c>
      <c r="I230" s="11">
        <f>F230-G230</f>
        <v>-2.1</v>
      </c>
      <c r="J230" s="1">
        <f>J229+I230</f>
        <v>10815.920000000046</v>
      </c>
      <c r="K230" s="16">
        <f>H230-J230</f>
        <v>13578.779999999955</v>
      </c>
      <c r="L230" s="11" t="s">
        <v>7</v>
      </c>
      <c r="M230" t="s">
        <v>7</v>
      </c>
      <c r="N230">
        <f>IF(L230=M230,0,1)</f>
        <v>0</v>
      </c>
    </row>
    <row r="231" spans="1:14" x14ac:dyDescent="0.25">
      <c r="A231" s="11">
        <v>373</v>
      </c>
      <c r="B231" s="15" t="s">
        <v>114</v>
      </c>
      <c r="C231" s="14" t="s">
        <v>3</v>
      </c>
      <c r="D231" s="12">
        <v>45679</v>
      </c>
      <c r="E231" s="11" t="s">
        <v>223</v>
      </c>
      <c r="F231" s="13"/>
      <c r="G231" s="11">
        <v>1288</v>
      </c>
      <c r="H231" s="11">
        <v>29617.27</v>
      </c>
      <c r="I231" s="11">
        <f>F231-G231</f>
        <v>-1288</v>
      </c>
      <c r="J231" s="1">
        <f>J230+I231</f>
        <v>9527.9200000000455</v>
      </c>
      <c r="K231" s="16">
        <f>H231-J231</f>
        <v>20089.349999999955</v>
      </c>
      <c r="L231" s="14" t="s">
        <v>21</v>
      </c>
      <c r="M231" t="s">
        <v>10</v>
      </c>
      <c r="N231">
        <f>IF(L231=M231,0,1)</f>
        <v>1</v>
      </c>
    </row>
    <row r="232" spans="1:14" x14ac:dyDescent="0.25">
      <c r="A232" s="11">
        <v>375</v>
      </c>
      <c r="B232" s="15" t="s">
        <v>114</v>
      </c>
      <c r="C232" s="14" t="s">
        <v>3</v>
      </c>
      <c r="D232" s="12">
        <v>45685</v>
      </c>
      <c r="E232" s="11" t="s">
        <v>225</v>
      </c>
      <c r="F232" s="13"/>
      <c r="G232" s="11">
        <v>45.19</v>
      </c>
      <c r="H232" s="11">
        <v>29645.08</v>
      </c>
      <c r="I232" s="11">
        <f>F232-G232</f>
        <v>-45.19</v>
      </c>
      <c r="J232" s="1">
        <f>J231+I232</f>
        <v>9482.730000000045</v>
      </c>
      <c r="K232" s="16">
        <f>H232-J232</f>
        <v>20162.349999999955</v>
      </c>
      <c r="L232" s="14" t="s">
        <v>21</v>
      </c>
      <c r="M232" t="s">
        <v>10</v>
      </c>
      <c r="N232">
        <f>IF(L232=M232,0,1)</f>
        <v>1</v>
      </c>
    </row>
    <row r="233" spans="1:14" x14ac:dyDescent="0.25">
      <c r="A233" s="11">
        <v>379</v>
      </c>
      <c r="B233" s="15" t="s">
        <v>114</v>
      </c>
      <c r="C233" s="14" t="s">
        <v>3</v>
      </c>
      <c r="D233" s="12">
        <v>45709</v>
      </c>
      <c r="E233" s="11" t="s">
        <v>228</v>
      </c>
      <c r="F233" s="13"/>
      <c r="G233" s="11">
        <v>736</v>
      </c>
      <c r="H233" s="11">
        <v>24396.799999999999</v>
      </c>
      <c r="I233" s="11">
        <f>F233-G233</f>
        <v>-736</v>
      </c>
      <c r="J233" s="1">
        <f>J232+I233</f>
        <v>8746.730000000045</v>
      </c>
      <c r="K233" s="16">
        <f>H233-J233</f>
        <v>15650.069999999954</v>
      </c>
      <c r="L233" s="14" t="s">
        <v>21</v>
      </c>
      <c r="M233" t="s">
        <v>10</v>
      </c>
      <c r="N233">
        <f>IF(L233=M233,0,1)</f>
        <v>1</v>
      </c>
    </row>
    <row r="234" spans="1:14" x14ac:dyDescent="0.25">
      <c r="A234" s="11">
        <v>383</v>
      </c>
      <c r="B234" s="15" t="s">
        <v>114</v>
      </c>
      <c r="C234" s="14" t="s">
        <v>3</v>
      </c>
      <c r="D234" s="12">
        <v>45736</v>
      </c>
      <c r="E234" s="11" t="s">
        <v>231</v>
      </c>
      <c r="F234" s="13"/>
      <c r="G234" s="11">
        <v>736</v>
      </c>
      <c r="H234" s="11">
        <v>23240.2</v>
      </c>
      <c r="I234" s="11">
        <f>F234-G234</f>
        <v>-736</v>
      </c>
      <c r="J234" s="1">
        <f>J233+I234</f>
        <v>8010.730000000045</v>
      </c>
      <c r="K234" s="16">
        <f>H234-J234</f>
        <v>15229.469999999956</v>
      </c>
      <c r="L234" s="14" t="s">
        <v>21</v>
      </c>
      <c r="M234" t="s">
        <v>10</v>
      </c>
      <c r="N234">
        <f>IF(L234=M234,0,1)</f>
        <v>1</v>
      </c>
    </row>
    <row r="235" spans="1:14" hidden="1" x14ac:dyDescent="0.25">
      <c r="A235" s="11">
        <v>385</v>
      </c>
      <c r="B235" s="15" t="s">
        <v>114</v>
      </c>
      <c r="C235" s="14" t="s">
        <v>3</v>
      </c>
      <c r="D235" s="12">
        <v>45747</v>
      </c>
      <c r="E235" s="11" t="s">
        <v>233</v>
      </c>
      <c r="F235" s="13"/>
      <c r="G235" s="11">
        <v>0.7</v>
      </c>
      <c r="H235" s="11">
        <v>22489.5</v>
      </c>
      <c r="I235" s="11">
        <f>F235-G235</f>
        <v>-0.7</v>
      </c>
      <c r="J235" s="1">
        <f>J234+I235</f>
        <v>8010.0300000000452</v>
      </c>
      <c r="K235" s="16">
        <f>H235-J235</f>
        <v>14479.469999999954</v>
      </c>
      <c r="L235" s="11" t="s">
        <v>7</v>
      </c>
      <c r="M235" t="s">
        <v>7</v>
      </c>
      <c r="N235">
        <f>IF(L235=M235,0,1)</f>
        <v>0</v>
      </c>
    </row>
    <row r="236" spans="1:14" x14ac:dyDescent="0.25">
      <c r="A236" s="11">
        <v>384</v>
      </c>
      <c r="B236" s="15" t="s">
        <v>114</v>
      </c>
      <c r="C236" s="14" t="s">
        <v>3</v>
      </c>
      <c r="D236" s="12">
        <v>45741</v>
      </c>
      <c r="E236" s="11" t="s">
        <v>232</v>
      </c>
      <c r="F236" s="13"/>
      <c r="G236" s="11">
        <v>750</v>
      </c>
      <c r="H236" s="11">
        <v>22490.2</v>
      </c>
      <c r="I236" s="11">
        <f>F236-G236</f>
        <v>-750</v>
      </c>
      <c r="J236" s="1">
        <f>J235+I236</f>
        <v>7260.0300000000452</v>
      </c>
      <c r="K236" s="16">
        <f>H236-J236</f>
        <v>15230.169999999955</v>
      </c>
      <c r="L236" s="14" t="s">
        <v>21</v>
      </c>
      <c r="M236" t="s">
        <v>6</v>
      </c>
      <c r="N236">
        <f>IF(L236=M236,0,1)</f>
        <v>1</v>
      </c>
    </row>
    <row r="237" spans="1:14" x14ac:dyDescent="0.25">
      <c r="A237" s="11">
        <v>388</v>
      </c>
      <c r="B237" s="15" t="s">
        <v>234</v>
      </c>
      <c r="C237" s="14" t="s">
        <v>4</v>
      </c>
      <c r="D237" s="12">
        <v>45769</v>
      </c>
      <c r="E237" s="11" t="s">
        <v>236</v>
      </c>
      <c r="F237" s="13"/>
      <c r="G237" s="11">
        <v>736</v>
      </c>
      <c r="H237" s="11">
        <v>21316.33</v>
      </c>
      <c r="I237" s="11">
        <f>F237-G237</f>
        <v>-736</v>
      </c>
      <c r="J237" s="1">
        <f>J236+I237</f>
        <v>6524.0300000000452</v>
      </c>
      <c r="K237" s="16">
        <f>H237-J237</f>
        <v>14792.299999999956</v>
      </c>
      <c r="L237" s="14" t="s">
        <v>21</v>
      </c>
      <c r="M237" t="s">
        <v>10</v>
      </c>
      <c r="N237">
        <f>IF(L237=M237,0,1)</f>
        <v>1</v>
      </c>
    </row>
    <row r="238" spans="1:14" x14ac:dyDescent="0.25">
      <c r="A238" s="11">
        <v>391</v>
      </c>
      <c r="B238" s="15" t="s">
        <v>234</v>
      </c>
      <c r="C238" s="14" t="s">
        <v>4</v>
      </c>
      <c r="D238" s="12">
        <v>45790</v>
      </c>
      <c r="E238" s="11" t="s">
        <v>238</v>
      </c>
      <c r="F238" s="13"/>
      <c r="G238" s="11">
        <v>1000</v>
      </c>
      <c r="H238" s="11">
        <v>20311.080000000002</v>
      </c>
      <c r="I238" s="11">
        <f>F238-G238</f>
        <v>-1000</v>
      </c>
      <c r="J238" s="1">
        <f>J237+I238</f>
        <v>5524.0300000000452</v>
      </c>
      <c r="K238" s="16">
        <f>H238-J238</f>
        <v>14787.049999999956</v>
      </c>
      <c r="L238" s="14" t="s">
        <v>21</v>
      </c>
      <c r="M238" t="s">
        <v>10</v>
      </c>
      <c r="N238">
        <f>IF(L238=M238,0,1)</f>
        <v>1</v>
      </c>
    </row>
    <row r="239" spans="1:14" hidden="1" x14ac:dyDescent="0.25">
      <c r="A239" s="11">
        <v>389</v>
      </c>
      <c r="B239" s="15" t="s">
        <v>234</v>
      </c>
      <c r="C239" s="14" t="s">
        <v>4</v>
      </c>
      <c r="D239" s="12">
        <v>45777</v>
      </c>
      <c r="E239" s="11" t="s">
        <v>237</v>
      </c>
      <c r="F239" s="13"/>
      <c r="G239" s="11">
        <v>1.75</v>
      </c>
      <c r="H239" s="11">
        <v>21314.58</v>
      </c>
      <c r="I239" s="11">
        <f>F239-G239</f>
        <v>-1.75</v>
      </c>
      <c r="J239" s="1">
        <f>J238+I239</f>
        <v>5522.2800000000452</v>
      </c>
      <c r="K239" s="16">
        <f>H239-J239</f>
        <v>15792.299999999956</v>
      </c>
      <c r="L239" s="11" t="s">
        <v>7</v>
      </c>
      <c r="M239" t="s">
        <v>7</v>
      </c>
      <c r="N239">
        <f>IF(L239=M239,0,1)</f>
        <v>0</v>
      </c>
    </row>
    <row r="240" spans="1:14" x14ac:dyDescent="0.25">
      <c r="A240" s="11">
        <v>392</v>
      </c>
      <c r="B240" s="15" t="s">
        <v>234</v>
      </c>
      <c r="C240" s="14" t="s">
        <v>4</v>
      </c>
      <c r="D240" s="12">
        <v>45804</v>
      </c>
      <c r="E240" s="11" t="s">
        <v>239</v>
      </c>
      <c r="F240" s="13"/>
      <c r="G240" s="11">
        <v>737</v>
      </c>
      <c r="H240" s="11">
        <v>19574.080000000002</v>
      </c>
      <c r="I240" s="11">
        <f>F240-G240</f>
        <v>-737</v>
      </c>
      <c r="J240" s="1">
        <f>J239+I240</f>
        <v>4785.2800000000452</v>
      </c>
      <c r="K240" s="16">
        <f>H240-J240</f>
        <v>14788.799999999956</v>
      </c>
      <c r="L240" s="14" t="s">
        <v>21</v>
      </c>
      <c r="M240" t="s">
        <v>10</v>
      </c>
      <c r="N240">
        <f>IF(L240=M240,0,1)</f>
        <v>1</v>
      </c>
    </row>
    <row r="241" spans="1:14" x14ac:dyDescent="0.25">
      <c r="A241" s="11">
        <v>395</v>
      </c>
      <c r="B241" s="15" t="s">
        <v>234</v>
      </c>
      <c r="C241" s="14" t="s">
        <v>4</v>
      </c>
      <c r="D241" s="12">
        <v>45828</v>
      </c>
      <c r="E241" s="11" t="s">
        <v>241</v>
      </c>
      <c r="F241" s="13"/>
      <c r="G241" s="11">
        <v>2000</v>
      </c>
      <c r="H241" s="11">
        <v>17569.53</v>
      </c>
      <c r="I241" s="11">
        <f>F241-G241</f>
        <v>-2000</v>
      </c>
      <c r="J241" s="1">
        <f>J240+I241</f>
        <v>2785.2800000000452</v>
      </c>
      <c r="K241" s="16">
        <f>H241-J241</f>
        <v>14784.249999999953</v>
      </c>
      <c r="L241" s="14" t="s">
        <v>21</v>
      </c>
      <c r="M241" t="s">
        <v>10</v>
      </c>
      <c r="N241">
        <f>IF(L241=M241,0,1)</f>
        <v>1</v>
      </c>
    </row>
    <row r="242" spans="1:14" x14ac:dyDescent="0.25">
      <c r="A242" s="11">
        <v>399</v>
      </c>
      <c r="B242" s="15" t="s">
        <v>234</v>
      </c>
      <c r="C242" s="14" t="s">
        <v>4</v>
      </c>
      <c r="D242" s="12">
        <v>45866</v>
      </c>
      <c r="E242" s="11" t="s">
        <v>244</v>
      </c>
      <c r="F242" s="13"/>
      <c r="G242" s="11">
        <v>700</v>
      </c>
      <c r="H242" s="11">
        <v>16752.830000000002</v>
      </c>
      <c r="I242" s="11">
        <f>F242-G242</f>
        <v>-700</v>
      </c>
      <c r="J242" s="1">
        <f>J241+I242</f>
        <v>2085.2800000000452</v>
      </c>
      <c r="K242" s="16">
        <f>H242-J242</f>
        <v>14667.549999999956</v>
      </c>
      <c r="L242" s="14" t="s">
        <v>21</v>
      </c>
      <c r="M242" t="s">
        <v>10</v>
      </c>
      <c r="N242">
        <f>IF(L242=M242,0,1)</f>
        <v>1</v>
      </c>
    </row>
    <row r="243" spans="1:14" hidden="1" x14ac:dyDescent="0.25">
      <c r="A243" s="11">
        <v>393</v>
      </c>
      <c r="B243" s="15" t="s">
        <v>234</v>
      </c>
      <c r="C243" s="14" t="s">
        <v>4</v>
      </c>
      <c r="D243" s="12">
        <v>45807</v>
      </c>
      <c r="E243" s="11" t="s">
        <v>240</v>
      </c>
      <c r="F243" s="13"/>
      <c r="G243" s="11">
        <v>1.05</v>
      </c>
      <c r="H243" s="11">
        <v>19573.03</v>
      </c>
      <c r="I243" s="11">
        <f>F243-G243</f>
        <v>-1.05</v>
      </c>
      <c r="J243" s="1">
        <f>J242+I243</f>
        <v>2084.230000000045</v>
      </c>
      <c r="K243" s="16">
        <f>H243-J243</f>
        <v>17488.799999999952</v>
      </c>
      <c r="L243" s="11" t="s">
        <v>7</v>
      </c>
      <c r="M243" t="s">
        <v>7</v>
      </c>
      <c r="N243">
        <f>IF(L243=M243,0,1)</f>
        <v>0</v>
      </c>
    </row>
    <row r="244" spans="1:14" x14ac:dyDescent="0.25">
      <c r="A244" s="11">
        <v>404</v>
      </c>
      <c r="B244" s="15" t="s">
        <v>234</v>
      </c>
      <c r="C244" s="14" t="s">
        <v>4</v>
      </c>
      <c r="D244" s="12">
        <v>45875</v>
      </c>
      <c r="E244" s="11" t="s">
        <v>248</v>
      </c>
      <c r="F244" s="13"/>
      <c r="G244" s="11">
        <v>39</v>
      </c>
      <c r="H244" s="11">
        <v>1747.74</v>
      </c>
      <c r="I244" s="11">
        <f>F244-G244</f>
        <v>-39</v>
      </c>
      <c r="J244" s="1">
        <f>J243+I244</f>
        <v>2045.230000000045</v>
      </c>
      <c r="K244" s="16">
        <f>H244-J244</f>
        <v>-297.49000000004503</v>
      </c>
      <c r="L244" s="14" t="s">
        <v>21</v>
      </c>
      <c r="M244" t="s">
        <v>6</v>
      </c>
      <c r="N244">
        <f>IF(L244=M244,0,1)</f>
        <v>1</v>
      </c>
    </row>
    <row r="245" spans="1:14" x14ac:dyDescent="0.25">
      <c r="A245" s="11">
        <v>407</v>
      </c>
      <c r="B245" s="15" t="s">
        <v>234</v>
      </c>
      <c r="C245" s="14" t="s">
        <v>4</v>
      </c>
      <c r="D245" s="12">
        <v>45903</v>
      </c>
      <c r="E245" s="11" t="s">
        <v>250</v>
      </c>
      <c r="F245" s="13"/>
      <c r="G245" s="11">
        <v>700</v>
      </c>
      <c r="H245" s="11">
        <v>1042.8399999999999</v>
      </c>
      <c r="I245" s="11">
        <f>F245-G245</f>
        <v>-700</v>
      </c>
      <c r="J245" s="1">
        <f>J244+I245</f>
        <v>1345.230000000045</v>
      </c>
      <c r="K245" s="16">
        <f>H245-J245</f>
        <v>-302.39000000004512</v>
      </c>
      <c r="L245" s="14" t="s">
        <v>21</v>
      </c>
      <c r="M245" t="s">
        <v>10</v>
      </c>
      <c r="N245">
        <f>IF(L245=M245,0,1)</f>
        <v>1</v>
      </c>
    </row>
    <row r="246" spans="1:14" hidden="1" x14ac:dyDescent="0.25">
      <c r="A246" s="11">
        <v>396</v>
      </c>
      <c r="B246" s="15" t="s">
        <v>234</v>
      </c>
      <c r="C246" s="14" t="s">
        <v>4</v>
      </c>
      <c r="D246" s="12">
        <v>45838</v>
      </c>
      <c r="E246" s="11" t="s">
        <v>242</v>
      </c>
      <c r="F246" s="13"/>
      <c r="G246" s="11">
        <v>0.7</v>
      </c>
      <c r="H246" s="11">
        <v>17568.830000000002</v>
      </c>
      <c r="I246" s="11">
        <f>F246-G246</f>
        <v>-0.7</v>
      </c>
      <c r="J246" s="1">
        <f>J245+I246</f>
        <v>1344.530000000045</v>
      </c>
      <c r="K246" s="16">
        <f>H246-J246</f>
        <v>16224.299999999957</v>
      </c>
      <c r="L246" s="11" t="s">
        <v>7</v>
      </c>
      <c r="M246" t="s">
        <v>7</v>
      </c>
      <c r="N246">
        <f>IF(L246=M246,0,1)</f>
        <v>0</v>
      </c>
    </row>
    <row r="247" spans="1:14" x14ac:dyDescent="0.25">
      <c r="A247" s="11">
        <v>410</v>
      </c>
      <c r="B247" s="15" t="s">
        <v>234</v>
      </c>
      <c r="C247" s="14" t="s">
        <v>4</v>
      </c>
      <c r="D247" s="12">
        <v>45937</v>
      </c>
      <c r="E247" s="11" t="s">
        <v>252</v>
      </c>
      <c r="F247" s="13"/>
      <c r="G247" s="11">
        <v>500</v>
      </c>
      <c r="H247" s="11">
        <v>538.86</v>
      </c>
      <c r="I247" s="11">
        <f>F247-G247</f>
        <v>-500</v>
      </c>
      <c r="J247" s="1">
        <f>J246+I247</f>
        <v>844.53000000004499</v>
      </c>
      <c r="K247" s="16">
        <f>H247-J247</f>
        <v>-305.67000000004498</v>
      </c>
      <c r="L247" s="14" t="s">
        <v>21</v>
      </c>
      <c r="M247" t="s">
        <v>10</v>
      </c>
      <c r="N247">
        <f>IF(L247=M247,0,1)</f>
        <v>1</v>
      </c>
    </row>
    <row r="248" spans="1:14" hidden="1" x14ac:dyDescent="0.25">
      <c r="A248" s="11">
        <v>398</v>
      </c>
      <c r="B248" s="15" t="s">
        <v>234</v>
      </c>
      <c r="C248" s="14" t="s">
        <v>4</v>
      </c>
      <c r="D248" s="12">
        <v>45841</v>
      </c>
      <c r="E248" s="11" t="s">
        <v>243</v>
      </c>
      <c r="F248" s="13"/>
      <c r="G248" s="11">
        <v>112.5</v>
      </c>
      <c r="H248" s="11">
        <v>17452.830000000002</v>
      </c>
      <c r="I248" s="11">
        <f>F248-G248</f>
        <v>-112.5</v>
      </c>
      <c r="J248" s="1">
        <f>J247+I248</f>
        <v>732.03000000004499</v>
      </c>
      <c r="K248" s="16">
        <f>H248-J248</f>
        <v>16720.799999999956</v>
      </c>
      <c r="L248" s="11" t="s">
        <v>18</v>
      </c>
      <c r="M248" t="s">
        <v>18</v>
      </c>
      <c r="N248">
        <f>IF(L248=M248,0,1)</f>
        <v>0</v>
      </c>
    </row>
    <row r="249" spans="1:14" x14ac:dyDescent="0.25">
      <c r="A249" s="11">
        <v>415</v>
      </c>
      <c r="B249" s="15" t="s">
        <v>234</v>
      </c>
      <c r="C249" s="14" t="s">
        <v>4</v>
      </c>
      <c r="D249" s="12">
        <v>45964</v>
      </c>
      <c r="E249" s="11" t="s">
        <v>256</v>
      </c>
      <c r="F249" s="13"/>
      <c r="G249" s="11">
        <v>400</v>
      </c>
      <c r="H249" s="11">
        <v>358.9</v>
      </c>
      <c r="I249" s="11">
        <f>F249-G249</f>
        <v>-400</v>
      </c>
      <c r="J249" s="1">
        <f>J248+I249</f>
        <v>332.03000000004499</v>
      </c>
      <c r="K249" s="16">
        <f>H249-J249</f>
        <v>26.869999999954985</v>
      </c>
      <c r="L249" s="14" t="s">
        <v>21</v>
      </c>
      <c r="M249" t="s">
        <v>10</v>
      </c>
      <c r="N249">
        <f>IF(L249=M249,0,1)</f>
        <v>1</v>
      </c>
    </row>
    <row r="250" spans="1:14" x14ac:dyDescent="0.25">
      <c r="A250" s="11">
        <v>422</v>
      </c>
      <c r="B250" s="15" t="s">
        <v>234</v>
      </c>
      <c r="C250" s="14" t="s">
        <v>4</v>
      </c>
      <c r="D250" s="12">
        <v>45988</v>
      </c>
      <c r="E250" s="11" t="s">
        <v>262</v>
      </c>
      <c r="F250" s="13"/>
      <c r="G250" s="11">
        <v>1200</v>
      </c>
      <c r="H250" s="11">
        <v>624.04</v>
      </c>
      <c r="I250" s="11">
        <f>F250-G250</f>
        <v>-1200</v>
      </c>
      <c r="J250" s="1">
        <f>J249+I250</f>
        <v>-867.96999999995501</v>
      </c>
      <c r="K250" s="16">
        <f>H250-J250</f>
        <v>1492.009999999955</v>
      </c>
      <c r="L250" s="14" t="s">
        <v>21</v>
      </c>
      <c r="M250" t="s">
        <v>10</v>
      </c>
      <c r="N250">
        <f>IF(L250=M250,0,1)</f>
        <v>1</v>
      </c>
    </row>
    <row r="251" spans="1:14" x14ac:dyDescent="0.25">
      <c r="A251" s="11">
        <v>419</v>
      </c>
      <c r="B251" s="15" t="s">
        <v>234</v>
      </c>
      <c r="C251" s="14" t="s">
        <v>4</v>
      </c>
      <c r="D251" s="12">
        <v>45985</v>
      </c>
      <c r="E251" s="11" t="s">
        <v>259</v>
      </c>
      <c r="F251" s="13"/>
      <c r="G251" s="11">
        <v>3</v>
      </c>
      <c r="H251" s="11">
        <v>2092.23</v>
      </c>
      <c r="I251" s="11">
        <f>F251-G251</f>
        <v>-3</v>
      </c>
      <c r="J251" s="1">
        <f>J250+I251</f>
        <v>-870.96999999995501</v>
      </c>
      <c r="K251" s="16">
        <f>H251-J251</f>
        <v>2963.1999999999553</v>
      </c>
      <c r="L251" s="11" t="s">
        <v>22</v>
      </c>
      <c r="M251" t="s">
        <v>30</v>
      </c>
      <c r="N251">
        <f>IF(L251=M251,0,1)</f>
        <v>1</v>
      </c>
    </row>
    <row r="252" spans="1:14" hidden="1" x14ac:dyDescent="0.25">
      <c r="A252" s="11">
        <v>402</v>
      </c>
      <c r="B252" s="15" t="s">
        <v>234</v>
      </c>
      <c r="C252" s="14" t="s">
        <v>4</v>
      </c>
      <c r="D252" s="12">
        <v>45869</v>
      </c>
      <c r="E252" s="11" t="s">
        <v>247</v>
      </c>
      <c r="F252" s="13"/>
      <c r="G252" s="11">
        <v>1.4</v>
      </c>
      <c r="H252" s="11">
        <v>1790.24</v>
      </c>
      <c r="I252" s="11">
        <f>F252-G252</f>
        <v>-1.4</v>
      </c>
      <c r="J252" s="1">
        <f>J251+I252</f>
        <v>-872.36999999995498</v>
      </c>
      <c r="K252" s="16">
        <f>H252-J252</f>
        <v>2662.6099999999551</v>
      </c>
      <c r="L252" s="11" t="s">
        <v>7</v>
      </c>
      <c r="M252" t="s">
        <v>7</v>
      </c>
      <c r="N252">
        <f>IF(L252=M252,0,1)</f>
        <v>0</v>
      </c>
    </row>
    <row r="253" spans="1:14" x14ac:dyDescent="0.25">
      <c r="A253" s="11">
        <v>421</v>
      </c>
      <c r="B253" s="15" t="s">
        <v>234</v>
      </c>
      <c r="C253" s="14" t="s">
        <v>4</v>
      </c>
      <c r="D253" s="12">
        <v>45987</v>
      </c>
      <c r="E253" s="11" t="s">
        <v>261</v>
      </c>
      <c r="F253" s="13"/>
      <c r="G253" s="11">
        <v>3</v>
      </c>
      <c r="H253" s="11">
        <v>1824.04</v>
      </c>
      <c r="I253" s="11">
        <f>F253-G253</f>
        <v>-3</v>
      </c>
      <c r="J253" s="1">
        <f>J252+I253</f>
        <v>-875.36999999995498</v>
      </c>
      <c r="K253" s="16">
        <f>H253-J253</f>
        <v>2699.4099999999548</v>
      </c>
      <c r="L253" s="11" t="s">
        <v>22</v>
      </c>
      <c r="M253" t="s">
        <v>30</v>
      </c>
      <c r="N253">
        <f>IF(L253=M253,0,1)</f>
        <v>1</v>
      </c>
    </row>
    <row r="254" spans="1:14" x14ac:dyDescent="0.25">
      <c r="A254" s="11">
        <v>427</v>
      </c>
      <c r="B254" s="15" t="s">
        <v>234</v>
      </c>
      <c r="C254" s="14" t="s">
        <v>4</v>
      </c>
      <c r="D254" s="12">
        <v>45992</v>
      </c>
      <c r="E254" s="11" t="s">
        <v>267</v>
      </c>
      <c r="F254" s="13"/>
      <c r="G254" s="11">
        <v>3</v>
      </c>
      <c r="H254" s="11">
        <v>1505.14</v>
      </c>
      <c r="I254" s="11">
        <f>F254-G254</f>
        <v>-3</v>
      </c>
      <c r="J254" s="1">
        <f>J253+I254</f>
        <v>-878.36999999995498</v>
      </c>
      <c r="K254" s="16">
        <f>H254-J254</f>
        <v>2383.5099999999552</v>
      </c>
      <c r="L254" s="11" t="s">
        <v>22</v>
      </c>
      <c r="M254" t="s">
        <v>271</v>
      </c>
      <c r="N254">
        <f>IF(L254=M254,0,1)</f>
        <v>1</v>
      </c>
    </row>
    <row r="255" spans="1:14" hidden="1" x14ac:dyDescent="0.25">
      <c r="A255" s="11">
        <v>405</v>
      </c>
      <c r="B255" s="15" t="s">
        <v>234</v>
      </c>
      <c r="C255" s="14" t="s">
        <v>4</v>
      </c>
      <c r="D255" s="12">
        <v>45898</v>
      </c>
      <c r="E255" s="11" t="s">
        <v>249</v>
      </c>
      <c r="F255" s="13"/>
      <c r="G255" s="11">
        <v>1.4</v>
      </c>
      <c r="H255" s="11">
        <v>1746.34</v>
      </c>
      <c r="I255" s="11">
        <f>F255-G255</f>
        <v>-1.4</v>
      </c>
      <c r="J255" s="1">
        <f>J254+I255</f>
        <v>-879.76999999995496</v>
      </c>
      <c r="K255" s="16">
        <f>H255-J255</f>
        <v>2626.1099999999551</v>
      </c>
      <c r="L255" s="11" t="s">
        <v>7</v>
      </c>
      <c r="M255" t="s">
        <v>7</v>
      </c>
      <c r="N255">
        <f>IF(L255=M255,0,1)</f>
        <v>0</v>
      </c>
    </row>
    <row r="256" spans="1:14" x14ac:dyDescent="0.25">
      <c r="A256" s="11">
        <v>365</v>
      </c>
      <c r="B256" s="15" t="s">
        <v>114</v>
      </c>
      <c r="C256" s="14" t="s">
        <v>3</v>
      </c>
      <c r="D256" s="12">
        <v>45631</v>
      </c>
      <c r="E256" s="11" t="s">
        <v>62</v>
      </c>
      <c r="F256" s="13"/>
      <c r="G256" s="11">
        <v>26.33</v>
      </c>
      <c r="H256" s="11">
        <v>20518.11</v>
      </c>
      <c r="I256" s="11">
        <f>F256-G256</f>
        <v>-26.33</v>
      </c>
      <c r="J256" s="1">
        <f>J255+I256</f>
        <v>-906.099999999955</v>
      </c>
      <c r="K256" s="16">
        <f>H256-J256</f>
        <v>21424.209999999955</v>
      </c>
      <c r="L256" s="11" t="s">
        <v>27</v>
      </c>
      <c r="M256" t="s">
        <v>25</v>
      </c>
      <c r="N256">
        <f>IF(L256=M256,0,1)</f>
        <v>1</v>
      </c>
    </row>
    <row r="257" spans="1:14" x14ac:dyDescent="0.25">
      <c r="A257" s="11">
        <v>369</v>
      </c>
      <c r="B257" s="15" t="s">
        <v>114</v>
      </c>
      <c r="C257" s="14" t="s">
        <v>3</v>
      </c>
      <c r="D257" s="12">
        <v>45659</v>
      </c>
      <c r="E257" s="11" t="s">
        <v>62</v>
      </c>
      <c r="F257" s="13"/>
      <c r="G257" s="11">
        <v>3.47</v>
      </c>
      <c r="H257" s="11">
        <v>23307.19</v>
      </c>
      <c r="I257" s="11">
        <f>F257-G257</f>
        <v>-3.47</v>
      </c>
      <c r="J257" s="1">
        <f>J256+I257</f>
        <v>-909.56999999995503</v>
      </c>
      <c r="K257" s="16">
        <f>H257-J257</f>
        <v>24216.759999999955</v>
      </c>
      <c r="L257" s="11" t="s">
        <v>27</v>
      </c>
      <c r="M257" t="s">
        <v>25</v>
      </c>
      <c r="N257">
        <f>IF(L257=M257,0,1)</f>
        <v>1</v>
      </c>
    </row>
    <row r="258" spans="1:14" hidden="1" x14ac:dyDescent="0.25">
      <c r="A258" s="11">
        <v>408</v>
      </c>
      <c r="B258" s="15" t="s">
        <v>234</v>
      </c>
      <c r="C258" s="14" t="s">
        <v>4</v>
      </c>
      <c r="D258" s="12">
        <v>45930</v>
      </c>
      <c r="E258" s="11" t="s">
        <v>251</v>
      </c>
      <c r="F258" s="13"/>
      <c r="G258" s="11">
        <v>0.35</v>
      </c>
      <c r="H258" s="11">
        <v>1042.49</v>
      </c>
      <c r="I258" s="11">
        <f>F258-G258</f>
        <v>-0.35</v>
      </c>
      <c r="J258" s="1">
        <f>J257+I258</f>
        <v>-909.91999999995505</v>
      </c>
      <c r="K258" s="16">
        <f>H258-J258</f>
        <v>1952.4099999999551</v>
      </c>
      <c r="L258" s="11" t="s">
        <v>7</v>
      </c>
      <c r="M258" t="s">
        <v>7</v>
      </c>
      <c r="N258">
        <f>IF(L258=M258,0,1)</f>
        <v>0</v>
      </c>
    </row>
    <row r="259" spans="1:14" x14ac:dyDescent="0.25">
      <c r="A259" s="11">
        <v>378</v>
      </c>
      <c r="B259" s="15" t="s">
        <v>114</v>
      </c>
      <c r="C259" s="14" t="s">
        <v>3</v>
      </c>
      <c r="D259" s="12">
        <v>45691</v>
      </c>
      <c r="E259" s="11" t="s">
        <v>62</v>
      </c>
      <c r="F259" s="13"/>
      <c r="G259" s="11">
        <v>3.5</v>
      </c>
      <c r="H259" s="11">
        <v>25132.799999999999</v>
      </c>
      <c r="I259" s="11">
        <f>F259-G259</f>
        <v>-3.5</v>
      </c>
      <c r="J259" s="1">
        <f>J258+I259</f>
        <v>-913.41999999995505</v>
      </c>
      <c r="K259" s="16">
        <f>H259-J259</f>
        <v>26046.219999999954</v>
      </c>
      <c r="L259" s="11" t="s">
        <v>27</v>
      </c>
      <c r="M259" t="s">
        <v>25</v>
      </c>
      <c r="N259">
        <f>IF(L259=M259,0,1)</f>
        <v>1</v>
      </c>
    </row>
    <row r="260" spans="1:14" x14ac:dyDescent="0.25">
      <c r="A260" s="11">
        <v>381</v>
      </c>
      <c r="B260" s="15" t="s">
        <v>114</v>
      </c>
      <c r="C260" s="14" t="s">
        <v>3</v>
      </c>
      <c r="D260" s="12">
        <v>45719</v>
      </c>
      <c r="E260" s="11" t="s">
        <v>62</v>
      </c>
      <c r="F260" s="13"/>
      <c r="G260" s="11">
        <v>3.5</v>
      </c>
      <c r="H260" s="11">
        <v>24391.200000000001</v>
      </c>
      <c r="I260" s="11">
        <f>F260-G260</f>
        <v>-3.5</v>
      </c>
      <c r="J260" s="1">
        <f>J259+I260</f>
        <v>-916.91999999995505</v>
      </c>
      <c r="K260" s="16">
        <f>H260-J260</f>
        <v>25308.119999999955</v>
      </c>
      <c r="L260" s="11" t="s">
        <v>27</v>
      </c>
      <c r="M260" t="s">
        <v>25</v>
      </c>
      <c r="N260">
        <f>IF(L260=M260,0,1)</f>
        <v>1</v>
      </c>
    </row>
    <row r="261" spans="1:14" x14ac:dyDescent="0.25">
      <c r="A261" s="11">
        <v>382</v>
      </c>
      <c r="B261" s="15" t="s">
        <v>114</v>
      </c>
      <c r="C261" s="14" t="s">
        <v>3</v>
      </c>
      <c r="D261" s="12">
        <v>45726</v>
      </c>
      <c r="E261" s="11" t="s">
        <v>230</v>
      </c>
      <c r="F261" s="13"/>
      <c r="G261" s="11">
        <v>415</v>
      </c>
      <c r="H261" s="11">
        <v>23976.2</v>
      </c>
      <c r="I261" s="11">
        <f>F261-G261</f>
        <v>-415</v>
      </c>
      <c r="J261" s="1">
        <f>J260+I261</f>
        <v>-1331.9199999999551</v>
      </c>
      <c r="K261" s="16">
        <f>H261-J261</f>
        <v>25308.119999999955</v>
      </c>
      <c r="L261" s="11" t="s">
        <v>27</v>
      </c>
      <c r="M261" t="s">
        <v>26</v>
      </c>
      <c r="N261">
        <f>IF(L261=M261,0,1)</f>
        <v>1</v>
      </c>
    </row>
    <row r="262" spans="1:14" x14ac:dyDescent="0.25">
      <c r="A262" s="11">
        <v>386</v>
      </c>
      <c r="B262" s="15" t="s">
        <v>114</v>
      </c>
      <c r="C262" s="14" t="s">
        <v>3</v>
      </c>
      <c r="D262" s="12">
        <v>45748</v>
      </c>
      <c r="E262" s="11" t="s">
        <v>62</v>
      </c>
      <c r="F262" s="13"/>
      <c r="G262" s="11">
        <v>3.5</v>
      </c>
      <c r="H262" s="11">
        <v>22486</v>
      </c>
      <c r="I262" s="11">
        <f>F262-G262</f>
        <v>-3.5</v>
      </c>
      <c r="J262" s="1">
        <f>J261+I262</f>
        <v>-1335.4199999999551</v>
      </c>
      <c r="K262" s="16">
        <f>H262-J262</f>
        <v>23821.419999999955</v>
      </c>
      <c r="L262" s="11" t="s">
        <v>27</v>
      </c>
      <c r="M262" t="s">
        <v>25</v>
      </c>
      <c r="N262">
        <f>IF(L262=M262,0,1)</f>
        <v>1</v>
      </c>
    </row>
    <row r="263" spans="1:14" hidden="1" x14ac:dyDescent="0.25">
      <c r="A263" s="11">
        <v>413</v>
      </c>
      <c r="B263" s="15" t="s">
        <v>234</v>
      </c>
      <c r="C263" s="14" t="s">
        <v>4</v>
      </c>
      <c r="D263" s="12">
        <v>45959</v>
      </c>
      <c r="E263" s="11" t="s">
        <v>64</v>
      </c>
      <c r="F263" s="11">
        <v>500</v>
      </c>
      <c r="G263" s="13"/>
      <c r="H263" s="11">
        <v>759.95</v>
      </c>
      <c r="I263" s="11">
        <f>F263-G263</f>
        <v>500</v>
      </c>
      <c r="J263" s="1">
        <f>J262+I263</f>
        <v>-835.41999999995505</v>
      </c>
      <c r="K263" s="16">
        <f>H263-J263</f>
        <v>1595.3699999999551</v>
      </c>
      <c r="L263" s="11" t="s">
        <v>19</v>
      </c>
      <c r="M263" t="s">
        <v>19</v>
      </c>
      <c r="N263">
        <f>IF(L263=M263,0,1)</f>
        <v>0</v>
      </c>
    </row>
    <row r="264" spans="1:14" hidden="1" x14ac:dyDescent="0.25">
      <c r="A264" s="11">
        <v>414</v>
      </c>
      <c r="B264" s="15" t="s">
        <v>234</v>
      </c>
      <c r="C264" s="14" t="s">
        <v>4</v>
      </c>
      <c r="D264" s="12">
        <v>45961</v>
      </c>
      <c r="E264" s="11" t="s">
        <v>255</v>
      </c>
      <c r="F264" s="13"/>
      <c r="G264" s="11">
        <v>1.05</v>
      </c>
      <c r="H264" s="11">
        <v>758.9</v>
      </c>
      <c r="I264" s="11">
        <f>F264-G264</f>
        <v>-1.05</v>
      </c>
      <c r="J264" s="1">
        <f>J263+I264</f>
        <v>-836.46999999995501</v>
      </c>
      <c r="K264" s="16">
        <f>H264-J264</f>
        <v>1595.3699999999549</v>
      </c>
      <c r="L264" s="11" t="s">
        <v>7</v>
      </c>
      <c r="M264" t="s">
        <v>7</v>
      </c>
      <c r="N264">
        <f>IF(L264=M264,0,1)</f>
        <v>0</v>
      </c>
    </row>
    <row r="265" spans="1:14" x14ac:dyDescent="0.25">
      <c r="A265" s="11">
        <v>390</v>
      </c>
      <c r="B265" s="15" t="s">
        <v>234</v>
      </c>
      <c r="C265" s="14" t="s">
        <v>4</v>
      </c>
      <c r="D265" s="12">
        <v>45778</v>
      </c>
      <c r="E265" s="11" t="s">
        <v>62</v>
      </c>
      <c r="F265" s="13"/>
      <c r="G265" s="11">
        <v>3.5</v>
      </c>
      <c r="H265" s="11">
        <v>21311.08</v>
      </c>
      <c r="I265" s="11">
        <f>F265-G265</f>
        <v>-3.5</v>
      </c>
      <c r="J265" s="1">
        <f>J264+I265</f>
        <v>-839.96999999995501</v>
      </c>
      <c r="K265" s="16">
        <f>H265-J265</f>
        <v>22151.049999999956</v>
      </c>
      <c r="L265" s="11" t="s">
        <v>27</v>
      </c>
      <c r="M265" t="s">
        <v>25</v>
      </c>
      <c r="N265">
        <f>IF(L265=M265,0,1)</f>
        <v>1</v>
      </c>
    </row>
    <row r="266" spans="1:14" x14ac:dyDescent="0.25">
      <c r="A266" s="11">
        <v>394</v>
      </c>
      <c r="B266" s="15" t="s">
        <v>234</v>
      </c>
      <c r="C266" s="14" t="s">
        <v>4</v>
      </c>
      <c r="D266" s="12">
        <v>45810</v>
      </c>
      <c r="E266" s="11" t="s">
        <v>62</v>
      </c>
      <c r="F266" s="13"/>
      <c r="G266" s="11">
        <v>3.5</v>
      </c>
      <c r="H266" s="11">
        <v>19569.53</v>
      </c>
      <c r="I266" s="11">
        <f>F266-G266</f>
        <v>-3.5</v>
      </c>
      <c r="J266" s="1">
        <f>J265+I266</f>
        <v>-843.46999999995501</v>
      </c>
      <c r="K266" s="16">
        <f>H266-J266</f>
        <v>20412.999999999953</v>
      </c>
      <c r="L266" s="11" t="s">
        <v>27</v>
      </c>
      <c r="M266" t="s">
        <v>25</v>
      </c>
      <c r="N266">
        <f>IF(L266=M266,0,1)</f>
        <v>1</v>
      </c>
    </row>
    <row r="267" spans="1:14" hidden="1" x14ac:dyDescent="0.25">
      <c r="A267" s="11">
        <v>417</v>
      </c>
      <c r="B267" s="15" t="s">
        <v>234</v>
      </c>
      <c r="C267" s="14" t="s">
        <v>4</v>
      </c>
      <c r="D267" s="12">
        <v>45971</v>
      </c>
      <c r="E267" s="11" t="s">
        <v>257</v>
      </c>
      <c r="F267" s="11">
        <v>900</v>
      </c>
      <c r="G267" s="13"/>
      <c r="H267" s="11">
        <v>1255.23</v>
      </c>
      <c r="I267" s="11">
        <f>F267-G267</f>
        <v>900</v>
      </c>
      <c r="J267" s="1">
        <f>J266+I267</f>
        <v>56.530000000044993</v>
      </c>
      <c r="K267" s="16">
        <f>H267-J267</f>
        <v>1198.699999999955</v>
      </c>
      <c r="L267" s="11" t="s">
        <v>19</v>
      </c>
      <c r="M267" t="s">
        <v>19</v>
      </c>
      <c r="N267">
        <f>IF(L267=M267,0,1)</f>
        <v>0</v>
      </c>
    </row>
    <row r="268" spans="1:14" hidden="1" x14ac:dyDescent="0.25">
      <c r="A268" s="11">
        <v>418</v>
      </c>
      <c r="B268" s="15" t="s">
        <v>234</v>
      </c>
      <c r="C268" s="14" t="s">
        <v>4</v>
      </c>
      <c r="D268" s="12">
        <v>45975</v>
      </c>
      <c r="E268" s="11" t="s">
        <v>258</v>
      </c>
      <c r="F268" s="11">
        <v>840</v>
      </c>
      <c r="G268" s="13"/>
      <c r="H268" s="11">
        <v>2095.23</v>
      </c>
      <c r="I268" s="11">
        <f>F268-G268</f>
        <v>840</v>
      </c>
      <c r="J268" s="1">
        <f>J267+I268</f>
        <v>896.53000000004499</v>
      </c>
      <c r="K268" s="16">
        <f>H268-J268</f>
        <v>1198.699999999955</v>
      </c>
      <c r="L268" s="11" t="s">
        <v>19</v>
      </c>
      <c r="M268" t="s">
        <v>19</v>
      </c>
      <c r="N268">
        <f>IF(L268=M268,0,1)</f>
        <v>0</v>
      </c>
    </row>
    <row r="269" spans="1:14" x14ac:dyDescent="0.25">
      <c r="A269" s="11">
        <v>397</v>
      </c>
      <c r="B269" s="15" t="s">
        <v>234</v>
      </c>
      <c r="C269" s="14" t="s">
        <v>4</v>
      </c>
      <c r="D269" s="12">
        <v>45839</v>
      </c>
      <c r="E269" s="11" t="s">
        <v>62</v>
      </c>
      <c r="F269" s="13"/>
      <c r="G269" s="11">
        <v>3.5</v>
      </c>
      <c r="H269" s="11">
        <v>17565.330000000002</v>
      </c>
      <c r="I269" s="11">
        <f>F269-G269</f>
        <v>-3.5</v>
      </c>
      <c r="J269" s="1">
        <f>J268+I269</f>
        <v>893.03000000004499</v>
      </c>
      <c r="K269" s="16">
        <f>H269-J269</f>
        <v>16672.299999999956</v>
      </c>
      <c r="L269" s="11" t="s">
        <v>27</v>
      </c>
      <c r="M269" t="s">
        <v>25</v>
      </c>
      <c r="N269">
        <f>IF(L269=M269,0,1)</f>
        <v>1</v>
      </c>
    </row>
    <row r="270" spans="1:14" x14ac:dyDescent="0.25">
      <c r="A270" s="11">
        <v>403</v>
      </c>
      <c r="B270" s="15" t="s">
        <v>234</v>
      </c>
      <c r="C270" s="14" t="s">
        <v>4</v>
      </c>
      <c r="D270" s="12">
        <v>45870</v>
      </c>
      <c r="E270" s="11" t="s">
        <v>62</v>
      </c>
      <c r="F270" s="13"/>
      <c r="G270" s="11">
        <v>3.5</v>
      </c>
      <c r="H270" s="11">
        <v>1786.74</v>
      </c>
      <c r="I270" s="11">
        <f>F270-G270</f>
        <v>-3.5</v>
      </c>
      <c r="J270" s="1">
        <f>J269+I270</f>
        <v>889.53000000004499</v>
      </c>
      <c r="K270" s="16">
        <f>H270-J270</f>
        <v>897.20999999995502</v>
      </c>
      <c r="L270" s="11" t="s">
        <v>27</v>
      </c>
      <c r="M270" t="s">
        <v>25</v>
      </c>
      <c r="N270">
        <f>IF(L270=M270,0,1)</f>
        <v>1</v>
      </c>
    </row>
    <row r="271" spans="1:14" x14ac:dyDescent="0.25">
      <c r="A271" s="11">
        <v>406</v>
      </c>
      <c r="B271" s="15" t="s">
        <v>234</v>
      </c>
      <c r="C271" s="14" t="s">
        <v>4</v>
      </c>
      <c r="D271" s="12">
        <v>45901</v>
      </c>
      <c r="E271" s="11" t="s">
        <v>62</v>
      </c>
      <c r="F271" s="13"/>
      <c r="G271" s="11">
        <v>3.5</v>
      </c>
      <c r="H271" s="11">
        <v>1742.84</v>
      </c>
      <c r="I271" s="11">
        <f>F271-G271</f>
        <v>-3.5</v>
      </c>
      <c r="J271" s="1">
        <f>J270+I271</f>
        <v>886.03000000004499</v>
      </c>
      <c r="K271" s="16">
        <f>H271-J271</f>
        <v>856.80999999995493</v>
      </c>
      <c r="L271" s="11" t="s">
        <v>27</v>
      </c>
      <c r="M271" t="s">
        <v>25</v>
      </c>
      <c r="N271">
        <f>IF(L271=M271,0,1)</f>
        <v>1</v>
      </c>
    </row>
    <row r="272" spans="1:14" x14ac:dyDescent="0.25">
      <c r="A272" s="11">
        <v>409</v>
      </c>
      <c r="B272" s="15" t="s">
        <v>234</v>
      </c>
      <c r="C272" s="14" t="s">
        <v>4</v>
      </c>
      <c r="D272" s="12">
        <v>45931</v>
      </c>
      <c r="E272" s="11" t="s">
        <v>62</v>
      </c>
      <c r="F272" s="13"/>
      <c r="G272" s="11">
        <v>3.63</v>
      </c>
      <c r="H272" s="11">
        <v>1038.8599999999999</v>
      </c>
      <c r="I272" s="11">
        <f>F272-G272</f>
        <v>-3.63</v>
      </c>
      <c r="J272" s="1">
        <f>J271+I272</f>
        <v>882.400000000045</v>
      </c>
      <c r="K272" s="16">
        <f>H272-J272</f>
        <v>156.4599999999549</v>
      </c>
      <c r="L272" s="11" t="s">
        <v>27</v>
      </c>
      <c r="M272" t="s">
        <v>25</v>
      </c>
      <c r="N272">
        <f>IF(L272=M272,0,1)</f>
        <v>1</v>
      </c>
    </row>
    <row r="273" spans="1:14" hidden="1" x14ac:dyDescent="0.25">
      <c r="A273" s="11">
        <v>423</v>
      </c>
      <c r="B273" s="15" t="s">
        <v>234</v>
      </c>
      <c r="C273" s="14" t="s">
        <v>4</v>
      </c>
      <c r="D273" s="12">
        <v>45989</v>
      </c>
      <c r="E273" s="11" t="s">
        <v>263</v>
      </c>
      <c r="F273" s="11">
        <v>475</v>
      </c>
      <c r="G273" s="13"/>
      <c r="H273" s="11">
        <v>1099.04</v>
      </c>
      <c r="I273" s="11">
        <f>F273-G273</f>
        <v>475</v>
      </c>
      <c r="J273" s="1">
        <f>J272+I273</f>
        <v>1357.4000000000451</v>
      </c>
      <c r="K273" s="16">
        <f>H273-J273</f>
        <v>-258.36000000004515</v>
      </c>
      <c r="L273" s="11" t="s">
        <v>19</v>
      </c>
      <c r="M273" t="s">
        <v>19</v>
      </c>
      <c r="N273">
        <f>IF(L273=M273,0,1)</f>
        <v>0</v>
      </c>
    </row>
    <row r="274" spans="1:14" hidden="1" x14ac:dyDescent="0.25">
      <c r="A274" s="11">
        <v>424</v>
      </c>
      <c r="B274" s="15" t="s">
        <v>234</v>
      </c>
      <c r="C274" s="14" t="s">
        <v>4</v>
      </c>
      <c r="D274" s="12">
        <v>45989</v>
      </c>
      <c r="E274" s="11" t="s">
        <v>264</v>
      </c>
      <c r="F274" s="13"/>
      <c r="G274" s="11">
        <v>1.4</v>
      </c>
      <c r="H274" s="11">
        <v>1097.6400000000001</v>
      </c>
      <c r="I274" s="11">
        <f>F274-G274</f>
        <v>-1.4</v>
      </c>
      <c r="J274" s="1">
        <f>J273+I274</f>
        <v>1356.000000000045</v>
      </c>
      <c r="K274" s="16">
        <f>H274-J274</f>
        <v>-258.36000000004492</v>
      </c>
      <c r="L274" s="11" t="s">
        <v>7</v>
      </c>
      <c r="M274" t="s">
        <v>7</v>
      </c>
      <c r="N274">
        <f>IF(L274=M274,0,1)</f>
        <v>0</v>
      </c>
    </row>
    <row r="275" spans="1:14" hidden="1" x14ac:dyDescent="0.25">
      <c r="A275" s="11">
        <v>425</v>
      </c>
      <c r="B275" s="15" t="s">
        <v>234</v>
      </c>
      <c r="C275" s="14" t="s">
        <v>4</v>
      </c>
      <c r="D275" s="12">
        <v>45992</v>
      </c>
      <c r="E275" s="11" t="s">
        <v>265</v>
      </c>
      <c r="F275" s="11">
        <v>418</v>
      </c>
      <c r="G275" s="13"/>
      <c r="H275" s="11">
        <v>1515.64</v>
      </c>
      <c r="I275" s="11">
        <f>F275-G275</f>
        <v>418</v>
      </c>
      <c r="J275" s="1">
        <f>J274+I275</f>
        <v>1774.000000000045</v>
      </c>
      <c r="K275" s="16">
        <f>H275-J275</f>
        <v>-258.36000000004492</v>
      </c>
      <c r="L275" s="11" t="s">
        <v>19</v>
      </c>
      <c r="M275" t="s">
        <v>19</v>
      </c>
      <c r="N275">
        <f>IF(L275=M275,0,1)</f>
        <v>0</v>
      </c>
    </row>
    <row r="276" spans="1:14" x14ac:dyDescent="0.25">
      <c r="A276" s="11">
        <v>416</v>
      </c>
      <c r="B276" s="15" t="s">
        <v>234</v>
      </c>
      <c r="C276" s="14" t="s">
        <v>4</v>
      </c>
      <c r="D276" s="12">
        <v>45964</v>
      </c>
      <c r="E276" s="11" t="s">
        <v>62</v>
      </c>
      <c r="F276" s="13"/>
      <c r="G276" s="11">
        <v>3.67</v>
      </c>
      <c r="H276" s="11">
        <v>355.23</v>
      </c>
      <c r="I276" s="11">
        <f>F276-G276</f>
        <v>-3.67</v>
      </c>
      <c r="J276" s="1">
        <f>J275+I276</f>
        <v>1770.3300000000449</v>
      </c>
      <c r="K276" s="16">
        <f>H276-J276</f>
        <v>-1415.1000000000449</v>
      </c>
      <c r="L276" s="11" t="s">
        <v>27</v>
      </c>
      <c r="M276" t="s">
        <v>25</v>
      </c>
      <c r="N276">
        <f>IF(L276=M276,0,1)</f>
        <v>1</v>
      </c>
    </row>
    <row r="277" spans="1:14" x14ac:dyDescent="0.25">
      <c r="A277" s="11">
        <v>428</v>
      </c>
      <c r="B277" s="15" t="s">
        <v>234</v>
      </c>
      <c r="C277" s="14" t="s">
        <v>4</v>
      </c>
      <c r="D277" s="12">
        <v>45992</v>
      </c>
      <c r="E277" s="11" t="s">
        <v>62</v>
      </c>
      <c r="F277" s="13"/>
      <c r="G277" s="11">
        <v>3.67</v>
      </c>
      <c r="H277" s="11">
        <v>1501.47</v>
      </c>
      <c r="I277" s="11">
        <f>F277-G277</f>
        <v>-3.67</v>
      </c>
      <c r="J277" s="1">
        <f>J276+I277</f>
        <v>1766.6600000000449</v>
      </c>
      <c r="K277" s="16">
        <f>H277-J277</f>
        <v>-265.19000000004485</v>
      </c>
      <c r="L277" s="11" t="s">
        <v>27</v>
      </c>
      <c r="M277" t="s">
        <v>25</v>
      </c>
      <c r="N277">
        <f>IF(L277=M277,0,1)</f>
        <v>1</v>
      </c>
    </row>
    <row r="278" spans="1:14" x14ac:dyDescent="0.25">
      <c r="A278" s="11">
        <v>420</v>
      </c>
      <c r="B278" s="15" t="s">
        <v>234</v>
      </c>
      <c r="C278" s="14" t="s">
        <v>4</v>
      </c>
      <c r="D278" s="12">
        <v>45986</v>
      </c>
      <c r="E278" s="11" t="s">
        <v>260</v>
      </c>
      <c r="F278" s="13"/>
      <c r="G278" s="11">
        <v>265.19</v>
      </c>
      <c r="H278" s="11">
        <v>1827.04</v>
      </c>
      <c r="I278" s="11">
        <f>F278-G278</f>
        <v>-265.19</v>
      </c>
      <c r="J278" s="1">
        <f>J277+I278</f>
        <v>1501.4700000000448</v>
      </c>
      <c r="K278" s="16">
        <f>H278-J278</f>
        <v>325.56999999995514</v>
      </c>
      <c r="L278" s="14" t="s">
        <v>28</v>
      </c>
      <c r="M278" t="s">
        <v>29</v>
      </c>
      <c r="N278">
        <f>IF(L278=M278,0,1)</f>
        <v>1</v>
      </c>
    </row>
    <row r="279" spans="1:14" hidden="1" x14ac:dyDescent="0.25">
      <c r="A279" s="11">
        <v>429</v>
      </c>
      <c r="B279" s="15" t="s">
        <v>234</v>
      </c>
      <c r="C279" s="14" t="s">
        <v>4</v>
      </c>
      <c r="D279" s="12">
        <v>45999</v>
      </c>
      <c r="E279" s="11" t="s">
        <v>268</v>
      </c>
      <c r="F279" s="11">
        <v>475</v>
      </c>
      <c r="G279" s="13"/>
      <c r="H279" s="11">
        <v>1976.47</v>
      </c>
      <c r="I279" s="11">
        <f>F279-G279</f>
        <v>475</v>
      </c>
      <c r="J279" s="1">
        <f t="shared" ref="J259:J279" si="12">J278+I279</f>
        <v>1976.4700000000448</v>
      </c>
      <c r="K279" s="16">
        <f>H279-J279</f>
        <v>-4.4792614062316716E-11</v>
      </c>
      <c r="L279" s="11" t="s">
        <v>19</v>
      </c>
      <c r="M279" t="s">
        <v>19</v>
      </c>
      <c r="N279">
        <f>IF(L279=M279,0,1)</f>
        <v>0</v>
      </c>
    </row>
  </sheetData>
  <autoFilter ref="A213:N279" xr:uid="{00000000-0001-0000-0000-000000000000}">
    <filterColumn colId="13">
      <filters>
        <filter val="1"/>
      </filters>
    </filterColumn>
    <sortState xmlns:xlrd2="http://schemas.microsoft.com/office/spreadsheetml/2017/richdata2" ref="A214:N278">
      <sortCondition ref="L213:L279"/>
    </sortState>
  </autoFilter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E34"/>
  <sheetViews>
    <sheetView zoomScale="70" zoomScaleNormal="70" workbookViewId="0">
      <selection activeCell="J19" sqref="J19"/>
    </sheetView>
  </sheetViews>
  <sheetFormatPr defaultRowHeight="15" x14ac:dyDescent="0.25"/>
  <cols>
    <col min="1" max="1" width="22.42578125" bestFit="1" customWidth="1"/>
    <col min="2" max="2" width="21.7109375" bestFit="1" customWidth="1"/>
    <col min="3" max="4" width="13.85546875" bestFit="1" customWidth="1"/>
    <col min="5" max="5" width="11.140625" bestFit="1" customWidth="1"/>
    <col min="10" max="10" width="41.7109375" customWidth="1"/>
    <col min="12" max="12" width="21.7109375" style="1" customWidth="1"/>
    <col min="13" max="13" width="22" style="1" customWidth="1"/>
    <col min="14" max="14" width="16.42578125" style="1" customWidth="1"/>
    <col min="15" max="15" width="15.28515625" style="1" customWidth="1"/>
    <col min="16" max="16" width="16" style="1" customWidth="1"/>
    <col min="17" max="17" width="12.7109375" style="1" customWidth="1"/>
    <col min="18" max="23" width="13.5703125" style="1" customWidth="1"/>
    <col min="24" max="25" width="16.28515625" style="1" customWidth="1"/>
    <col min="26" max="26" width="13.140625" style="1" bestFit="1" customWidth="1"/>
    <col min="27" max="27" width="12.140625" style="1" hidden="1" customWidth="1"/>
    <col min="28" max="28" width="13.7109375" style="1" hidden="1" customWidth="1"/>
    <col min="29" max="30" width="0" style="1" hidden="1"/>
    <col min="31" max="31" width="15.85546875" style="1" bestFit="1" customWidth="1"/>
    <col min="33" max="33" width="13.140625" bestFit="1" customWidth="1"/>
  </cols>
  <sheetData>
    <row r="3" spans="1:3" x14ac:dyDescent="0.25">
      <c r="A3" t="s">
        <v>0</v>
      </c>
      <c r="B3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5</v>
      </c>
      <c r="B5">
        <f>SUMIFS('Raw 24'!$I:$I,'Raw 24'!$C:$C,$B$4,'Raw 24'!$L:$L,$A5)</f>
        <v>0</v>
      </c>
      <c r="C5">
        <f>SUMIFS('Raw 24'!$I:$I,'Raw 24'!$C:$C,$C$4,'Raw 24'!$L:$L,$A5)</f>
        <v>-86.16</v>
      </c>
    </row>
    <row r="6" spans="1:3" x14ac:dyDescent="0.25">
      <c r="A6" t="s">
        <v>6</v>
      </c>
      <c r="B6">
        <f>SUMIFS('Raw 24'!$I:$I,'Raw 24'!$C:$C,$B$4,'Raw 24'!$L:$L,$A6)</f>
        <v>-613</v>
      </c>
      <c r="C6">
        <f>SUMIFS('Raw 24'!$I:$I,'Raw 24'!$C:$C,$C$4,'Raw 24'!$L:$L,$A6)</f>
        <v>0</v>
      </c>
    </row>
    <row r="7" spans="1:3" x14ac:dyDescent="0.25">
      <c r="A7" t="s">
        <v>7</v>
      </c>
      <c r="B7">
        <f>SUMIFS('Raw 24'!$I:$I,'Raw 24'!$C:$C,$B$4,'Raw 24'!$L:$L,$A7)</f>
        <v>-32.9</v>
      </c>
      <c r="C7">
        <f>SUMIFS('Raw 24'!$I:$I,'Raw 24'!$C:$C,$C$4,'Raw 24'!$L:$L,$A7)</f>
        <v>-9.1</v>
      </c>
    </row>
    <row r="8" spans="1:3" x14ac:dyDescent="0.25">
      <c r="A8" t="s">
        <v>8</v>
      </c>
      <c r="B8">
        <f>SUMIFS('Raw 24'!$I:$I,'Raw 24'!$C:$C,$B$4,'Raw 24'!$L:$L,$A8)</f>
        <v>-76.28</v>
      </c>
      <c r="C8">
        <f>SUMIFS('Raw 24'!$I:$I,'Raw 24'!$C:$C,$C$4,'Raw 24'!$L:$L,$A8)</f>
        <v>0</v>
      </c>
    </row>
    <row r="9" spans="1:3" x14ac:dyDescent="0.25">
      <c r="A9" t="s">
        <v>9</v>
      </c>
      <c r="B9">
        <f>SUMIFS('Raw 24'!$I:$I,'Raw 24'!$C:$C,$B$4,'Raw 24'!$L:$L,$A9)</f>
        <v>-54.449999999999996</v>
      </c>
      <c r="C9">
        <f>SUMIFS('Raw 24'!$I:$I,'Raw 24'!$C:$C,$C$4,'Raw 24'!$L:$L,$A9)</f>
        <v>0</v>
      </c>
    </row>
    <row r="10" spans="1:3" x14ac:dyDescent="0.25">
      <c r="A10" t="s">
        <v>10</v>
      </c>
      <c r="B10">
        <f>SUMIFS('Raw 24'!$I:$I,'Raw 24'!$C:$C,$B$4,'Raw 24'!$L:$L,$A10)</f>
        <v>-60053.41</v>
      </c>
      <c r="C10">
        <f>SUMIFS('Raw 24'!$I:$I,'Raw 24'!$C:$C,$C$4,'Raw 24'!$L:$L,$A10)</f>
        <v>-5000</v>
      </c>
    </row>
    <row r="11" spans="1:3" x14ac:dyDescent="0.25">
      <c r="A11" t="s">
        <v>11</v>
      </c>
      <c r="B11">
        <f>SUMIFS('Raw 24'!$I:$I,'Raw 24'!$C:$C,$B$4,'Raw 24'!$L:$L,$A11)</f>
        <v>0</v>
      </c>
      <c r="C11">
        <f>SUMIFS('Raw 24'!$I:$I,'Raw 24'!$C:$C,$C$4,'Raw 24'!$L:$L,$A11)</f>
        <v>-7.5</v>
      </c>
    </row>
    <row r="12" spans="1:3" x14ac:dyDescent="0.25">
      <c r="A12" t="s">
        <v>12</v>
      </c>
      <c r="B12">
        <f>SUMIFS('Raw 24'!$I:$I,'Raw 24'!$C:$C,$B$4,'Raw 24'!$L:$L,$A12)</f>
        <v>-195.28</v>
      </c>
      <c r="C12">
        <f>SUMIFS('Raw 24'!$I:$I,'Raw 24'!$C:$C,$C$4,'Raw 24'!$L:$L,$A12)</f>
        <v>0</v>
      </c>
    </row>
    <row r="13" spans="1:3" x14ac:dyDescent="0.25">
      <c r="A13" t="s">
        <v>13</v>
      </c>
      <c r="B13">
        <f>SUMIFS('Raw 24'!$I:$I,'Raw 24'!$C:$C,$B$4,'Raw 24'!$L:$L,$A13)</f>
        <v>7671.08</v>
      </c>
      <c r="C13">
        <f>SUMIFS('Raw 24'!$I:$I,'Raw 24'!$C:$C,$C$4,'Raw 24'!$L:$L,$A13)</f>
        <v>0</v>
      </c>
    </row>
    <row r="14" spans="1:3" x14ac:dyDescent="0.25">
      <c r="A14" t="s">
        <v>14</v>
      </c>
      <c r="B14">
        <f>SUMIFS('Raw 24'!$I:$I,'Raw 24'!$C:$C,$B$4,'Raw 24'!$L:$L,$A14)</f>
        <v>0</v>
      </c>
      <c r="C14">
        <f>SUMIFS('Raw 24'!$I:$I,'Raw 24'!$C:$C,$C$4,'Raw 24'!$L:$L,$A14)</f>
        <v>-15587.61</v>
      </c>
    </row>
    <row r="15" spans="1:3" x14ac:dyDescent="0.25">
      <c r="A15" t="s">
        <v>15</v>
      </c>
      <c r="B15">
        <f>SUMIFS('Raw 24'!$I:$I,'Raw 24'!$C:$C,$B$4,'Raw 24'!$L:$L,$A15)</f>
        <v>-4506.33</v>
      </c>
      <c r="C15">
        <f>SUMIFS('Raw 24'!$I:$I,'Raw 24'!$C:$C,$C$4,'Raw 24'!$L:$L,$A15)</f>
        <v>0</v>
      </c>
    </row>
    <row r="16" spans="1:3" x14ac:dyDescent="0.25">
      <c r="A16" t="s">
        <v>16</v>
      </c>
      <c r="B16">
        <f>SUMIFS('Raw 24'!$I:$I,'Raw 24'!$C:$C,$B$4,'Raw 24'!$L:$L,$A16)</f>
        <v>-8287.99</v>
      </c>
      <c r="C16">
        <f>SUMIFS('Raw 24'!$I:$I,'Raw 24'!$C:$C,$C$4,'Raw 24'!$L:$L,$A16)</f>
        <v>0</v>
      </c>
    </row>
    <row r="17" spans="1:3" x14ac:dyDescent="0.25">
      <c r="A17" t="s">
        <v>17</v>
      </c>
      <c r="B17">
        <f>SUMIFS('Raw 24'!$I:$I,'Raw 24'!$C:$C,$B$4,'Raw 24'!$L:$L,$A17)</f>
        <v>-494.89</v>
      </c>
      <c r="C17">
        <f>SUMIFS('Raw 24'!$I:$I,'Raw 24'!$C:$C,$C$4,'Raw 24'!$L:$L,$A17)</f>
        <v>0</v>
      </c>
    </row>
    <row r="18" spans="1:3" x14ac:dyDescent="0.25">
      <c r="A18" t="s">
        <v>18</v>
      </c>
      <c r="B18">
        <f>SUMIFS('Raw 24'!$I:$I,'Raw 24'!$C:$C,$B$4,'Raw 24'!$L:$L,$A18)</f>
        <v>-1108.0800000000002</v>
      </c>
      <c r="C18">
        <f>SUMIFS('Raw 24'!$I:$I,'Raw 24'!$C:$C,$C$4,'Raw 24'!$L:$L,$A18)</f>
        <v>-112.5</v>
      </c>
    </row>
    <row r="19" spans="1:3" x14ac:dyDescent="0.25">
      <c r="A19" t="s">
        <v>19</v>
      </c>
      <c r="B19">
        <f>SUMIFS('Raw 24'!$I:$I,'Raw 24'!$C:$C,$B$4,'Raw 24'!$L:$L,$A19)</f>
        <v>90286.97</v>
      </c>
      <c r="C19">
        <f>SUMIFS('Raw 24'!$I:$I,'Raw 24'!$C:$C,$C$4,'Raw 24'!$L:$L,$A19)</f>
        <v>3608</v>
      </c>
    </row>
    <row r="20" spans="1:3" x14ac:dyDescent="0.25">
      <c r="A20" t="s">
        <v>20</v>
      </c>
      <c r="B20">
        <f>SUMIFS('Raw 24'!$I:$I,'Raw 24'!$C:$C,$B$4,'Raw 24'!$L:$L,$A20)</f>
        <v>-21.04</v>
      </c>
      <c r="C20">
        <f>SUMIFS('Raw 24'!$I:$I,'Raw 24'!$C:$C,$C$4,'Raw 24'!$L:$L,$A20)</f>
        <v>0</v>
      </c>
    </row>
    <row r="21" spans="1:3" x14ac:dyDescent="0.25">
      <c r="A21" t="s">
        <v>21</v>
      </c>
      <c r="B21">
        <f>SUMIFS('Raw 24'!$I:$I,'Raw 24'!$C:$C,$B$4,'Raw 24'!$L:$L,$A21)</f>
        <v>-4555.1900000000005</v>
      </c>
      <c r="C21">
        <f>SUMIFS('Raw 24'!$I:$I,'Raw 24'!$C:$C,$C$4,'Raw 24'!$L:$L,$A21)</f>
        <v>-8012</v>
      </c>
    </row>
    <row r="22" spans="1:3" x14ac:dyDescent="0.25">
      <c r="A22" t="s">
        <v>22</v>
      </c>
      <c r="B22">
        <f>SUMIFS('Raw 24'!$I:$I,'Raw 24'!$C:$C,$B$4,'Raw 24'!$L:$L,$A22)</f>
        <v>-300.8</v>
      </c>
      <c r="C22">
        <f>SUMIFS('Raw 24'!$I:$I,'Raw 24'!$C:$C,$C$4,'Raw 24'!$L:$L,$A22)</f>
        <v>-9</v>
      </c>
    </row>
    <row r="23" spans="1:3" x14ac:dyDescent="0.25">
      <c r="A23" t="s">
        <v>23</v>
      </c>
      <c r="B23">
        <f>SUMIFS('Raw 24'!$I:$I,'Raw 24'!$C:$C,$B$4,'Raw 24'!$L:$L,$A23)</f>
        <v>-70</v>
      </c>
      <c r="C23">
        <f>SUMIFS('Raw 24'!$I:$I,'Raw 24'!$C:$C,$C$4,'Raw 24'!$L:$L,$A23)</f>
        <v>0</v>
      </c>
    </row>
    <row r="24" spans="1:3" x14ac:dyDescent="0.25">
      <c r="A24" t="s">
        <v>24</v>
      </c>
      <c r="B24">
        <f>SUMIFS('Raw 24'!$I:$I,'Raw 24'!$C:$C,$B$4,'Raw 24'!$L:$L,$A24)</f>
        <v>-720</v>
      </c>
      <c r="C24">
        <f>SUMIFS('Raw 24'!$I:$I,'Raw 24'!$C:$C,$C$4,'Raw 24'!$L:$L,$A24)</f>
        <v>0</v>
      </c>
    </row>
    <row r="25" spans="1:3" x14ac:dyDescent="0.25">
      <c r="A25" t="s">
        <v>25</v>
      </c>
      <c r="B25">
        <f>SUMIFS('Raw 24'!$I:$I,'Raw 24'!$C:$C,$B$4,'Raw 24'!$L:$L,$A25)</f>
        <v>-306.90000000000003</v>
      </c>
      <c r="C25">
        <f>SUMIFS('Raw 24'!$I:$I,'Raw 24'!$C:$C,$C$4,'Raw 24'!$L:$L,$A25)</f>
        <v>0</v>
      </c>
    </row>
    <row r="26" spans="1:3" x14ac:dyDescent="0.25">
      <c r="A26" t="s">
        <v>26</v>
      </c>
      <c r="B26">
        <f>SUMIFS('Raw 24'!$I:$I,'Raw 24'!$C:$C,$B$4,'Raw 24'!$L:$L,$A26)</f>
        <v>-405</v>
      </c>
      <c r="C26">
        <f>SUMIFS('Raw 24'!$I:$I,'Raw 24'!$C:$C,$C$4,'Raw 24'!$L:$L,$A26)</f>
        <v>0</v>
      </c>
    </row>
    <row r="27" spans="1:3" x14ac:dyDescent="0.25">
      <c r="A27" t="s">
        <v>27</v>
      </c>
      <c r="B27">
        <f>SUMIFS('Raw 24'!$I:$I,'Raw 24'!$C:$C,$B$4,'Raw 24'!$L:$L,$A27)</f>
        <v>-455.3</v>
      </c>
      <c r="C27">
        <f>SUMIFS('Raw 24'!$I:$I,'Raw 24'!$C:$C,$C$4,'Raw 24'!$L:$L,$A27)</f>
        <v>-28.47</v>
      </c>
    </row>
    <row r="28" spans="1:3" x14ac:dyDescent="0.25">
      <c r="A28" t="s">
        <v>28</v>
      </c>
      <c r="B28">
        <f>SUMIFS('Raw 24'!$I:$I,'Raw 24'!$C:$C,$B$4,'Raw 24'!$L:$L,$A28)</f>
        <v>0</v>
      </c>
      <c r="C28">
        <f>SUMIFS('Raw 24'!$I:$I,'Raw 24'!$C:$C,$C$4,'Raw 24'!$L:$L,$A28)</f>
        <v>-265.19</v>
      </c>
    </row>
    <row r="29" spans="1:3" x14ac:dyDescent="0.25">
      <c r="A29" t="s">
        <v>29</v>
      </c>
      <c r="B29">
        <f>SUMIFS('Raw 24'!$I:$I,'Raw 24'!$C:$C,$B$4,'Raw 24'!$L:$L,$A29)</f>
        <v>-266.39</v>
      </c>
      <c r="C29">
        <f>SUMIFS('Raw 24'!$I:$I,'Raw 24'!$C:$C,$C$4,'Raw 24'!$L:$L,$A29)</f>
        <v>0</v>
      </c>
    </row>
    <row r="30" spans="1:3" x14ac:dyDescent="0.25">
      <c r="A30" t="s">
        <v>30</v>
      </c>
      <c r="B30">
        <f>SUMIFS('Raw 24'!$I:$I,'Raw 24'!$C:$C,$B$4,'Raw 24'!$L:$L,$A30)</f>
        <v>-101.39999999999993</v>
      </c>
      <c r="C30">
        <f>SUMIFS('Raw 24'!$I:$I,'Raw 24'!$C:$C,$C$4,'Raw 24'!$L:$L,$A30)</f>
        <v>0</v>
      </c>
    </row>
    <row r="31" spans="1:3" x14ac:dyDescent="0.25">
      <c r="A31" t="s">
        <v>31</v>
      </c>
      <c r="B31">
        <f>SUMIFS('Raw 24'!$I:$I,'Raw 24'!$C:$C,$B$4,'Raw 24'!$L:$L,$A31)</f>
        <v>-35</v>
      </c>
      <c r="C31">
        <f>SUMIFS('Raw 24'!$I:$I,'Raw 24'!$C:$C,$C$4,'Raw 24'!$L:$L,$A31)</f>
        <v>0</v>
      </c>
    </row>
    <row r="32" spans="1:3" x14ac:dyDescent="0.25">
      <c r="A32" t="s">
        <v>32</v>
      </c>
      <c r="B32">
        <f>SUMIFS('Raw 24'!$I:$I,'Raw 24'!$C:$C,$B$4,'Raw 24'!$L:$L,$A32)</f>
        <v>-150</v>
      </c>
      <c r="C32">
        <f>SUMIFS('Raw 24'!$I:$I,'Raw 24'!$C:$C,$C$4,'Raw 24'!$L:$L,$A32)</f>
        <v>0</v>
      </c>
    </row>
    <row r="33" spans="1:3" x14ac:dyDescent="0.25">
      <c r="A33" t="s">
        <v>33</v>
      </c>
      <c r="B33">
        <f>SUMIFS('Raw 24'!$I:$I,'Raw 24'!$C:$C,$B$4,'Raw 24'!$L:$L,$A33)</f>
        <v>-52.72</v>
      </c>
      <c r="C33">
        <f>SUMIFS('Raw 24'!$I:$I,'Raw 24'!$C:$C,$C$4,'Raw 24'!$L:$L,$A33)</f>
        <v>0</v>
      </c>
    </row>
    <row r="34" spans="1:3" x14ac:dyDescent="0.25">
      <c r="A34" t="s">
        <v>34</v>
      </c>
      <c r="B34">
        <f>SUM(B5:B33)</f>
        <v>15095.7</v>
      </c>
      <c r="C34">
        <f>SUM(C5:C33)</f>
        <v>-25509.530000000002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24</vt:lpstr>
      <vt:lpstr>Analysis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Chaudhry</dc:creator>
  <cp:lastModifiedBy>Umair Chaudhry</cp:lastModifiedBy>
  <dcterms:created xsi:type="dcterms:W3CDTF">2015-06-05T18:17:20Z</dcterms:created>
  <dcterms:modified xsi:type="dcterms:W3CDTF">2026-07-22T15:25:30Z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175f8ac-0ac0-4491-aeb5-8acadf90044f_Enabled">
    <vt:lpwstr>true</vt:lpwstr>
  </property>
  <property fmtid="{D5CDD505-2E9C-101B-9397-08002B2CF9AE}" pid="5" name="MSIP_Label_b175f8ac-0ac0-4491-aeb5-8acadf90044f_SetDate">
    <vt:lpwstr>2023-12-15T10:52:39Z</vt:lpwstr>
  </property>
  <property fmtid="{D5CDD505-2E9C-101B-9397-08002B2CF9AE}" pid="6" name="MSIP_Label_b175f8ac-0ac0-4491-aeb5-8acadf90044f_Method">
    <vt:lpwstr>Privileged</vt:lpwstr>
  </property>
  <property fmtid="{D5CDD505-2E9C-101B-9397-08002B2CF9AE}" pid="7" name="MSIP_Label_b175f8ac-0ac0-4491-aeb5-8acadf90044f_Name">
    <vt:lpwstr>Internal - Prod</vt:lpwstr>
  </property>
  <property fmtid="{D5CDD505-2E9C-101B-9397-08002B2CF9AE}" pid="8" name="MSIP_Label_b175f8ac-0ac0-4491-aeb5-8acadf90044f_SiteId">
    <vt:lpwstr>5b2d121f-48c2-42b5-abd2-286c96656636</vt:lpwstr>
  </property>
  <property fmtid="{D5CDD505-2E9C-101B-9397-08002B2CF9AE}" pid="9" name="MSIP_Label_b175f8ac-0ac0-4491-aeb5-8acadf90044f_ActionId">
    <vt:lpwstr>9a84c12f-35d7-463c-933f-a77b1a6b91db</vt:lpwstr>
  </property>
  <property fmtid="{D5CDD505-2E9C-101B-9397-08002B2CF9AE}" pid="10" name="MSIP_Label_b175f8ac-0ac0-4491-aeb5-8acadf90044f_ContentBits">
    <vt:lpwstr>1</vt:lpwstr>
  </property>
</Properties>
</file>