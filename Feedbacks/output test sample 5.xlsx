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chaudhry\Downloads\"/>
    </mc:Choice>
  </mc:AlternateContent>
  <xr:revisionPtr revIDLastSave="0" documentId="13_ncr:1_{DEEBA19A-49B7-44AE-9B1A-7B015B8E475D}" xr6:coauthVersionLast="47" xr6:coauthVersionMax="47" xr10:uidLastSave="{00000000-0000-0000-0000-000000000000}"/>
  <bookViews>
    <workbookView xWindow="-16845" yWindow="-16320" windowWidth="29040" windowHeight="15720" xr2:uid="{00000000-000D-0000-FFFF-FFFF00000000}"/>
  </bookViews>
  <sheets>
    <sheet name="RAW25" sheetId="1" r:id="rId1"/>
    <sheet name="Analysis 25" sheetId="2" r:id="rId2"/>
  </sheets>
  <definedNames>
    <definedName name="_xlnm._FilterDatabase" localSheetId="0" hidden="1">'RAW25'!$A$181:$L$651</definedName>
  </definedNames>
  <calcPr calcId="191029"/>
  <pivotCaches>
    <pivotCache cacheId="10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9" i="1" l="1"/>
  <c r="L414" i="1"/>
  <c r="L388" i="1"/>
  <c r="L508" i="1"/>
  <c r="L437" i="1"/>
  <c r="L518" i="1"/>
  <c r="L449" i="1"/>
  <c r="L353" i="1"/>
  <c r="L183" i="1"/>
  <c r="L242" i="1"/>
  <c r="L473" i="1"/>
  <c r="L474" i="1"/>
  <c r="L485" i="1"/>
  <c r="L245" i="1"/>
  <c r="L249" i="1"/>
  <c r="L533" i="1"/>
  <c r="L509" i="1"/>
  <c r="L510" i="1"/>
  <c r="L253" i="1"/>
  <c r="L539" i="1"/>
  <c r="L546" i="1"/>
  <c r="L534" i="1"/>
  <c r="L367" i="1"/>
  <c r="L368" i="1"/>
  <c r="L369" i="1"/>
  <c r="L556" i="1"/>
  <c r="L374" i="1"/>
  <c r="L561" i="1"/>
  <c r="L570" i="1"/>
  <c r="L581" i="1"/>
  <c r="L565" i="1"/>
  <c r="L593" i="1"/>
  <c r="L260" i="1"/>
  <c r="L568" i="1"/>
  <c r="L600" i="1"/>
  <c r="L617" i="1"/>
  <c r="L263" i="1"/>
  <c r="L576" i="1"/>
  <c r="L611" i="1"/>
  <c r="L582" i="1"/>
  <c r="L592" i="1"/>
  <c r="L642" i="1"/>
  <c r="L182" i="1"/>
  <c r="L192" i="1"/>
  <c r="L184" i="1"/>
  <c r="L185" i="1"/>
  <c r="L186" i="1"/>
  <c r="L272" i="1"/>
  <c r="L193" i="1"/>
  <c r="L189" i="1"/>
  <c r="L190" i="1"/>
  <c r="L191" i="1"/>
  <c r="L194" i="1"/>
  <c r="L630" i="1"/>
  <c r="L613" i="1"/>
  <c r="L195" i="1"/>
  <c r="L196" i="1"/>
  <c r="L197" i="1"/>
  <c r="L198" i="1"/>
  <c r="L199" i="1"/>
  <c r="L433" i="1"/>
  <c r="L201" i="1"/>
  <c r="L202" i="1"/>
  <c r="L203" i="1"/>
  <c r="L204" i="1"/>
  <c r="L205" i="1"/>
  <c r="L200" i="1"/>
  <c r="L389" i="1"/>
  <c r="L275" i="1"/>
  <c r="L206" i="1"/>
  <c r="L207" i="1"/>
  <c r="L614" i="1"/>
  <c r="L631" i="1"/>
  <c r="L213" i="1"/>
  <c r="L214" i="1"/>
  <c r="L438" i="1"/>
  <c r="L216" i="1"/>
  <c r="L217" i="1"/>
  <c r="L278" i="1"/>
  <c r="L442" i="1"/>
  <c r="L391" i="1"/>
  <c r="L221" i="1"/>
  <c r="L280" i="1"/>
  <c r="L223" i="1"/>
  <c r="L282" i="1"/>
  <c r="L225" i="1"/>
  <c r="L286" i="1"/>
  <c r="L445" i="1"/>
  <c r="L228" i="1"/>
  <c r="L229" i="1"/>
  <c r="L446" i="1"/>
  <c r="L231" i="1"/>
  <c r="L232" i="1"/>
  <c r="L233" i="1"/>
  <c r="L392" i="1"/>
  <c r="L235" i="1"/>
  <c r="L447" i="1"/>
  <c r="L287" i="1"/>
  <c r="L238" i="1"/>
  <c r="L288" i="1"/>
  <c r="L267" i="1"/>
  <c r="L450" i="1"/>
  <c r="L451" i="1"/>
  <c r="L289" i="1"/>
  <c r="L244" i="1"/>
  <c r="L290" i="1"/>
  <c r="L246" i="1"/>
  <c r="L247" i="1"/>
  <c r="L248" i="1"/>
  <c r="L393" i="1"/>
  <c r="L291" i="1"/>
  <c r="L251" i="1"/>
  <c r="L252" i="1"/>
  <c r="L208" i="1"/>
  <c r="L292" i="1"/>
  <c r="L452" i="1"/>
  <c r="L394" i="1"/>
  <c r="L295" i="1"/>
  <c r="L258" i="1"/>
  <c r="L259" i="1"/>
  <c r="L296" i="1"/>
  <c r="L386" i="1"/>
  <c r="L298" i="1"/>
  <c r="L209" i="1"/>
  <c r="L400" i="1"/>
  <c r="L299" i="1"/>
  <c r="L266" i="1"/>
  <c r="L210" i="1"/>
  <c r="L303" i="1"/>
  <c r="L304" i="1"/>
  <c r="L270" i="1"/>
  <c r="L271" i="1"/>
  <c r="L305" i="1"/>
  <c r="L454" i="1"/>
  <c r="L402" i="1"/>
  <c r="L307" i="1"/>
  <c r="L276" i="1"/>
  <c r="L308" i="1"/>
  <c r="L309" i="1"/>
  <c r="L279" i="1"/>
  <c r="L310" i="1"/>
  <c r="L281" i="1"/>
  <c r="L458" i="1"/>
  <c r="L283" i="1"/>
  <c r="L284" i="1"/>
  <c r="L285" i="1"/>
  <c r="L211" i="1"/>
  <c r="L212" i="1"/>
  <c r="L215" i="1"/>
  <c r="L634" i="1"/>
  <c r="L615" i="1"/>
  <c r="L404" i="1"/>
  <c r="L312" i="1"/>
  <c r="L293" i="1"/>
  <c r="L294" i="1"/>
  <c r="L218" i="1"/>
  <c r="L268" i="1"/>
  <c r="L297" i="1"/>
  <c r="L313" i="1"/>
  <c r="L405" i="1"/>
  <c r="L300" i="1"/>
  <c r="L301" i="1"/>
  <c r="L302" i="1"/>
  <c r="L406" i="1"/>
  <c r="L314" i="1"/>
  <c r="L319" i="1"/>
  <c r="L306" i="1"/>
  <c r="L459" i="1"/>
  <c r="L320" i="1"/>
  <c r="L461" i="1"/>
  <c r="L407" i="1"/>
  <c r="L311" i="1"/>
  <c r="L321" i="1"/>
  <c r="L322" i="1"/>
  <c r="L324" i="1"/>
  <c r="L315" i="1"/>
  <c r="L316" i="1"/>
  <c r="L317" i="1"/>
  <c r="L318" i="1"/>
  <c r="L273" i="1"/>
  <c r="L411" i="1"/>
  <c r="L325" i="1"/>
  <c r="L219" i="1"/>
  <c r="L323" i="1"/>
  <c r="L462" i="1"/>
  <c r="L603" i="1"/>
  <c r="L220" i="1"/>
  <c r="L327" i="1"/>
  <c r="L326" i="1"/>
  <c r="L328" i="1"/>
  <c r="L222" i="1"/>
  <c r="L331" i="1"/>
  <c r="L224" i="1"/>
  <c r="L636" i="1"/>
  <c r="L616" i="1"/>
  <c r="L335" i="1"/>
  <c r="L464" i="1"/>
  <c r="L337" i="1"/>
  <c r="L412" i="1"/>
  <c r="L329" i="1"/>
  <c r="L340" i="1"/>
  <c r="L330" i="1"/>
  <c r="L342" i="1"/>
  <c r="L416" i="1"/>
  <c r="L465" i="1"/>
  <c r="L345" i="1"/>
  <c r="L332" i="1"/>
  <c r="L333" i="1"/>
  <c r="L348" i="1"/>
  <c r="L349" i="1"/>
  <c r="L350" i="1"/>
  <c r="L351" i="1"/>
  <c r="L334" i="1"/>
  <c r="L466" i="1"/>
  <c r="L354" i="1"/>
  <c r="L355" i="1"/>
  <c r="L336" i="1"/>
  <c r="L357" i="1"/>
  <c r="L387" i="1"/>
  <c r="L338" i="1"/>
  <c r="L468" i="1"/>
  <c r="L361" i="1"/>
  <c r="L226" i="1"/>
  <c r="L363" i="1"/>
  <c r="L277" i="1"/>
  <c r="L479" i="1"/>
  <c r="L480" i="1"/>
  <c r="L605" i="1"/>
  <c r="L484" i="1"/>
  <c r="L606" i="1"/>
  <c r="L370" i="1"/>
  <c r="L339" i="1"/>
  <c r="L372" i="1"/>
  <c r="L373" i="1"/>
  <c r="L227" i="1"/>
  <c r="L421" i="1"/>
  <c r="L422" i="1"/>
  <c r="L341" i="1"/>
  <c r="L230" i="1"/>
  <c r="L379" i="1"/>
  <c r="L486" i="1"/>
  <c r="L489" i="1"/>
  <c r="L343" i="1"/>
  <c r="L383" i="1"/>
  <c r="L344" i="1"/>
  <c r="L385" i="1"/>
  <c r="L234" i="1"/>
  <c r="L236" i="1"/>
  <c r="L618" i="1"/>
  <c r="L637" i="1"/>
  <c r="L390" i="1"/>
  <c r="L490" i="1"/>
  <c r="L346" i="1"/>
  <c r="L493" i="1"/>
  <c r="L494" i="1"/>
  <c r="L395" i="1"/>
  <c r="L396" i="1"/>
  <c r="L397" i="1"/>
  <c r="L398" i="1"/>
  <c r="L399" i="1"/>
  <c r="L497" i="1"/>
  <c r="L401" i="1"/>
  <c r="L403" i="1"/>
  <c r="L237" i="1"/>
  <c r="L347" i="1"/>
  <c r="L498" i="1"/>
  <c r="L500" i="1"/>
  <c r="L408" i="1"/>
  <c r="L409" i="1"/>
  <c r="L410" i="1"/>
  <c r="L501" i="1"/>
  <c r="L352" i="1"/>
  <c r="L413" i="1"/>
  <c r="L415" i="1"/>
  <c r="L502" i="1"/>
  <c r="L417" i="1"/>
  <c r="L418" i="1"/>
  <c r="L419" i="1"/>
  <c r="L420" i="1"/>
  <c r="L239" i="1"/>
  <c r="L503" i="1"/>
  <c r="L504" i="1"/>
  <c r="L424" i="1"/>
  <c r="L427" i="1"/>
  <c r="L428" i="1"/>
  <c r="L240" i="1"/>
  <c r="L430" i="1"/>
  <c r="L431" i="1"/>
  <c r="L432" i="1"/>
  <c r="L512" i="1"/>
  <c r="L434" i="1"/>
  <c r="L435" i="1"/>
  <c r="L436" i="1"/>
  <c r="L439" i="1"/>
  <c r="L440" i="1"/>
  <c r="L441" i="1"/>
  <c r="L521" i="1"/>
  <c r="L443" i="1"/>
  <c r="L444" i="1"/>
  <c r="L241" i="1"/>
  <c r="L641" i="1"/>
  <c r="L619" i="1"/>
  <c r="L448" i="1"/>
  <c r="L522" i="1"/>
  <c r="L356" i="1"/>
  <c r="L453" i="1"/>
  <c r="L524" i="1"/>
  <c r="L455" i="1"/>
  <c r="L456" i="1"/>
  <c r="L457" i="1"/>
  <c r="L607" i="1"/>
  <c r="L610" i="1"/>
  <c r="L460" i="1"/>
  <c r="L463" i="1"/>
  <c r="L243" i="1"/>
  <c r="L622" i="1"/>
  <c r="L643" i="1"/>
  <c r="L467" i="1"/>
  <c r="L526" i="1"/>
  <c r="L469" i="1"/>
  <c r="L470" i="1"/>
  <c r="L471" i="1"/>
  <c r="L472" i="1"/>
  <c r="L475" i="1"/>
  <c r="L476" i="1"/>
  <c r="L477" i="1"/>
  <c r="L478" i="1"/>
  <c r="L528" i="1"/>
  <c r="L358" i="1"/>
  <c r="L481" i="1"/>
  <c r="L482" i="1"/>
  <c r="L483" i="1"/>
  <c r="L530" i="1"/>
  <c r="L487" i="1"/>
  <c r="L488" i="1"/>
  <c r="L359" i="1"/>
  <c r="L531" i="1"/>
  <c r="L491" i="1"/>
  <c r="L492" i="1"/>
  <c r="L423" i="1"/>
  <c r="L425" i="1"/>
  <c r="L495" i="1"/>
  <c r="L496" i="1"/>
  <c r="L499" i="1"/>
  <c r="L250" i="1"/>
  <c r="L624" i="1"/>
  <c r="L644" i="1"/>
  <c r="L360" i="1"/>
  <c r="L535" i="1"/>
  <c r="L505" i="1"/>
  <c r="L506" i="1"/>
  <c r="L507" i="1"/>
  <c r="L537" i="1"/>
  <c r="L511" i="1"/>
  <c r="L362" i="1"/>
  <c r="L513" i="1"/>
  <c r="L514" i="1"/>
  <c r="L515" i="1"/>
  <c r="L516" i="1"/>
  <c r="L517" i="1"/>
  <c r="L538" i="1"/>
  <c r="L519" i="1"/>
  <c r="L520" i="1"/>
  <c r="L523" i="1"/>
  <c r="L540" i="1"/>
  <c r="L525" i="1"/>
  <c r="L364" i="1"/>
  <c r="L527" i="1"/>
  <c r="L541" i="1"/>
  <c r="L529" i="1"/>
  <c r="L365" i="1"/>
  <c r="L545" i="1"/>
  <c r="L532" i="1"/>
  <c r="L366" i="1"/>
  <c r="L536" i="1"/>
  <c r="L187" i="1"/>
  <c r="L645" i="1"/>
  <c r="L254" i="1"/>
  <c r="L626" i="1"/>
  <c r="L646" i="1"/>
  <c r="L542" i="1"/>
  <c r="L543" i="1"/>
  <c r="L544" i="1"/>
  <c r="L547" i="1"/>
  <c r="L548" i="1"/>
  <c r="L549" i="1"/>
  <c r="L550" i="1"/>
  <c r="L426" i="1"/>
  <c r="L552" i="1"/>
  <c r="L551" i="1"/>
  <c r="L553" i="1"/>
  <c r="L555" i="1"/>
  <c r="L554" i="1"/>
  <c r="L559" i="1"/>
  <c r="L560" i="1"/>
  <c r="L371" i="1"/>
  <c r="L255" i="1"/>
  <c r="L563" i="1"/>
  <c r="L564" i="1"/>
  <c r="L557" i="1"/>
  <c r="L558" i="1"/>
  <c r="L375" i="1"/>
  <c r="L256" i="1"/>
  <c r="L376" i="1"/>
  <c r="L274" i="1"/>
  <c r="L257" i="1"/>
  <c r="L647" i="1"/>
  <c r="L627" i="1"/>
  <c r="L562" i="1"/>
  <c r="L578" i="1"/>
  <c r="L579" i="1"/>
  <c r="L580" i="1"/>
  <c r="L583" i="1"/>
  <c r="L584" i="1"/>
  <c r="L265" i="1"/>
  <c r="L586" i="1"/>
  <c r="L377" i="1"/>
  <c r="L588" i="1"/>
  <c r="L566" i="1"/>
  <c r="L567" i="1"/>
  <c r="L591" i="1"/>
  <c r="L378" i="1"/>
  <c r="L261" i="1"/>
  <c r="L596" i="1"/>
  <c r="L380" i="1"/>
  <c r="L598" i="1"/>
  <c r="L599" i="1"/>
  <c r="L648" i="1"/>
  <c r="L601" i="1"/>
  <c r="L429" i="1"/>
  <c r="L597" i="1"/>
  <c r="L604" i="1"/>
  <c r="L569" i="1"/>
  <c r="L608" i="1"/>
  <c r="L609" i="1"/>
  <c r="L262" i="1"/>
  <c r="L628" i="1"/>
  <c r="L612" i="1"/>
  <c r="L188" i="1"/>
  <c r="L571" i="1"/>
  <c r="L572" i="1"/>
  <c r="L573" i="1"/>
  <c r="L574" i="1"/>
  <c r="L620" i="1"/>
  <c r="L621" i="1"/>
  <c r="L575" i="1"/>
  <c r="L623" i="1"/>
  <c r="L602" i="1"/>
  <c r="L625" i="1"/>
  <c r="L381" i="1"/>
  <c r="L577" i="1"/>
  <c r="L585" i="1"/>
  <c r="L632" i="1"/>
  <c r="L633" i="1"/>
  <c r="L587" i="1"/>
  <c r="L635" i="1"/>
  <c r="L589" i="1"/>
  <c r="L590" i="1"/>
  <c r="L638" i="1"/>
  <c r="L639" i="1"/>
  <c r="L640" i="1"/>
  <c r="L264" i="1"/>
  <c r="L650" i="1"/>
  <c r="L629" i="1"/>
  <c r="L382" i="1"/>
  <c r="L594" i="1"/>
  <c r="L595" i="1"/>
  <c r="L649" i="1"/>
  <c r="L384" i="1"/>
  <c r="L651" i="1"/>
  <c r="I651" i="1"/>
  <c r="I384" i="1"/>
  <c r="I649" i="1"/>
  <c r="I595" i="1"/>
  <c r="I594" i="1"/>
  <c r="I382" i="1"/>
  <c r="I629" i="1"/>
  <c r="I650" i="1"/>
  <c r="I264" i="1"/>
  <c r="I642" i="1"/>
  <c r="I592" i="1"/>
  <c r="I640" i="1"/>
  <c r="I639" i="1"/>
  <c r="I638" i="1"/>
  <c r="I590" i="1"/>
  <c r="I589" i="1"/>
  <c r="I635" i="1"/>
  <c r="I587" i="1"/>
  <c r="I633" i="1"/>
  <c r="I632" i="1"/>
  <c r="I585" i="1"/>
  <c r="I582" i="1"/>
  <c r="I611" i="1"/>
  <c r="I577" i="1"/>
  <c r="I381" i="1"/>
  <c r="I576" i="1"/>
  <c r="I625" i="1"/>
  <c r="I602" i="1"/>
  <c r="I623" i="1"/>
  <c r="I575" i="1"/>
  <c r="I621" i="1"/>
  <c r="I620" i="1"/>
  <c r="I574" i="1"/>
  <c r="I263" i="1"/>
  <c r="I617" i="1"/>
  <c r="I573" i="1"/>
  <c r="I572" i="1"/>
  <c r="I571" i="1"/>
  <c r="I188" i="1"/>
  <c r="I612" i="1"/>
  <c r="I628" i="1"/>
  <c r="I262" i="1"/>
  <c r="I609" i="1"/>
  <c r="I608" i="1"/>
  <c r="I569" i="1"/>
  <c r="I600" i="1"/>
  <c r="I568" i="1"/>
  <c r="I604" i="1"/>
  <c r="I597" i="1"/>
  <c r="I429" i="1"/>
  <c r="I601" i="1"/>
  <c r="I648" i="1"/>
  <c r="I599" i="1"/>
  <c r="I598" i="1"/>
  <c r="I380" i="1"/>
  <c r="I596" i="1"/>
  <c r="I261" i="1"/>
  <c r="I260" i="1"/>
  <c r="I593" i="1"/>
  <c r="I378" i="1"/>
  <c r="I591" i="1"/>
  <c r="I567" i="1"/>
  <c r="I566" i="1"/>
  <c r="I588" i="1"/>
  <c r="I377" i="1"/>
  <c r="I586" i="1"/>
  <c r="I265" i="1"/>
  <c r="I584" i="1"/>
  <c r="I583" i="1"/>
  <c r="I565" i="1"/>
  <c r="I581" i="1"/>
  <c r="I580" i="1"/>
  <c r="I579" i="1"/>
  <c r="I578" i="1"/>
  <c r="I562" i="1"/>
  <c r="I627" i="1"/>
  <c r="I647" i="1"/>
  <c r="I257" i="1"/>
  <c r="I274" i="1"/>
  <c r="I376" i="1"/>
  <c r="I256" i="1"/>
  <c r="I570" i="1"/>
  <c r="I561" i="1"/>
  <c r="I375" i="1"/>
  <c r="I374" i="1"/>
  <c r="I558" i="1"/>
  <c r="I557" i="1"/>
  <c r="I564" i="1"/>
  <c r="I563" i="1"/>
  <c r="I255" i="1"/>
  <c r="I371" i="1"/>
  <c r="I560" i="1"/>
  <c r="I559" i="1"/>
  <c r="I556" i="1"/>
  <c r="I369" i="1"/>
  <c r="I554" i="1"/>
  <c r="I555" i="1"/>
  <c r="I553" i="1"/>
  <c r="I551" i="1"/>
  <c r="I552" i="1"/>
  <c r="I426" i="1"/>
  <c r="I550" i="1"/>
  <c r="I549" i="1"/>
  <c r="I548" i="1"/>
  <c r="I547" i="1"/>
  <c r="I368" i="1"/>
  <c r="I367" i="1"/>
  <c r="I544" i="1"/>
  <c r="I543" i="1"/>
  <c r="I542" i="1"/>
  <c r="I646" i="1"/>
  <c r="I626" i="1"/>
  <c r="I254" i="1"/>
  <c r="I645" i="1"/>
  <c r="I187" i="1"/>
  <c r="I536" i="1"/>
  <c r="I366" i="1"/>
  <c r="I534" i="1"/>
  <c r="I546" i="1"/>
  <c r="I532" i="1"/>
  <c r="I545" i="1"/>
  <c r="I365" i="1"/>
  <c r="I529" i="1"/>
  <c r="I541" i="1"/>
  <c r="I527" i="1"/>
  <c r="I364" i="1"/>
  <c r="I525" i="1"/>
  <c r="I540" i="1"/>
  <c r="I523" i="1"/>
  <c r="I539" i="1"/>
  <c r="I253" i="1"/>
  <c r="I520" i="1"/>
  <c r="I519" i="1"/>
  <c r="I538" i="1"/>
  <c r="I517" i="1"/>
  <c r="I516" i="1"/>
  <c r="I515" i="1"/>
  <c r="I514" i="1"/>
  <c r="I513" i="1"/>
  <c r="I362" i="1"/>
  <c r="I511" i="1"/>
  <c r="I510" i="1"/>
  <c r="I509" i="1"/>
  <c r="I537" i="1"/>
  <c r="I507" i="1"/>
  <c r="I506" i="1"/>
  <c r="I505" i="1"/>
  <c r="I535" i="1"/>
  <c r="I360" i="1"/>
  <c r="I644" i="1"/>
  <c r="I624" i="1"/>
  <c r="I250" i="1"/>
  <c r="I499" i="1"/>
  <c r="I533" i="1"/>
  <c r="I249" i="1"/>
  <c r="I496" i="1"/>
  <c r="I495" i="1"/>
  <c r="I425" i="1"/>
  <c r="I423" i="1"/>
  <c r="I492" i="1"/>
  <c r="I491" i="1"/>
  <c r="I531" i="1"/>
  <c r="I359" i="1"/>
  <c r="I488" i="1"/>
  <c r="I487" i="1"/>
  <c r="I245" i="1"/>
  <c r="I485" i="1"/>
  <c r="I530" i="1"/>
  <c r="I483" i="1"/>
  <c r="I482" i="1"/>
  <c r="I481" i="1"/>
  <c r="I358" i="1"/>
  <c r="I528" i="1"/>
  <c r="I478" i="1"/>
  <c r="I477" i="1"/>
  <c r="I476" i="1"/>
  <c r="I475" i="1"/>
  <c r="I474" i="1"/>
  <c r="I473" i="1"/>
  <c r="I472" i="1"/>
  <c r="I471" i="1"/>
  <c r="I470" i="1"/>
  <c r="I469" i="1"/>
  <c r="I526" i="1"/>
  <c r="I467" i="1"/>
  <c r="I643" i="1"/>
  <c r="I622" i="1"/>
  <c r="I243" i="1"/>
  <c r="I463" i="1"/>
  <c r="I242" i="1"/>
  <c r="I183" i="1"/>
  <c r="I460" i="1"/>
  <c r="I610" i="1"/>
  <c r="I607" i="1"/>
  <c r="I457" i="1"/>
  <c r="I456" i="1"/>
  <c r="I455" i="1"/>
  <c r="I524" i="1"/>
  <c r="I453" i="1"/>
  <c r="I356" i="1"/>
  <c r="I522" i="1"/>
  <c r="I353" i="1"/>
  <c r="I449" i="1"/>
  <c r="I448" i="1"/>
  <c r="I619" i="1"/>
  <c r="I641" i="1"/>
  <c r="I241" i="1"/>
  <c r="I444" i="1"/>
  <c r="I443" i="1"/>
  <c r="I521" i="1"/>
  <c r="I441" i="1"/>
  <c r="I440" i="1"/>
  <c r="I439" i="1"/>
  <c r="I518" i="1"/>
  <c r="I437" i="1"/>
  <c r="I436" i="1"/>
  <c r="I435" i="1"/>
  <c r="I434" i="1"/>
  <c r="I512" i="1"/>
  <c r="I432" i="1"/>
  <c r="I431" i="1"/>
  <c r="I430" i="1"/>
  <c r="I240" i="1"/>
  <c r="I428" i="1"/>
  <c r="I427" i="1"/>
  <c r="I508" i="1"/>
  <c r="I388" i="1"/>
  <c r="I424" i="1"/>
  <c r="I504" i="1"/>
  <c r="I503" i="1"/>
  <c r="I239" i="1"/>
  <c r="I420" i="1"/>
  <c r="I419" i="1"/>
  <c r="I418" i="1"/>
  <c r="I417" i="1"/>
  <c r="I502" i="1"/>
  <c r="I415" i="1"/>
  <c r="I414" i="1"/>
  <c r="I413" i="1"/>
  <c r="I352" i="1"/>
  <c r="I501" i="1"/>
  <c r="I410" i="1"/>
  <c r="I409" i="1"/>
  <c r="I408" i="1"/>
  <c r="I500" i="1"/>
  <c r="I498" i="1"/>
  <c r="I347" i="1"/>
  <c r="I237" i="1"/>
  <c r="I403" i="1"/>
  <c r="I269" i="1"/>
  <c r="I401" i="1"/>
  <c r="I497" i="1"/>
  <c r="I399" i="1"/>
  <c r="I398" i="1"/>
  <c r="I397" i="1"/>
  <c r="I396" i="1"/>
  <c r="I395" i="1"/>
  <c r="I494" i="1"/>
  <c r="I493" i="1"/>
  <c r="I346" i="1"/>
  <c r="I490" i="1"/>
  <c r="I390" i="1"/>
  <c r="I637" i="1"/>
  <c r="I618" i="1"/>
  <c r="I236" i="1"/>
  <c r="I234" i="1"/>
  <c r="I385" i="1"/>
  <c r="I344" i="1"/>
  <c r="I383" i="1"/>
  <c r="I343" i="1"/>
  <c r="I489" i="1"/>
  <c r="I486" i="1"/>
  <c r="I379" i="1"/>
  <c r="I230" i="1"/>
  <c r="I341" i="1"/>
  <c r="I422" i="1"/>
  <c r="I421" i="1"/>
  <c r="I227" i="1"/>
  <c r="I373" i="1"/>
  <c r="I372" i="1"/>
  <c r="I339" i="1"/>
  <c r="I370" i="1"/>
  <c r="I606" i="1"/>
  <c r="I484" i="1"/>
  <c r="I605" i="1"/>
  <c r="I480" i="1"/>
  <c r="I479" i="1"/>
  <c r="I277" i="1"/>
  <c r="I363" i="1"/>
  <c r="I226" i="1"/>
  <c r="I361" i="1"/>
  <c r="I468" i="1"/>
  <c r="I338" i="1"/>
  <c r="I387" i="1"/>
  <c r="I357" i="1"/>
  <c r="I336" i="1"/>
  <c r="I355" i="1"/>
  <c r="I354" i="1"/>
  <c r="I466" i="1"/>
  <c r="I334" i="1"/>
  <c r="I351" i="1"/>
  <c r="I350" i="1"/>
  <c r="I349" i="1"/>
  <c r="I348" i="1"/>
  <c r="I333" i="1"/>
  <c r="I332" i="1"/>
  <c r="I345" i="1"/>
  <c r="I465" i="1"/>
  <c r="I416" i="1"/>
  <c r="I342" i="1"/>
  <c r="I330" i="1"/>
  <c r="I340" i="1"/>
  <c r="I329" i="1"/>
  <c r="I412" i="1"/>
  <c r="I337" i="1"/>
  <c r="I464" i="1"/>
  <c r="I335" i="1"/>
  <c r="I616" i="1"/>
  <c r="I636" i="1"/>
  <c r="I224" i="1"/>
  <c r="I331" i="1"/>
  <c r="I222" i="1"/>
  <c r="I328" i="1"/>
  <c r="I326" i="1"/>
  <c r="I327" i="1"/>
  <c r="I220" i="1"/>
  <c r="I603" i="1"/>
  <c r="I462" i="1"/>
  <c r="I323" i="1"/>
  <c r="I219" i="1"/>
  <c r="I325" i="1"/>
  <c r="I411" i="1"/>
  <c r="I273" i="1"/>
  <c r="I318" i="1"/>
  <c r="I317" i="1"/>
  <c r="I316" i="1"/>
  <c r="I315" i="1"/>
  <c r="I324" i="1"/>
  <c r="I322" i="1"/>
  <c r="I321" i="1"/>
  <c r="I311" i="1"/>
  <c r="I407" i="1"/>
  <c r="I461" i="1"/>
  <c r="I320" i="1"/>
  <c r="I459" i="1"/>
  <c r="I306" i="1"/>
  <c r="I319" i="1"/>
  <c r="I314" i="1"/>
  <c r="I406" i="1"/>
  <c r="I302" i="1"/>
  <c r="I301" i="1"/>
  <c r="I300" i="1"/>
  <c r="I405" i="1"/>
  <c r="I313" i="1"/>
  <c r="I297" i="1"/>
  <c r="I268" i="1"/>
  <c r="I218" i="1"/>
  <c r="I294" i="1"/>
  <c r="I293" i="1"/>
  <c r="I312" i="1"/>
  <c r="I404" i="1"/>
  <c r="I615" i="1"/>
  <c r="I634" i="1"/>
  <c r="I215" i="1"/>
  <c r="I212" i="1"/>
  <c r="I211" i="1"/>
  <c r="I285" i="1"/>
  <c r="I284" i="1"/>
  <c r="I283" i="1"/>
  <c r="I458" i="1"/>
  <c r="I281" i="1"/>
  <c r="I310" i="1"/>
  <c r="I279" i="1"/>
  <c r="I309" i="1"/>
  <c r="I308" i="1"/>
  <c r="I276" i="1"/>
  <c r="I307" i="1"/>
  <c r="I402" i="1"/>
  <c r="I454" i="1"/>
  <c r="I305" i="1"/>
  <c r="I271" i="1"/>
  <c r="I270" i="1"/>
  <c r="I304" i="1"/>
  <c r="I303" i="1"/>
  <c r="I210" i="1"/>
  <c r="I266" i="1"/>
  <c r="I299" i="1"/>
  <c r="I400" i="1"/>
  <c r="I209" i="1"/>
  <c r="I298" i="1"/>
  <c r="I386" i="1"/>
  <c r="I296" i="1"/>
  <c r="I259" i="1"/>
  <c r="I258" i="1"/>
  <c r="I295" i="1"/>
  <c r="I394" i="1"/>
  <c r="I452" i="1"/>
  <c r="I292" i="1"/>
  <c r="I208" i="1"/>
  <c r="I252" i="1"/>
  <c r="I251" i="1"/>
  <c r="I291" i="1"/>
  <c r="I393" i="1"/>
  <c r="I248" i="1"/>
  <c r="I247" i="1"/>
  <c r="I246" i="1"/>
  <c r="I290" i="1"/>
  <c r="I244" i="1"/>
  <c r="I289" i="1"/>
  <c r="I451" i="1"/>
  <c r="I450" i="1"/>
  <c r="I267" i="1"/>
  <c r="I288" i="1"/>
  <c r="I238" i="1"/>
  <c r="I287" i="1"/>
  <c r="I447" i="1"/>
  <c r="I235" i="1"/>
  <c r="I392" i="1"/>
  <c r="I233" i="1"/>
  <c r="I232" i="1"/>
  <c r="I231" i="1"/>
  <c r="I446" i="1"/>
  <c r="I229" i="1"/>
  <c r="I228" i="1"/>
  <c r="I445" i="1"/>
  <c r="I286" i="1"/>
  <c r="I225" i="1"/>
  <c r="I282" i="1"/>
  <c r="I223" i="1"/>
  <c r="I280" i="1"/>
  <c r="I221" i="1"/>
  <c r="I391" i="1"/>
  <c r="I442" i="1"/>
  <c r="I278" i="1"/>
  <c r="I217" i="1"/>
  <c r="I216" i="1"/>
  <c r="I438" i="1"/>
  <c r="I214" i="1"/>
  <c r="I213" i="1"/>
  <c r="I631" i="1"/>
  <c r="I614" i="1"/>
  <c r="I207" i="1"/>
  <c r="I206" i="1"/>
  <c r="I275" i="1"/>
  <c r="I389" i="1"/>
  <c r="I200" i="1"/>
  <c r="I205" i="1"/>
  <c r="I204" i="1"/>
  <c r="I203" i="1"/>
  <c r="I202" i="1"/>
  <c r="I201" i="1"/>
  <c r="I433" i="1"/>
  <c r="I199" i="1"/>
  <c r="I198" i="1"/>
  <c r="I197" i="1"/>
  <c r="I196" i="1"/>
  <c r="I195" i="1"/>
  <c r="I613" i="1"/>
  <c r="I630" i="1"/>
  <c r="I194" i="1"/>
  <c r="I191" i="1"/>
  <c r="I190" i="1"/>
  <c r="I189" i="1"/>
  <c r="I193" i="1"/>
  <c r="I272" i="1"/>
  <c r="I186" i="1"/>
  <c r="I185" i="1"/>
  <c r="I184" i="1"/>
  <c r="I192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<sst xmlns="http://schemas.openxmlformats.org/spreadsheetml/2006/main" count="2809" uniqueCount="267">
  <si>
    <t>Sum of NET</t>
  </si>
  <si>
    <t>Column Labels</t>
  </si>
  <si>
    <t>Row Labels</t>
  </si>
  <si>
    <t>Accountancy</t>
  </si>
  <si>
    <t>Bank charges</t>
  </si>
  <si>
    <t>Car</t>
  </si>
  <si>
    <t>Dinner</t>
  </si>
  <si>
    <t>Dividends</t>
  </si>
  <si>
    <t>Equipment</t>
  </si>
  <si>
    <t>Food</t>
  </si>
  <si>
    <t>HMRC</t>
  </si>
  <si>
    <t>HMRC CT</t>
  </si>
  <si>
    <t>HMRC PAYE</t>
  </si>
  <si>
    <t>HMRC SA</t>
  </si>
  <si>
    <t>Income</t>
  </si>
  <si>
    <t>Lunch</t>
  </si>
  <si>
    <t>Mobile phone</t>
  </si>
  <si>
    <t>Parking</t>
  </si>
  <si>
    <t>Petrol</t>
  </si>
  <si>
    <t>Professional fees - College</t>
  </si>
  <si>
    <t>Repairs</t>
  </si>
  <si>
    <t>Salary-Staff</t>
  </si>
  <si>
    <t>Staff Salary</t>
  </si>
  <si>
    <t>Stationary</t>
  </si>
  <si>
    <t>Sundry</t>
  </si>
  <si>
    <t>Taxi</t>
  </si>
  <si>
    <t>Transfer</t>
  </si>
  <si>
    <t>Travel</t>
  </si>
  <si>
    <t>Wages</t>
  </si>
  <si>
    <t>Grand Total</t>
  </si>
  <si>
    <t>No</t>
  </si>
  <si>
    <t>FY</t>
  </si>
  <si>
    <t>Date</t>
  </si>
  <si>
    <t>Details</t>
  </si>
  <si>
    <t>Transaction Type</t>
  </si>
  <si>
    <t>In</t>
  </si>
  <si>
    <t>Out</t>
  </si>
  <si>
    <t>Balance</t>
  </si>
  <si>
    <t>Net</t>
  </si>
  <si>
    <t>UC category</t>
  </si>
  <si>
    <t>1 April 2023 to 31st March 2024</t>
  </si>
  <si>
    <t>2025</t>
  </si>
  <si>
    <t>05/04/2024</t>
  </si>
  <si>
    <t>SPECSAVERS FINANCE-600920-71021000 858442-SPECSAVERS FINANCE-&amp;--&amp;-SPECSAVERS SEP COM</t>
  </si>
  <si>
    <t>BACS Payment Received</t>
  </si>
  <si>
    <t>10/04/2024</t>
  </si>
  <si>
    <t>11/04/2024</t>
  </si>
  <si>
    <t>A M Ibrahim Transfer</t>
  </si>
  <si>
    <t>Outward Faster Payment</t>
  </si>
  <si>
    <t>15/04/2024</t>
  </si>
  <si>
    <t>17/04/2024</t>
  </si>
  <si>
    <t>19/04/2024</t>
  </si>
  <si>
    <t>HMRC Cumbernauld 120PK02422677</t>
  </si>
  <si>
    <t>A M Ibrahim transfer</t>
  </si>
  <si>
    <t>24/04/2024</t>
  </si>
  <si>
    <t>26/04/2024</t>
  </si>
  <si>
    <t>A M Ibrahim Salary</t>
  </si>
  <si>
    <t>01/05/2024</t>
  </si>
  <si>
    <t>03/05/2024</t>
  </si>
  <si>
    <t>10/05/2024</t>
  </si>
  <si>
    <t>15/05/2024</t>
  </si>
  <si>
    <t>17/05/2024</t>
  </si>
  <si>
    <t>20/05/2024</t>
  </si>
  <si>
    <t>24/05/2024</t>
  </si>
  <si>
    <t>28/05/2024</t>
  </si>
  <si>
    <t>31/05/2024</t>
  </si>
  <si>
    <t>05/06/2024</t>
  </si>
  <si>
    <t>07/06/2024</t>
  </si>
  <si>
    <t>12/06/2024</t>
  </si>
  <si>
    <t>14/06/2024</t>
  </si>
  <si>
    <t>19/06/2024</t>
  </si>
  <si>
    <t>20/06/2024</t>
  </si>
  <si>
    <t>21/06/2024</t>
  </si>
  <si>
    <t>26/06/2024</t>
  </si>
  <si>
    <t>28/06/2024</t>
  </si>
  <si>
    <t>Rejected Faster Payment</t>
  </si>
  <si>
    <t>Locums Limited Qadi Ltd 24 Invoic</t>
  </si>
  <si>
    <t>03/07/2024</t>
  </si>
  <si>
    <t>05/07/2024</t>
  </si>
  <si>
    <t>10/07/2024</t>
  </si>
  <si>
    <t>11/07/2024</t>
  </si>
  <si>
    <t>15/07/2024</t>
  </si>
  <si>
    <t>19/07/2024</t>
  </si>
  <si>
    <t>24/07/2024</t>
  </si>
  <si>
    <t>26/07/2024</t>
  </si>
  <si>
    <t>31/07/2024</t>
  </si>
  <si>
    <t>02/08/2024</t>
  </si>
  <si>
    <t>07/08/2024</t>
  </si>
  <si>
    <t>09/08/2024</t>
  </si>
  <si>
    <t>14/08/2024</t>
  </si>
  <si>
    <t>16/08/2024</t>
  </si>
  <si>
    <t>21/08/2024</t>
  </si>
  <si>
    <t>23/08/2024</t>
  </si>
  <si>
    <t>30/08/2024</t>
  </si>
  <si>
    <t>04/09/2024</t>
  </si>
  <si>
    <t>11/09/2024</t>
  </si>
  <si>
    <t>13/09/2024</t>
  </si>
  <si>
    <t>16/09/2024</t>
  </si>
  <si>
    <t>18/09/2024</t>
  </si>
  <si>
    <t>20/09/2024</t>
  </si>
  <si>
    <t>24/09/2024</t>
  </si>
  <si>
    <t>25/09/2024</t>
  </si>
  <si>
    <t>27/09/2024</t>
  </si>
  <si>
    <t>04/10/2024</t>
  </si>
  <si>
    <t>09/10/2024</t>
  </si>
  <si>
    <t>14/10/2024</t>
  </si>
  <si>
    <t>15/10/2024</t>
  </si>
  <si>
    <t>GOGGLE BOX LTD LOCUM</t>
  </si>
  <si>
    <t>Inward Payment</t>
  </si>
  <si>
    <t>16/10/2024</t>
  </si>
  <si>
    <t>18/10/2024</t>
  </si>
  <si>
    <t>21/10/2024</t>
  </si>
  <si>
    <t>24/10/2024</t>
  </si>
  <si>
    <t>25/10/2024</t>
  </si>
  <si>
    <t>01/11/2024</t>
  </si>
  <si>
    <t>08/11/2024</t>
  </si>
  <si>
    <t>13/11/2024</t>
  </si>
  <si>
    <t>15/11/2024</t>
  </si>
  <si>
    <t>19/11/2024</t>
  </si>
  <si>
    <t>20/11/2024</t>
  </si>
  <si>
    <t>22/11/2024</t>
  </si>
  <si>
    <t>26/11/2024</t>
  </si>
  <si>
    <t>27/11/2024</t>
  </si>
  <si>
    <t>29/11/2024</t>
  </si>
  <si>
    <t>03/12/2024</t>
  </si>
  <si>
    <t>06/12/2024</t>
  </si>
  <si>
    <t>11/12/2024</t>
  </si>
  <si>
    <t>13/12/2024</t>
  </si>
  <si>
    <t>16/12/2024</t>
  </si>
  <si>
    <t>17/12/2024</t>
  </si>
  <si>
    <t>HMRC Cumbernauld 4375411945A00108A</t>
  </si>
  <si>
    <t>HMRC Cumbernauld 3239536995K</t>
  </si>
  <si>
    <t>20/12/2024</t>
  </si>
  <si>
    <t>23/12/2024</t>
  </si>
  <si>
    <t>24/12/2024</t>
  </si>
  <si>
    <t>27/12/2024</t>
  </si>
  <si>
    <t>31/12/2024</t>
  </si>
  <si>
    <t>02/01/2025</t>
  </si>
  <si>
    <t>03/01/2025</t>
  </si>
  <si>
    <t>06/01/2025</t>
  </si>
  <si>
    <t>08/01/2025</t>
  </si>
  <si>
    <t>10/01/2025</t>
  </si>
  <si>
    <t>13/01/2025</t>
  </si>
  <si>
    <t>14/01/2025</t>
  </si>
  <si>
    <t>15/01/2025</t>
  </si>
  <si>
    <t>17/01/2025</t>
  </si>
  <si>
    <t>20/01/2025</t>
  </si>
  <si>
    <t>21/01/2025</t>
  </si>
  <si>
    <t>22/01/2025</t>
  </si>
  <si>
    <t>24/01/2025</t>
  </si>
  <si>
    <t>27/01/2025</t>
  </si>
  <si>
    <t>31/01/2025</t>
  </si>
  <si>
    <t>05/02/2025</t>
  </si>
  <si>
    <t>07/02/2025</t>
  </si>
  <si>
    <t>11/02/2025</t>
  </si>
  <si>
    <t>14/02/2025</t>
  </si>
  <si>
    <t>17/02/2025</t>
  </si>
  <si>
    <t>19/02/2025</t>
  </si>
  <si>
    <t>20/02/2025</t>
  </si>
  <si>
    <t>21/02/2025</t>
  </si>
  <si>
    <t>26/02/2025</t>
  </si>
  <si>
    <t>28/02/2025</t>
  </si>
  <si>
    <t>05/03/2025</t>
  </si>
  <si>
    <t>07/03/2025</t>
  </si>
  <si>
    <t>12/03/2025</t>
  </si>
  <si>
    <t>13/03/2025</t>
  </si>
  <si>
    <t>14/03/2025</t>
  </si>
  <si>
    <t>17/03/2025</t>
  </si>
  <si>
    <t>19/03/2025</t>
  </si>
  <si>
    <t>21/03/2025</t>
  </si>
  <si>
    <t>26/03/2025</t>
  </si>
  <si>
    <t>28/03/2025</t>
  </si>
  <si>
    <t>A M Ibrahim personal</t>
  </si>
  <si>
    <t>31/03/2025</t>
  </si>
  <si>
    <t>SPECSAVERS FINANCE-600920-71021000</t>
  </si>
  <si>
    <t>Amani Y Ibrahim Transfer</t>
  </si>
  <si>
    <t>Card Purchase RONTEC CATFORD AppPay</t>
  </si>
  <si>
    <t>Card Transaction</t>
  </si>
  <si>
    <t>Card Purchase NCP LIMITED AppPay</t>
  </si>
  <si>
    <t>Card Purchase YOURPARKINGSPACE.CO.UK AppPay</t>
  </si>
  <si>
    <t>Card Purchase MUFFIN BREAK ASHFORD AppPay</t>
  </si>
  <si>
    <t>Card Purchase London Borough Lewisha AppPay</t>
  </si>
  <si>
    <t>OPTICAL REVOLUTION (CATFORD) optical revolution</t>
  </si>
  <si>
    <t>TRANSFER</t>
  </si>
  <si>
    <t>Amani Y Ibrahim Salary</t>
  </si>
  <si>
    <t>GOGGLE BOX LTD AHMED LOCUM</t>
  </si>
  <si>
    <t>Card Purchase PERFECT CHICKEN AppPay</t>
  </si>
  <si>
    <t>Card Purchase SAINSBURY S S MKT AppPay</t>
  </si>
  <si>
    <t>Card Purchase TESCO PFS 3317 AppPay</t>
  </si>
  <si>
    <t>Card Purchase GERMAN DONER KEBAB AppPay</t>
  </si>
  <si>
    <t>Card Purchase BP-BLUE BOYS CONNECT AppPay</t>
  </si>
  <si>
    <t>Card Purchase NCP LIMITED</t>
  </si>
  <si>
    <t>Card Purchase GREGGS AppPay</t>
  </si>
  <si>
    <t>Card Purchase CAFFE LUNA AppPay</t>
  </si>
  <si>
    <t>Card Purchase Watan Restaurant AppPay</t>
  </si>
  <si>
    <t>Card Purchase SUBWAY AppPay</t>
  </si>
  <si>
    <t>Card Purchase SUPERDRUG STORES PLC AppPay</t>
  </si>
  <si>
    <t>Card Purchase SAINSBURYS S MKTS AppPay</t>
  </si>
  <si>
    <t>Card Purchase PINTADERA CAFE AppPay</t>
  </si>
  <si>
    <t>Card Purchase SYDENHAM - 12 SYDENHAM AppPay</t>
  </si>
  <si>
    <t>Card Purchase SQ SERVESMITHS AppPay</t>
  </si>
  <si>
    <t>Card Purchase SAINSBURYS PETROL AppPay</t>
  </si>
  <si>
    <t>Card Purchase MNK Catford Express AppPay</t>
  </si>
  <si>
    <t>Card Purchase SUBWAY54085 AppPay</t>
  </si>
  <si>
    <t>Card Purchase BYBROOK INSIDE AppPay</t>
  </si>
  <si>
    <t>Card Purchase COSTA COFFEE@ WH SMITH AppPay</t>
  </si>
  <si>
    <t>Card Purchase TFL TRAVEL CH AppPay</t>
  </si>
  <si>
    <t>Card Purchase TESCO STORES 2253 AppPay</t>
  </si>
  <si>
    <t>SEGOR LIMITED Optical Revolution</t>
  </si>
  <si>
    <t>Card Purchase PFS @MFG FOREST HILL AppPay</t>
  </si>
  <si>
    <t>Card Purchase COSTA COFFEE 43010618 AppPay</t>
  </si>
  <si>
    <t>Card Purchase WESTNORWOOD SERVICE ST AppPay</t>
  </si>
  <si>
    <t>Card Purchase UBER EATS PENDING AppPay</t>
  </si>
  <si>
    <t>Transaction Charges</t>
  </si>
  <si>
    <t>Card Purchase SHELL MOTTINGHM090 AppPay</t>
  </si>
  <si>
    <t>Card Purchase Smart Parking (E) AppPay</t>
  </si>
  <si>
    <t>Card Purchase GREGGS PLC AppPay</t>
  </si>
  <si>
    <t>Card Purchase THE KING GROCERIES AppPay</t>
  </si>
  <si>
    <t>Card Purchase SAINSBURYS S MKTS</t>
  </si>
  <si>
    <t>Card Purchase RINGGO PARKING AppPay</t>
  </si>
  <si>
    <t>Card Purchase PAYBYPHONE - ECOM AppPay</t>
  </si>
  <si>
    <t>Card Purchase MFG THE VALE AppPay</t>
  </si>
  <si>
    <t>Card Purchase CO-OP GROUP 070803 AppPay</t>
  </si>
  <si>
    <t>Card Purchase CAFFE NERO TUNBRIDGE W AppPay</t>
  </si>
  <si>
    <t>Card Purchase APPLEGREEN CAMBERWELL AppPay</t>
  </si>
  <si>
    <t>HMRC Cumbernauld 4375411945A00109A</t>
  </si>
  <si>
    <t>Card Purchase MFG EDEN PARK AppPay</t>
  </si>
  <si>
    <t>Card Purchase BROMLEY RINGO ECOM AppPay</t>
  </si>
  <si>
    <t>Card Purchase COSTA COFFEE 43011667 AppPay</t>
  </si>
  <si>
    <t>Card Purchase Mid Sussex District AppPay</t>
  </si>
  <si>
    <t>Card Purchase CAFFE NERO HAYWARDS HE AppPay</t>
  </si>
  <si>
    <t>Card Purchase PRET A MANGER AppPay</t>
  </si>
  <si>
    <t>SPECSAVERS FINANCE-600920-71021000 LOCUM INVOICES</t>
  </si>
  <si>
    <t>Card Purchase PARK KNIGHTS HILL SSTN AppPay</t>
  </si>
  <si>
    <t>Card Purchase DELIVEROO AppPay</t>
  </si>
  <si>
    <t>Locums Limited Qadi Ltd 2025</t>
  </si>
  <si>
    <t>Card Purchase KENNINGTON SERVICE STA AppPay</t>
  </si>
  <si>
    <t>Card Purchase TESCO PAY AT PUMP 3317</t>
  </si>
  <si>
    <t>Card Purchase ELITE GARAGES HAYWARDS AppPay</t>
  </si>
  <si>
    <t>Card Purchase CAFFE NERO 451 STREATH AppPay</t>
  </si>
  <si>
    <t>THE COLLEGE OF OPT</t>
  </si>
  <si>
    <t>Direct Debit</t>
  </si>
  <si>
    <t>Card Purchase BOOTS 1400 AppPay</t>
  </si>
  <si>
    <t>Card Purchase RONTEC SWANLEY AppPay</t>
  </si>
  <si>
    <t>Account Maintenance Fee</t>
  </si>
  <si>
    <t>Card Purchase COSTA COFFEE 43010810 AppPay</t>
  </si>
  <si>
    <t>Card Purchase K AND A ENTERPRISE AppPay</t>
  </si>
  <si>
    <t>Card Purchase SQ HAYWARDS HEATH AppPay</t>
  </si>
  <si>
    <t>Card Purchase COSTA AppPay</t>
  </si>
  <si>
    <t>Card Purchase KEVIN NEWS AppPay</t>
  </si>
  <si>
    <t>Card Purchase EG ON THE MOVE CAMBERW AppPay</t>
  </si>
  <si>
    <t>Card Purchase KWIK FIT AppPay</t>
  </si>
  <si>
    <t>Card Purchase MOR Mid Sussex Council AppPay</t>
  </si>
  <si>
    <t>Card Purchase BP WIDMORE CONVENIENCE AppPay</t>
  </si>
  <si>
    <t>Card Purchase SumUp Pp Streatham AppPay</t>
  </si>
  <si>
    <t>HMRC PAYE-201147-83192490</t>
  </si>
  <si>
    <t>Card Purchase Uber Payments UK AppPay</t>
  </si>
  <si>
    <t>Card Purchase DHC Westfield AppPay</t>
  </si>
  <si>
    <t>Card Purchase RONTEC CATFORD</t>
  </si>
  <si>
    <t>Wages-staff</t>
  </si>
  <si>
    <t>Parking?</t>
  </si>
  <si>
    <t>Entertainment</t>
  </si>
  <si>
    <t>Equipment?</t>
  </si>
  <si>
    <t>Trivial benefit</t>
  </si>
  <si>
    <t>Professional Fees - College</t>
  </si>
  <si>
    <t>DLA</t>
  </si>
  <si>
    <t>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</si>
</sst>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\ h:mm:ss"/>
  </numFmts>
  <fonts count="5">
    <font>
      <sz val="10"/>
      <color indexed="8"/>
      <name val="Helvetica Neue"/>
    </font>
    <font>
      <sz val="11"/>
      <color theme="1"/>
      <name val="Helvetica Neue"/>
      <family val="2"/>
      <scheme val="minor"/>
    </font>
    <font>
      <b/>
      <sz val="10"/>
      <color indexed="8"/>
      <name val="Helvetica Neue"/>
    </font>
    <font>
      <sz val="10"/>
      <color indexed="8"/>
      <name val="Helvetica Neue"/>
    </font>
    <font>
      <b/>
      <sz val="10"/>
      <color rgb="FFFF000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</borders>
  <cellStyleXfs count="3">
    <xf numFmtId="0" fontId="0" fillId="0" borderId="0">
      <alignment vertical="top" wrapText="1"/>
    </xf>
    <xf numFmtId="43" fontId="3" fillId="0" borderId="0"/>
    <xf numFmtId="0" fontId="1" fillId="0" borderId="0"/>
  </cellStyleXfs>
  <cellXfs count="28">
    <xf numFmtId="0" fontId="0" fillId="0" borderId="0" xfId="0">
      <alignment vertical="top" wrapText="1"/>
    </xf>
    <xf numFmtId="0" fontId="0" fillId="0" borderId="0" xfId="0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3" fontId="2" fillId="2" borderId="1" xfId="1" applyFont="1" applyFill="1" applyBorder="1" applyAlignment="1">
      <alignment vertical="top"/>
    </xf>
    <xf numFmtId="43" fontId="0" fillId="0" borderId="7" xfId="1" applyFont="1" applyBorder="1" applyAlignment="1">
      <alignment vertical="top"/>
    </xf>
    <xf numFmtId="43" fontId="0" fillId="0" borderId="0" xfId="1" applyFont="1" applyAlignment="1">
      <alignment vertical="top"/>
    </xf>
    <xf numFmtId="43" fontId="0" fillId="0" borderId="0" xfId="0" applyNumberFormat="1" applyAlignment="1">
      <alignment vertical="top"/>
    </xf>
    <xf numFmtId="43" fontId="0" fillId="0" borderId="0" xfId="1" applyFont="1" applyAlignment="1">
      <alignment vertical="top" wrapText="1"/>
    </xf>
    <xf numFmtId="0" fontId="0" fillId="0" borderId="7" xfId="0" applyBorder="1" applyAlignment="1">
      <alignment vertical="top"/>
    </xf>
    <xf numFmtId="2" fontId="0" fillId="0" borderId="7" xfId="0" applyNumberFormat="1" applyBorder="1" applyAlignment="1">
      <alignment vertical="top"/>
    </xf>
    <xf numFmtId="0" fontId="0" fillId="0" borderId="6" xfId="0" applyBorder="1" applyAlignment="1">
      <alignment vertical="top"/>
    </xf>
    <xf numFmtId="49" fontId="2" fillId="3" borderId="8" xfId="0" applyNumberFormat="1" applyFont="1" applyFill="1" applyBorder="1" applyAlignment="1">
      <alignment vertical="top"/>
    </xf>
    <xf numFmtId="49" fontId="2" fillId="4" borderId="5" xfId="0" applyNumberFormat="1" applyFont="1" applyFill="1" applyBorder="1" applyAlignment="1">
      <alignment vertical="top"/>
    </xf>
    <xf numFmtId="49" fontId="2" fillId="4" borderId="8" xfId="0" applyNumberFormat="1" applyFont="1" applyFill="1" applyBorder="1" applyAlignment="1">
      <alignment vertical="top"/>
    </xf>
    <xf numFmtId="49" fontId="2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2" fontId="0" fillId="4" borderId="4" xfId="0" applyNumberFormat="1" applyFill="1" applyBorder="1" applyAlignment="1">
      <alignment vertical="top"/>
    </xf>
    <xf numFmtId="0" fontId="0" fillId="4" borderId="4" xfId="0" applyFill="1" applyBorder="1" applyAlignment="1">
      <alignment vertical="top"/>
    </xf>
    <xf numFmtId="43" fontId="0" fillId="4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0" fontId="0" fillId="0" borderId="0" xfId="0" applyAlignment="1"/>
    <xf numFmtId="165" fontId="0" fillId="0" borderId="0" xfId="0" applyNumberFormat="1" applyAlignment="1"/>
    <xf numFmtId="0" fontId="4" fillId="0" borderId="0" xfId="0" applyFont="1">
      <alignment vertical="top" wrapText="1"/>
    </xf>
    <xf numFmtId="0" fontId="4" fillId="0" borderId="0" xfId="0" applyFont="1" applyFill="1">
      <alignment vertical="top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am" refreshedDate="46204.900641898152" createdVersion="8" refreshedVersion="6" minRefreshableVersion="3" recordCount="180" xr:uid="{00000000-000A-0000-FFFF-FFFF0D000000}">
  <cacheSource type="worksheet">
    <worksheetSource ref="A1:J181" sheet="RAW25"/>
  </cacheSource>
  <cacheFields count="10">
    <cacheField name="No" numFmtId="49">
      <sharedItems containsSemiMixedTypes="0" containsString="0" containsNumber="1" containsInteger="1" minValue="121" maxValue="300"/>
    </cacheField>
    <cacheField name="FY" numFmtId="49">
      <sharedItems count="2">
        <s v="2025"/>
        <s v="2024" u="1"/>
      </sharedItems>
    </cacheField>
    <cacheField name="Date" numFmtId="49">
      <sharedItems/>
    </cacheField>
    <cacheField name="Details" numFmtId="0">
      <sharedItems containsBlank="1"/>
    </cacheField>
    <cacheField name="Transaction Type" numFmtId="49">
      <sharedItems/>
    </cacheField>
    <cacheField name="In" numFmtId="0">
      <sharedItems containsString="0" containsBlank="1" containsNumber="1" minValue="350" maxValue="3600"/>
    </cacheField>
    <cacheField name="Out" numFmtId="0">
      <sharedItems containsString="0" containsBlank="1" containsNumber="1" minValue="30" maxValue="10449.49"/>
    </cacheField>
    <cacheField name="Balance" numFmtId="2">
      <sharedItems containsSemiMixedTypes="0" containsString="0" containsNumber="1" minValue="15256.79" maxValue="39105.660000000003"/>
    </cacheField>
    <cacheField name="Net" numFmtId="43">
      <sharedItems containsSemiMixedTypes="0" containsString="0" containsNumber="1" minValue="-10449.49" maxValue="3600"/>
    </cacheField>
    <cacheField name="UC category" numFmtId="0">
      <sharedItems count="7">
        <s v="Income"/>
        <s v="Dividends"/>
        <s v="HMRC PAYE"/>
        <s v="Wages"/>
        <s v="Accountancy"/>
        <s v="HMRC CT"/>
        <s v="HMRC S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80">
  <r>
    <n v="121"/>
    <x v="0"/>
    <s v="05/04/2024"/>
    <s v="SPECSAVERS FINANCE-600920-71021000 858442-SPECSAVERS FINANCE-&amp;--&amp;-SPECSAVERS SEP COM"/>
    <s v="BACS Payment Received"/>
    <n v="1825"/>
    <m/>
    <n v="22153.37"/>
    <n v="1825"/>
    <x v="0"/>
  </r>
  <r>
    <n v="122"/>
    <x v="0"/>
    <s v="10/04/2024"/>
    <s v="SPECSAVERS FINANCE-600920-71021000 858442-SPECSAVERS FINANCE-&amp;--&amp;-SPECSAVERS SEP COM"/>
    <s v="BACS Payment Received"/>
    <n v="1450"/>
    <m/>
    <n v="23603.37"/>
    <n v="1450"/>
    <x v="0"/>
  </r>
  <r>
    <n v="123"/>
    <x v="0"/>
    <s v="11/04/2024"/>
    <s v="A M Ibrahim Transfer"/>
    <s v="Outward Faster Payment"/>
    <m/>
    <n v="600"/>
    <n v="23003.37"/>
    <n v="-600"/>
    <x v="1"/>
  </r>
  <r>
    <n v="124"/>
    <x v="0"/>
    <s v="15/04/2024"/>
    <s v="A M Ibrahim Transfer"/>
    <s v="Outward Faster Payment"/>
    <m/>
    <n v="350"/>
    <n v="22653.37"/>
    <n v="-350"/>
    <x v="1"/>
  </r>
  <r>
    <n v="125"/>
    <x v="0"/>
    <s v="17/04/2024"/>
    <s v="SPECSAVERS FINANCE-600920-71021000 858442-SPECSAVERS FINANCE-&amp;--&amp;-SPECSAVERS SEP COM"/>
    <s v="BACS Payment Received"/>
    <n v="750"/>
    <m/>
    <n v="23403.37"/>
    <n v="750"/>
    <x v="0"/>
  </r>
  <r>
    <n v="126"/>
    <x v="0"/>
    <s v="19/04/2024"/>
    <s v="A M Ibrahim Transfer"/>
    <s v="Outward Faster Payment"/>
    <m/>
    <n v="200"/>
    <n v="23203.37"/>
    <n v="-200"/>
    <x v="1"/>
  </r>
  <r>
    <n v="127"/>
    <x v="0"/>
    <s v="19/04/2024"/>
    <s v="HMRC Cumbernauld 120PK02422677"/>
    <s v="Outward Faster Payment"/>
    <m/>
    <n v="119.85"/>
    <n v="23083.52"/>
    <n v="-119.85"/>
    <x v="2"/>
  </r>
  <r>
    <n v="128"/>
    <x v="0"/>
    <s v="19/04/2024"/>
    <s v="A M Ibrahim Transfer"/>
    <s v="Outward Faster Payment"/>
    <m/>
    <n v="300"/>
    <n v="22783.52"/>
    <n v="-300"/>
    <x v="1"/>
  </r>
  <r>
    <n v="129"/>
    <x v="0"/>
    <s v="19/04/2024"/>
    <s v="A M Ibrahim Transfer"/>
    <s v="Outward Faster Payment"/>
    <m/>
    <n v="2500"/>
    <n v="20283.52"/>
    <n v="-2500"/>
    <x v="1"/>
  </r>
  <r>
    <n v="130"/>
    <x v="0"/>
    <s v="24/04/2024"/>
    <s v="SPECSAVERS FINANCE-600920-71021000 858442-SPECSAVERS FINANCE-&amp;--&amp;-SPECSAVERS SEP COM"/>
    <s v="BACS Payment Received"/>
    <n v="2100"/>
    <m/>
    <n v="22383.52"/>
    <n v="2100"/>
    <x v="0"/>
  </r>
  <r>
    <n v="131"/>
    <x v="0"/>
    <s v="26/04/2024"/>
    <s v="SPECSAVERS FINANCE-600920-71021000 858442-SPECSAVERS FINANCE-&amp;--&amp;-SPECSAVERS SEP COM"/>
    <s v="BACS Payment Received"/>
    <n v="750"/>
    <m/>
    <n v="23133.52"/>
    <n v="750"/>
    <x v="0"/>
  </r>
  <r>
    <n v="132"/>
    <x v="0"/>
    <s v="26/04/2024"/>
    <s v="A M Ibrahim Transfer"/>
    <s v="Outward Faster Payment"/>
    <m/>
    <n v="2500"/>
    <n v="20633.52"/>
    <n v="-2500"/>
    <x v="1"/>
  </r>
  <r>
    <n v="133"/>
    <x v="0"/>
    <s v="26/04/2024"/>
    <s v="A M Ibrahim Salary"/>
    <s v="Outward Faster Payment"/>
    <m/>
    <n v="1047"/>
    <n v="19586.52"/>
    <n v="-1047"/>
    <x v="3"/>
  </r>
  <r>
    <n v="134"/>
    <x v="0"/>
    <s v="01/05/2024"/>
    <s v="SPECSAVERS FINANCE-600920-71021000 858442-SPECSAVERS FINANCE-&amp;--&amp;-SPECSAVERS SEP COM"/>
    <s v="BACS Payment Received"/>
    <n v="1500"/>
    <m/>
    <n v="21086.52"/>
    <n v="1500"/>
    <x v="0"/>
  </r>
  <r>
    <n v="135"/>
    <x v="0"/>
    <s v="03/05/2024"/>
    <s v="SPECSAVERS FINANCE-600920-71021000 858442-SPECSAVERS FINANCE-&amp;--&amp;-SPECSAVERS SEP COM"/>
    <s v="BACS Payment Received"/>
    <n v="615"/>
    <m/>
    <n v="21701.52"/>
    <n v="615"/>
    <x v="0"/>
  </r>
  <r>
    <n v="136"/>
    <x v="0"/>
    <s v="03/05/2024"/>
    <s v="A M Ibrahim Transfer"/>
    <s v="Outward Faster Payment"/>
    <m/>
    <n v="700"/>
    <n v="21001.52"/>
    <n v="-700"/>
    <x v="1"/>
  </r>
  <r>
    <n v="137"/>
    <x v="0"/>
    <s v="10/05/2024"/>
    <s v="SPECSAVERS FINANCE-600920-71021000 858442-SPECSAVERS FINANCE-&amp;--&amp;-SPECSAVERS SEP COM"/>
    <s v="BACS Payment Received"/>
    <n v="750"/>
    <m/>
    <n v="21751.52"/>
    <n v="750"/>
    <x v="0"/>
  </r>
  <r>
    <n v="138"/>
    <x v="0"/>
    <s v="15/05/2024"/>
    <s v="SPECSAVERS FINANCE-600920-71021000 858442-SPECSAVERS FINANCE-&amp;--&amp;-SPECSAVERS SEP COM"/>
    <s v="BACS Payment Received"/>
    <n v="3600"/>
    <m/>
    <n v="25351.52"/>
    <n v="3600"/>
    <x v="0"/>
  </r>
  <r>
    <n v="139"/>
    <x v="0"/>
    <s v="17/05/2024"/>
    <s v="A M Ibrahim Transfer"/>
    <s v="Outward Faster Payment"/>
    <m/>
    <n v="1000"/>
    <n v="24351.52"/>
    <n v="-1000"/>
    <x v="1"/>
  </r>
  <r>
    <n v="140"/>
    <x v="0"/>
    <s v="20/05/2024"/>
    <s v="A M Ibrahim Transfer"/>
    <s v="Outward Faster Payment"/>
    <m/>
    <n v="1000"/>
    <n v="23351.52"/>
    <n v="-1000"/>
    <x v="1"/>
  </r>
  <r>
    <n v="141"/>
    <x v="0"/>
    <s v="24/05/2024"/>
    <s v="SPECSAVERS FINANCE-600920-71021000 858442-SPECSAVERS FINANCE-&amp;--&amp;-SPECSAVERS SEP COM"/>
    <s v="BACS Payment Received"/>
    <n v="400"/>
    <m/>
    <n v="23751.52"/>
    <n v="400"/>
    <x v="0"/>
  </r>
  <r>
    <n v="142"/>
    <x v="0"/>
    <s v="28/05/2024"/>
    <s v="A M Ibrahim Transfer"/>
    <s v="Outward Faster Payment"/>
    <m/>
    <n v="2500"/>
    <n v="21251.52"/>
    <n v="-2500"/>
    <x v="1"/>
  </r>
  <r>
    <n v="143"/>
    <x v="0"/>
    <s v="28/05/2024"/>
    <s v="A M Ibrahim Transfer"/>
    <s v="Outward Faster Payment"/>
    <m/>
    <n v="1047"/>
    <n v="20204.52"/>
    <n v="-1047"/>
    <x v="1"/>
  </r>
  <r>
    <n v="144"/>
    <x v="0"/>
    <s v="31/05/2024"/>
    <s v="SPECSAVERS FINANCE-600920-71021000 858442-SPECSAVERS FINANCE-&amp;--&amp;-SPECSAVERS SEP COM"/>
    <s v="BACS Payment Received"/>
    <n v="2850"/>
    <m/>
    <n v="23054.52"/>
    <n v="2850"/>
    <x v="0"/>
  </r>
  <r>
    <n v="145"/>
    <x v="0"/>
    <s v="31/05/2024"/>
    <s v="A M Ibrahim Transfer"/>
    <s v="Outward Faster Payment"/>
    <m/>
    <n v="1000"/>
    <n v="22054.52"/>
    <n v="-1000"/>
    <x v="1"/>
  </r>
  <r>
    <n v="146"/>
    <x v="0"/>
    <s v="31/05/2024"/>
    <s v="A M Ibrahim Transfer"/>
    <s v="Outward Faster Payment"/>
    <m/>
    <n v="500"/>
    <n v="21554.52"/>
    <n v="-500"/>
    <x v="1"/>
  </r>
  <r>
    <n v="147"/>
    <x v="0"/>
    <s v="05/06/2024"/>
    <s v="SPECSAVERS FINANCE-600920-71021000 858442-SPECSAVERS FINANCE-&amp;--&amp;-SPECSAVERS SEP COM"/>
    <s v="BACS Payment Received"/>
    <n v="800"/>
    <m/>
    <n v="22354.52"/>
    <n v="800"/>
    <x v="0"/>
  </r>
  <r>
    <n v="148"/>
    <x v="0"/>
    <s v="07/06/2024"/>
    <s v="SPECSAVERS FINANCE-600920-71021000 858442-SPECSAVERS FINANCE-&amp;--&amp;-SPECSAVERS SEP COM"/>
    <s v="BACS Payment Received"/>
    <n v="400"/>
    <m/>
    <n v="22754.52"/>
    <n v="400"/>
    <x v="0"/>
  </r>
  <r>
    <n v="149"/>
    <x v="0"/>
    <s v="12/06/2024"/>
    <s v="SPECSAVERS FINANCE-600920-71021000 858442-SPECSAVERS FINANCE-&amp;--&amp;-SPECSAVERS SEP COM"/>
    <s v="BACS Payment Received"/>
    <n v="2150"/>
    <m/>
    <n v="24904.52"/>
    <n v="2150"/>
    <x v="0"/>
  </r>
  <r>
    <n v="150"/>
    <x v="0"/>
    <s v="12/06/2024"/>
    <s v="A M Ibrahim Transfer"/>
    <s v="Outward Faster Payment"/>
    <m/>
    <n v="500"/>
    <n v="24404.52"/>
    <n v="-500"/>
    <x v="1"/>
  </r>
  <r>
    <n v="151"/>
    <x v="0"/>
    <s v="14/06/2024"/>
    <s v="SPECSAVERS FINANCE-600920-71021000 858442-SPECSAVERS FINANCE-&amp;--&amp;-SPECSAVERS SEP COM"/>
    <s v="BACS Payment Received"/>
    <n v="400"/>
    <m/>
    <n v="24804.52"/>
    <n v="400"/>
    <x v="0"/>
  </r>
  <r>
    <n v="152"/>
    <x v="0"/>
    <s v="14/06/2024"/>
    <s v="A M Ibrahim Transfer"/>
    <s v="Outward Faster Payment"/>
    <m/>
    <n v="300"/>
    <n v="24504.52"/>
    <n v="-300"/>
    <x v="1"/>
  </r>
  <r>
    <n v="153"/>
    <x v="0"/>
    <s v="19/06/2024"/>
    <s v="SPECSAVERS FINANCE-600920-71021000 858442-SPECSAVERS FINANCE-&amp;--&amp;-SPECSAVERS SEP COM"/>
    <s v="BACS Payment Received"/>
    <n v="825"/>
    <m/>
    <n v="25329.52"/>
    <n v="825"/>
    <x v="0"/>
  </r>
  <r>
    <n v="154"/>
    <x v="0"/>
    <s v="20/06/2024"/>
    <s v="A M Ibrahim Transfer"/>
    <s v="Outward Faster Payment"/>
    <m/>
    <n v="329"/>
    <n v="25000.52"/>
    <n v="-329"/>
    <x v="1"/>
  </r>
  <r>
    <n v="155"/>
    <x v="0"/>
    <s v="21/06/2024"/>
    <s v="SPECSAVERS FINANCE-600920-71021000 858442-SPECSAVERS FINANCE-&amp;--&amp;-SPECSAVERS SEP COM"/>
    <s v="BACS Payment Received"/>
    <n v="400"/>
    <m/>
    <n v="25400.52"/>
    <n v="400"/>
    <x v="0"/>
  </r>
  <r>
    <n v="156"/>
    <x v="0"/>
    <s v="21/06/2024"/>
    <s v="A M Ibrahim Transfer"/>
    <s v="Outward Faster Payment"/>
    <m/>
    <n v="400"/>
    <n v="25000.52"/>
    <n v="-400"/>
    <x v="1"/>
  </r>
  <r>
    <n v="157"/>
    <x v="0"/>
    <s v="26/06/2024"/>
    <s v="SPECSAVERS FINANCE-600920-71021000 858442-SPECSAVERS FINANCE-&amp;--&amp;-SPECSAVERS SEP COM"/>
    <s v="BACS Payment Received"/>
    <n v="3501"/>
    <m/>
    <n v="28501.52"/>
    <n v="3501"/>
    <x v="0"/>
  </r>
  <r>
    <n v="158"/>
    <x v="0"/>
    <s v="26/06/2024"/>
    <s v="A M Ibrahim Transfer"/>
    <s v="Outward Faster Payment"/>
    <m/>
    <n v="500"/>
    <n v="28001.52"/>
    <n v="-500"/>
    <x v="1"/>
  </r>
  <r>
    <n v="159"/>
    <x v="0"/>
    <s v="26/06/2024"/>
    <s v="A M Ibrahim Transfer"/>
    <s v="Outward Faster Payment"/>
    <m/>
    <n v="735"/>
    <n v="27266.52"/>
    <n v="-735"/>
    <x v="1"/>
  </r>
  <r>
    <n v="160"/>
    <x v="0"/>
    <s v="28/06/2024"/>
    <s v="A M Ibrahim Transfer"/>
    <s v="Outward Faster Payment"/>
    <m/>
    <n v="2500"/>
    <n v="24766.52"/>
    <n v="-2500"/>
    <x v="1"/>
  </r>
  <r>
    <n v="161"/>
    <x v="0"/>
    <s v="28/06/2024"/>
    <m/>
    <s v="Rejected Faster Payment"/>
    <n v="2500"/>
    <m/>
    <n v="27266.52"/>
    <n v="2500"/>
    <x v="0"/>
  </r>
  <r>
    <n v="162"/>
    <x v="0"/>
    <s v="28/06/2024"/>
    <s v="A M Ibrahim Salary"/>
    <s v="Outward Faster Payment"/>
    <m/>
    <n v="1047"/>
    <n v="26219.52"/>
    <n v="-1047"/>
    <x v="3"/>
  </r>
  <r>
    <n v="163"/>
    <x v="0"/>
    <s v="28/06/2024"/>
    <m/>
    <s v="Rejected Faster Payment"/>
    <n v="1047"/>
    <m/>
    <n v="27266.52"/>
    <n v="1047"/>
    <x v="0"/>
  </r>
  <r>
    <n v="164"/>
    <x v="0"/>
    <s v="28/06/2024"/>
    <s v="A M Ibrahim Salary"/>
    <s v="Outward Faster Payment"/>
    <m/>
    <n v="1047"/>
    <n v="26219.52"/>
    <n v="-1047"/>
    <x v="3"/>
  </r>
  <r>
    <n v="165"/>
    <x v="0"/>
    <s v="28/06/2024"/>
    <m/>
    <s v="Rejected Faster Payment"/>
    <n v="1047"/>
    <m/>
    <n v="27266.52"/>
    <n v="1047"/>
    <x v="0"/>
  </r>
  <r>
    <n v="166"/>
    <x v="0"/>
    <s v="28/06/2024"/>
    <s v="A M Ibrahim Salary"/>
    <s v="Outward Faster Payment"/>
    <m/>
    <n v="1047"/>
    <n v="26219.52"/>
    <n v="-1047"/>
    <x v="3"/>
  </r>
  <r>
    <n v="167"/>
    <x v="0"/>
    <s v="28/06/2024"/>
    <s v="A M Ibrahim Transfer"/>
    <s v="Outward Faster Payment"/>
    <m/>
    <n v="2500"/>
    <n v="23719.52"/>
    <n v="-2500"/>
    <x v="1"/>
  </r>
  <r>
    <n v="168"/>
    <x v="0"/>
    <s v="28/06/2024"/>
    <s v="Locums Limited Qadi Ltd 24 Invoic"/>
    <s v="Outward Faster Payment"/>
    <m/>
    <n v="613"/>
    <n v="23106.52"/>
    <n v="-613"/>
    <x v="4"/>
  </r>
  <r>
    <n v="169"/>
    <x v="0"/>
    <s v="03/07/2024"/>
    <s v="SPECSAVERS FINANCE-600920-71021000 858442-SPECSAVERS FINANCE-&amp;--&amp;-SPECSAVERS SEP COM"/>
    <s v="BACS Payment Received"/>
    <n v="400"/>
    <m/>
    <n v="23506.52"/>
    <n v="400"/>
    <x v="0"/>
  </r>
  <r>
    <n v="170"/>
    <x v="0"/>
    <s v="05/07/2024"/>
    <s v="SPECSAVERS FINANCE-600920-71021000 858442-SPECSAVERS FINANCE-&amp;--&amp;-SPECSAVERS SEP COM"/>
    <s v="BACS Payment Received"/>
    <n v="1900"/>
    <m/>
    <n v="25406.52"/>
    <n v="1900"/>
    <x v="0"/>
  </r>
  <r>
    <n v="171"/>
    <x v="0"/>
    <s v="10/07/2024"/>
    <s v="A M Ibrahim Transfer"/>
    <s v="Outward Faster Payment"/>
    <m/>
    <n v="406"/>
    <n v="25000.52"/>
    <n v="-406"/>
    <x v="1"/>
  </r>
  <r>
    <n v="172"/>
    <x v="0"/>
    <s v="11/07/2024"/>
    <s v="A M Ibrahim Transfer"/>
    <s v="Outward Faster Payment"/>
    <m/>
    <n v="1500"/>
    <n v="23500.52"/>
    <n v="-1500"/>
    <x v="1"/>
  </r>
  <r>
    <n v="173"/>
    <x v="0"/>
    <s v="15/07/2024"/>
    <s v="A M Ibrahim Transfer"/>
    <s v="Outward Faster Payment"/>
    <m/>
    <n v="500"/>
    <n v="23000.52"/>
    <n v="-500"/>
    <x v="1"/>
  </r>
  <r>
    <n v="174"/>
    <x v="0"/>
    <s v="19/07/2024"/>
    <s v="SPECSAVERS FINANCE-600920-71021000 858442-SPECSAVERS FINANCE-&amp;--&amp;-SPECSAVERS SEP COM"/>
    <s v="BACS Payment Received"/>
    <n v="1100"/>
    <m/>
    <n v="24100.52"/>
    <n v="1100"/>
    <x v="0"/>
  </r>
  <r>
    <n v="175"/>
    <x v="0"/>
    <s v="19/07/2024"/>
    <s v="A M Ibrahim Transfer"/>
    <s v="Outward Faster Payment"/>
    <m/>
    <n v="100"/>
    <n v="24000.52"/>
    <n v="-100"/>
    <x v="1"/>
  </r>
  <r>
    <n v="176"/>
    <x v="0"/>
    <s v="19/07/2024"/>
    <s v="HMRC Cumbernauld 120PK02422677"/>
    <s v="Outward Faster Payment"/>
    <m/>
    <n v="119.85"/>
    <n v="23880.67"/>
    <n v="-119.85"/>
    <x v="2"/>
  </r>
  <r>
    <n v="177"/>
    <x v="0"/>
    <s v="24/07/2024"/>
    <s v="SPECSAVERS FINANCE-600920-71021000 858442-SPECSAVERS FINANCE-&amp;--&amp;-SPECSAVERS SEP COM"/>
    <s v="BACS Payment Received"/>
    <n v="400"/>
    <m/>
    <n v="24280.67"/>
    <n v="400"/>
    <x v="0"/>
  </r>
  <r>
    <n v="178"/>
    <x v="0"/>
    <s v="24/07/2024"/>
    <s v="A M Ibrahim Transfer"/>
    <s v="Outward Faster Payment"/>
    <m/>
    <n v="500"/>
    <n v="23780.67"/>
    <n v="-500"/>
    <x v="1"/>
  </r>
  <r>
    <n v="179"/>
    <x v="0"/>
    <s v="26/07/2024"/>
    <s v="SPECSAVERS FINANCE-600920-71021000 858442-SPECSAVERS FINANCE-&amp;--&amp;-SPECSAVERS SEP COM"/>
    <s v="BACS Payment Received"/>
    <n v="800"/>
    <m/>
    <n v="24580.67"/>
    <n v="800"/>
    <x v="0"/>
  </r>
  <r>
    <n v="180"/>
    <x v="0"/>
    <s v="26/07/2024"/>
    <s v="A M Ibrahim Salary"/>
    <s v="Outward Faster Payment"/>
    <m/>
    <n v="1047"/>
    <n v="23533.67"/>
    <n v="-1047"/>
    <x v="3"/>
  </r>
  <r>
    <n v="181"/>
    <x v="0"/>
    <s v="26/07/2024"/>
    <s v="A M Ibrahim Transfer"/>
    <s v="Outward Faster Payment"/>
    <m/>
    <n v="2500"/>
    <n v="21033.67"/>
    <n v="-2500"/>
    <x v="1"/>
  </r>
  <r>
    <n v="182"/>
    <x v="0"/>
    <s v="31/07/2024"/>
    <s v="SPECSAVERS FINANCE-600920-71021000 858442-SPECSAVERS FINANCE-&amp;--&amp;-SPECSAVERS SEP COM"/>
    <s v="BACS Payment Received"/>
    <n v="1525"/>
    <m/>
    <n v="22558.67"/>
    <n v="1525"/>
    <x v="0"/>
  </r>
  <r>
    <n v="183"/>
    <x v="0"/>
    <s v="02/08/2024"/>
    <s v="SPECSAVERS FINANCE-600920-71021000 858442-SPECSAVERS FINANCE-&amp;--&amp;-SPECSAVERS SEP COM"/>
    <s v="BACS Payment Received"/>
    <n v="400"/>
    <m/>
    <n v="22958.67"/>
    <n v="400"/>
    <x v="0"/>
  </r>
  <r>
    <n v="184"/>
    <x v="0"/>
    <s v="07/08/2024"/>
    <s v="SPECSAVERS FINANCE-600920-71021000 858442-SPECSAVERS FINANCE-&amp;--&amp;-SPECSAVERS SEP COM"/>
    <s v="BACS Payment Received"/>
    <n v="1080"/>
    <m/>
    <n v="24038.67"/>
    <n v="1080"/>
    <x v="0"/>
  </r>
  <r>
    <n v="185"/>
    <x v="0"/>
    <s v="09/08/2024"/>
    <s v="SPECSAVERS FINANCE-600920-71021000 858442-SPECSAVERS FINANCE-&amp;--&amp;-SPECSAVERS SEP COM"/>
    <s v="BACS Payment Received"/>
    <n v="1175"/>
    <m/>
    <n v="25213.67"/>
    <n v="1175"/>
    <x v="0"/>
  </r>
  <r>
    <n v="186"/>
    <x v="0"/>
    <s v="14/08/2024"/>
    <s v="SPECSAVERS FINANCE-600920-71021000 858442-SPECSAVERS FINANCE-&amp;--&amp;-SPECSAVERS SEP COM"/>
    <s v="BACS Payment Received"/>
    <n v="799.99"/>
    <m/>
    <n v="26013.66"/>
    <n v="799.99"/>
    <x v="0"/>
  </r>
  <r>
    <n v="187"/>
    <x v="0"/>
    <s v="16/08/2024"/>
    <s v="SPECSAVERS FINANCE-600920-71021000 858442-SPECSAVERS FINANCE-&amp;--&amp;-SPECSAVERS SEP COM"/>
    <s v="BACS Payment Received"/>
    <n v="1200"/>
    <m/>
    <n v="27213.66"/>
    <n v="1200"/>
    <x v="0"/>
  </r>
  <r>
    <n v="188"/>
    <x v="0"/>
    <s v="21/08/2024"/>
    <s v="SPECSAVERS FINANCE-600920-71021000 858442-SPECSAVERS FINANCE-&amp;--&amp;-SPECSAVERS SEP COM"/>
    <s v="BACS Payment Received"/>
    <n v="1050"/>
    <m/>
    <n v="28263.66"/>
    <n v="1050"/>
    <x v="0"/>
  </r>
  <r>
    <n v="189"/>
    <x v="0"/>
    <s v="23/08/2024"/>
    <s v="A M Ibrahim Salary"/>
    <s v="Outward Faster Payment"/>
    <m/>
    <n v="1047"/>
    <n v="27216.66"/>
    <n v="-1047"/>
    <x v="3"/>
  </r>
  <r>
    <n v="190"/>
    <x v="0"/>
    <s v="23/08/2024"/>
    <s v="A M Ibrahim Transfer"/>
    <s v="Outward Faster Payment"/>
    <m/>
    <n v="2500"/>
    <n v="24716.66"/>
    <n v="-2500"/>
    <x v="1"/>
  </r>
  <r>
    <n v="191"/>
    <x v="0"/>
    <s v="30/08/2024"/>
    <s v="SPECSAVERS FINANCE-600920-71021000 858442-SPECSAVERS FINANCE-&amp;--&amp;-SPECSAVERS SEP COM"/>
    <s v="BACS Payment Received"/>
    <n v="2450"/>
    <m/>
    <n v="27166.66"/>
    <n v="2450"/>
    <x v="0"/>
  </r>
  <r>
    <n v="192"/>
    <x v="0"/>
    <s v="04/09/2024"/>
    <s v="SPECSAVERS FINANCE-600920-71021000 858442-SPECSAVERS FINANCE-&amp;--&amp;-SPECSAVERS SEP COM"/>
    <s v="BACS Payment Received"/>
    <n v="1400"/>
    <m/>
    <n v="28566.66"/>
    <n v="1400"/>
    <x v="0"/>
  </r>
  <r>
    <n v="193"/>
    <x v="0"/>
    <s v="11/09/2024"/>
    <s v="SPECSAVERS FINANCE-600920-71021000 858442-SPECSAVERS FINANCE-&amp;--&amp;-SPECSAVERS SEP COM"/>
    <s v="BACS Payment Received"/>
    <n v="1275"/>
    <m/>
    <n v="29841.66"/>
    <n v="1275"/>
    <x v="0"/>
  </r>
  <r>
    <n v="194"/>
    <x v="0"/>
    <s v="13/09/2024"/>
    <s v="SPECSAVERS FINANCE-600920-71021000 858442-SPECSAVERS FINANCE-&amp;--&amp;-SPECSAVERS SEP COM"/>
    <s v="BACS Payment Received"/>
    <n v="1175"/>
    <m/>
    <n v="31016.66"/>
    <n v="1175"/>
    <x v="0"/>
  </r>
  <r>
    <n v="195"/>
    <x v="0"/>
    <s v="16/09/2024"/>
    <s v="A M Ibrahim Transfer"/>
    <s v="Outward Faster Payment"/>
    <m/>
    <n v="400"/>
    <n v="30616.66"/>
    <n v="-400"/>
    <x v="1"/>
  </r>
  <r>
    <n v="196"/>
    <x v="0"/>
    <s v="16/09/2024"/>
    <s v="A M Ibrahim Transfer"/>
    <s v="Outward Faster Payment"/>
    <m/>
    <n v="200"/>
    <n v="30416.66"/>
    <n v="-200"/>
    <x v="1"/>
  </r>
  <r>
    <n v="197"/>
    <x v="0"/>
    <s v="18/09/2024"/>
    <s v="A M Ibrahim Transfer"/>
    <s v="Outward Faster Payment"/>
    <m/>
    <n v="400"/>
    <n v="30016.66"/>
    <n v="-400"/>
    <x v="1"/>
  </r>
  <r>
    <n v="198"/>
    <x v="0"/>
    <s v="20/09/2024"/>
    <s v="SPECSAVERS FINANCE-600920-71021000 858442-SPECSAVERS FINANCE-&amp;--&amp;-SPECSAVERS SEP COM"/>
    <s v="BACS Payment Received"/>
    <n v="2450"/>
    <m/>
    <n v="32466.66"/>
    <n v="2450"/>
    <x v="0"/>
  </r>
  <r>
    <n v="199"/>
    <x v="0"/>
    <s v="24/09/2024"/>
    <s v="A M Ibrahim Transfer"/>
    <s v="Outward Faster Payment"/>
    <m/>
    <n v="200"/>
    <n v="32266.66"/>
    <n v="-200"/>
    <x v="1"/>
  </r>
  <r>
    <n v="200"/>
    <x v="0"/>
    <s v="25/09/2024"/>
    <s v="SPECSAVERS FINANCE-600920-71021000 858442-SPECSAVERS FINANCE-&amp;--&amp;-SPECSAVERS SEP COM"/>
    <s v="BACS Payment Received"/>
    <n v="425"/>
    <m/>
    <n v="32691.66"/>
    <n v="425"/>
    <x v="0"/>
  </r>
  <r>
    <n v="201"/>
    <x v="0"/>
    <s v="27/09/2024"/>
    <s v="SPECSAVERS FINANCE-600920-71021000 858442-SPECSAVERS FINANCE-&amp;--&amp;-SPECSAVERS SEP COM"/>
    <s v="BACS Payment Received"/>
    <n v="1125"/>
    <m/>
    <n v="33816.66"/>
    <n v="1125"/>
    <x v="0"/>
  </r>
  <r>
    <n v="202"/>
    <x v="0"/>
    <s v="27/09/2024"/>
    <s v="A M Ibrahim Salary"/>
    <s v="Outward Faster Payment"/>
    <m/>
    <n v="1047"/>
    <n v="32769.66"/>
    <n v="-1047"/>
    <x v="3"/>
  </r>
  <r>
    <n v="203"/>
    <x v="0"/>
    <s v="27/09/2024"/>
    <s v="A M Ibrahim Transfer"/>
    <s v="Outward Faster Payment"/>
    <m/>
    <n v="2500"/>
    <n v="30269.66"/>
    <n v="-2500"/>
    <x v="1"/>
  </r>
  <r>
    <n v="204"/>
    <x v="0"/>
    <s v="04/10/2024"/>
    <s v="SPECSAVERS FINANCE-600920-71021000 858442-SPECSAVERS FINANCE-&amp;--&amp;-SPECSAVERS SEP COM"/>
    <s v="BACS Payment Received"/>
    <n v="1250"/>
    <m/>
    <n v="31519.66"/>
    <n v="1250"/>
    <x v="0"/>
  </r>
  <r>
    <n v="205"/>
    <x v="0"/>
    <s v="09/10/2024"/>
    <s v="SPECSAVERS FINANCE-600920-71021000 858442-SPECSAVERS FINANCE-&amp;--&amp;-SPECSAVERS SEP COM"/>
    <s v="BACS Payment Received"/>
    <n v="400"/>
    <m/>
    <n v="31919.66"/>
    <n v="400"/>
    <x v="0"/>
  </r>
  <r>
    <n v="206"/>
    <x v="0"/>
    <s v="14/10/2024"/>
    <s v="A M Ibrahim Transfer"/>
    <s v="Outward Faster Payment"/>
    <m/>
    <n v="100"/>
    <n v="31819.66"/>
    <n v="-100"/>
    <x v="1"/>
  </r>
  <r>
    <n v="207"/>
    <x v="0"/>
    <s v="15/10/2024"/>
    <s v="GOGGLE BOX LTD LOCUM"/>
    <s v="Inward Payment"/>
    <n v="400"/>
    <m/>
    <n v="32219.66"/>
    <n v="400"/>
    <x v="0"/>
  </r>
  <r>
    <n v="208"/>
    <x v="0"/>
    <s v="15/10/2024"/>
    <s v="A M Ibrahim Transfer"/>
    <s v="Outward Faster Payment"/>
    <m/>
    <n v="100"/>
    <n v="32119.66"/>
    <n v="-100"/>
    <x v="1"/>
  </r>
  <r>
    <n v="209"/>
    <x v="0"/>
    <s v="16/10/2024"/>
    <s v="SPECSAVERS FINANCE-600920-71021000 858442-SPECSAVERS FINANCE-&amp;--&amp;-SPECSAVERS SEP COM"/>
    <s v="BACS Payment Received"/>
    <n v="1125"/>
    <m/>
    <n v="33244.66"/>
    <n v="1125"/>
    <x v="0"/>
  </r>
  <r>
    <n v="210"/>
    <x v="0"/>
    <s v="18/10/2024"/>
    <s v="SPECSAVERS FINANCE-600920-71021000 858442-SPECSAVERS FINANCE-&amp;--&amp;-SPECSAVERS SEP COM"/>
    <s v="BACS Payment Received"/>
    <n v="1525"/>
    <m/>
    <n v="34769.66"/>
    <n v="1525"/>
    <x v="0"/>
  </r>
  <r>
    <n v="211"/>
    <x v="0"/>
    <s v="18/10/2024"/>
    <s v="A M Ibrahim Transfer"/>
    <s v="Outward Faster Payment"/>
    <m/>
    <n v="65"/>
    <n v="34704.66"/>
    <n v="-65"/>
    <x v="1"/>
  </r>
  <r>
    <n v="212"/>
    <x v="0"/>
    <s v="21/10/2024"/>
    <s v="A M Ibrahim Transfer"/>
    <s v="Outward Faster Payment"/>
    <m/>
    <n v="200"/>
    <n v="34504.66"/>
    <n v="-200"/>
    <x v="1"/>
  </r>
  <r>
    <n v="213"/>
    <x v="0"/>
    <s v="24/10/2024"/>
    <s v="A M Ibrahim Transfer"/>
    <s v="Outward Faster Payment"/>
    <m/>
    <n v="100"/>
    <n v="34404.66"/>
    <n v="-100"/>
    <x v="1"/>
  </r>
  <r>
    <n v="214"/>
    <x v="0"/>
    <s v="25/10/2024"/>
    <s v="SPECSAVERS FINANCE-600920-71021000 858442-SPECSAVERS FINANCE-&amp;--&amp;-SPECSAVERS SEP COM"/>
    <s v="BACS Payment Received"/>
    <n v="1950"/>
    <m/>
    <n v="36354.66"/>
    <n v="1950"/>
    <x v="0"/>
  </r>
  <r>
    <n v="215"/>
    <x v="0"/>
    <s v="25/10/2024"/>
    <s v="A M Ibrahim Transfer"/>
    <s v="Outward Faster Payment"/>
    <m/>
    <n v="100"/>
    <n v="36254.66"/>
    <n v="-100"/>
    <x v="1"/>
  </r>
  <r>
    <n v="216"/>
    <x v="0"/>
    <s v="25/10/2024"/>
    <s v="A M Ibrahim Transfer"/>
    <s v="Outward Faster Payment"/>
    <m/>
    <n v="50"/>
    <n v="36204.66"/>
    <n v="-50"/>
    <x v="1"/>
  </r>
  <r>
    <n v="217"/>
    <x v="0"/>
    <s v="25/10/2024"/>
    <s v="A M Ibrahim Transfer"/>
    <s v="Outward Faster Payment"/>
    <m/>
    <n v="2400"/>
    <n v="33804.66"/>
    <n v="-2400"/>
    <x v="1"/>
  </r>
  <r>
    <n v="218"/>
    <x v="0"/>
    <s v="25/10/2024"/>
    <s v="A M Ibrahim Salary"/>
    <s v="Outward Faster Payment"/>
    <m/>
    <n v="1047"/>
    <n v="32757.66"/>
    <n v="-1047"/>
    <x v="3"/>
  </r>
  <r>
    <n v="219"/>
    <x v="0"/>
    <s v="01/11/2024"/>
    <s v="SPECSAVERS FINANCE-600920-71021000 858442-SPECSAVERS FINANCE-&amp;--&amp;-SPECSAVERS SEP COM"/>
    <s v="BACS Payment Received"/>
    <n v="1125"/>
    <m/>
    <n v="33882.66"/>
    <n v="1125"/>
    <x v="0"/>
  </r>
  <r>
    <n v="220"/>
    <x v="0"/>
    <s v="08/11/2024"/>
    <s v="SPECSAVERS FINANCE-600920-71021000 858442-SPECSAVERS FINANCE-&amp;--&amp;-SPECSAVERS SEP COM"/>
    <s v="BACS Payment Received"/>
    <n v="1100"/>
    <m/>
    <n v="34982.66"/>
    <n v="1100"/>
    <x v="0"/>
  </r>
  <r>
    <n v="221"/>
    <x v="0"/>
    <s v="13/11/2024"/>
    <s v="SPECSAVERS FINANCE-600920-71021000 858442-SPECSAVERS FINANCE-&amp;--&amp;-SPECSAVERS SEP COM"/>
    <s v="BACS Payment Received"/>
    <n v="2050"/>
    <m/>
    <n v="37032.66"/>
    <n v="2050"/>
    <x v="0"/>
  </r>
  <r>
    <n v="222"/>
    <x v="0"/>
    <s v="15/11/2024"/>
    <s v="SPECSAVERS FINANCE-600920-71021000 858442-SPECSAVERS FINANCE-&amp;--&amp;-SPECSAVERS SEP COM"/>
    <s v="BACS Payment Received"/>
    <n v="750"/>
    <m/>
    <n v="37782.66"/>
    <n v="750"/>
    <x v="0"/>
  </r>
  <r>
    <n v="223"/>
    <x v="0"/>
    <s v="15/11/2024"/>
    <s v="A M Ibrahim Transfer"/>
    <s v="Outward Faster Payment"/>
    <m/>
    <n v="160"/>
    <n v="37622.66"/>
    <n v="-160"/>
    <x v="1"/>
  </r>
  <r>
    <n v="224"/>
    <x v="0"/>
    <s v="19/11/2024"/>
    <s v="A M Ibrahim Transfer"/>
    <s v="Outward Faster Payment"/>
    <m/>
    <n v="100"/>
    <n v="37522.66"/>
    <n v="-100"/>
    <x v="1"/>
  </r>
  <r>
    <n v="225"/>
    <x v="0"/>
    <s v="20/11/2024"/>
    <s v="SPECSAVERS FINANCE-600920-71021000 858442-SPECSAVERS FINANCE-&amp;--&amp;-SPECSAVERS SEP COM"/>
    <s v="BACS Payment Received"/>
    <n v="450"/>
    <m/>
    <n v="37972.66"/>
    <n v="450"/>
    <x v="0"/>
  </r>
  <r>
    <n v="226"/>
    <x v="0"/>
    <s v="20/11/2024"/>
    <s v="A M Ibrahim Transfer"/>
    <s v="Outward Faster Payment"/>
    <m/>
    <n v="130"/>
    <n v="37842.66"/>
    <n v="-130"/>
    <x v="1"/>
  </r>
  <r>
    <n v="227"/>
    <x v="0"/>
    <s v="20/11/2024"/>
    <s v="A M Ibrahim Transfer"/>
    <s v="Outward Faster Payment"/>
    <m/>
    <n v="240"/>
    <n v="37602.66"/>
    <n v="-240"/>
    <x v="1"/>
  </r>
  <r>
    <n v="228"/>
    <x v="0"/>
    <s v="22/11/2024"/>
    <s v="SPECSAVERS FINANCE-600920-71021000 858442-SPECSAVERS FINANCE-&amp;--&amp;-SPECSAVERS SEP COM"/>
    <s v="BACS Payment Received"/>
    <n v="800"/>
    <m/>
    <n v="38402.66"/>
    <n v="800"/>
    <x v="0"/>
  </r>
  <r>
    <n v="229"/>
    <x v="0"/>
    <s v="26/11/2024"/>
    <s v="A M Ibrahim Transfer"/>
    <s v="Outward Faster Payment"/>
    <m/>
    <n v="2500"/>
    <n v="35902.66"/>
    <n v="-2500"/>
    <x v="1"/>
  </r>
  <r>
    <n v="230"/>
    <x v="0"/>
    <s v="27/11/2024"/>
    <s v="SPECSAVERS FINANCE-600920-71021000 858442-SPECSAVERS FINANCE-&amp;--&amp;-SPECSAVERS SEP COM"/>
    <s v="BACS Payment Received"/>
    <n v="1125"/>
    <m/>
    <n v="37027.66"/>
    <n v="1125"/>
    <x v="0"/>
  </r>
  <r>
    <n v="231"/>
    <x v="0"/>
    <s v="27/11/2024"/>
    <s v="A M Ibrahim Salary"/>
    <s v="Outward Faster Payment"/>
    <m/>
    <n v="1047"/>
    <n v="35980.66"/>
    <n v="-1047"/>
    <x v="3"/>
  </r>
  <r>
    <n v="232"/>
    <x v="0"/>
    <s v="29/11/2024"/>
    <s v="SPECSAVERS FINANCE-600920-71021000 858442-SPECSAVERS FINANCE-&amp;--&amp;-SPECSAVERS SEP COM"/>
    <s v="BACS Payment Received"/>
    <n v="375"/>
    <m/>
    <n v="36355.66"/>
    <n v="375"/>
    <x v="0"/>
  </r>
  <r>
    <n v="233"/>
    <x v="0"/>
    <s v="03/12/2024"/>
    <s v="A M Ibrahim Transfer"/>
    <s v="Outward Faster Payment"/>
    <m/>
    <n v="600"/>
    <n v="35755.66"/>
    <n v="-600"/>
    <x v="1"/>
  </r>
  <r>
    <n v="234"/>
    <x v="0"/>
    <s v="06/12/2024"/>
    <s v="SPECSAVERS FINANCE-600920-71021000 858442-SPECSAVERS FINANCE-&amp;--&amp;-SPECSAVERS SEP COM"/>
    <s v="BACS Payment Received"/>
    <n v="2650"/>
    <m/>
    <n v="38405.66"/>
    <n v="2650"/>
    <x v="0"/>
  </r>
  <r>
    <n v="235"/>
    <x v="0"/>
    <s v="11/12/2024"/>
    <s v="A M Ibrahim Transfer"/>
    <s v="Outward Faster Payment"/>
    <m/>
    <n v="400"/>
    <n v="38005.66"/>
    <n v="-400"/>
    <x v="1"/>
  </r>
  <r>
    <n v="236"/>
    <x v="0"/>
    <s v="13/12/2024"/>
    <s v="SPECSAVERS FINANCE-600920-71021000 858442-SPECSAVERS FINANCE-&amp;--&amp;-SPECSAVERS SEP COM"/>
    <s v="BACS Payment Received"/>
    <n v="1100"/>
    <m/>
    <n v="39105.66"/>
    <n v="1100"/>
    <x v="0"/>
  </r>
  <r>
    <n v="237"/>
    <x v="0"/>
    <s v="16/12/2024"/>
    <s v="A M Ibrahim Transfer"/>
    <s v="Outward Faster Payment"/>
    <m/>
    <n v="2500"/>
    <n v="36605.66"/>
    <n v="-2500"/>
    <x v="1"/>
  </r>
  <r>
    <n v="238"/>
    <x v="0"/>
    <s v="17/12/2024"/>
    <s v="HMRC Cumbernauld 4375411945A00108A"/>
    <s v="Outward Faster Payment"/>
    <m/>
    <n v="10449.49"/>
    <n v="26156.17"/>
    <n v="-10449.49"/>
    <x v="5"/>
  </r>
  <r>
    <n v="239"/>
    <x v="0"/>
    <s v="17/12/2024"/>
    <s v="HMRC Cumbernauld 3239536995K"/>
    <s v="Outward Faster Payment"/>
    <m/>
    <n v="6466.69"/>
    <n v="19689.48"/>
    <n v="-6466.69"/>
    <x v="6"/>
  </r>
  <r>
    <n v="240"/>
    <x v="0"/>
    <s v="17/12/2024"/>
    <s v="A M Ibrahim Transfer"/>
    <s v="Outward Faster Payment"/>
    <m/>
    <n v="600"/>
    <n v="19089.48"/>
    <n v="-600"/>
    <x v="1"/>
  </r>
  <r>
    <n v="241"/>
    <x v="0"/>
    <s v="20/12/2024"/>
    <s v="SPECSAVERS FINANCE-600920-71021000 858442-SPECSAVERS FINANCE-&amp;--&amp;-SPECSAVERS SEP COM"/>
    <s v="BACS Payment Received"/>
    <n v="1525"/>
    <m/>
    <n v="20614.48"/>
    <n v="1525"/>
    <x v="0"/>
  </r>
  <r>
    <n v="242"/>
    <x v="0"/>
    <s v="20/12/2024"/>
    <s v="A M Ibrahim Transfer"/>
    <s v="Outward Faster Payment"/>
    <m/>
    <n v="600"/>
    <n v="20014.48"/>
    <n v="-600"/>
    <x v="1"/>
  </r>
  <r>
    <n v="243"/>
    <x v="0"/>
    <s v="23/12/2024"/>
    <s v="A M Ibrahim Transfer"/>
    <s v="Outward Faster Payment"/>
    <m/>
    <n v="1000"/>
    <n v="19014.48"/>
    <n v="-1000"/>
    <x v="1"/>
  </r>
  <r>
    <n v="244"/>
    <x v="0"/>
    <s v="24/12/2024"/>
    <s v="A M Ibrahim Salary"/>
    <s v="Outward Faster Payment"/>
    <m/>
    <n v="1047"/>
    <n v="17967.48"/>
    <n v="-1047"/>
    <x v="3"/>
  </r>
  <r>
    <n v="245"/>
    <x v="0"/>
    <s v="24/12/2024"/>
    <s v="A M Ibrahim Transfer"/>
    <s v="Outward Faster Payment"/>
    <m/>
    <n v="900"/>
    <n v="17067.48"/>
    <n v="-900"/>
    <x v="1"/>
  </r>
  <r>
    <n v="246"/>
    <x v="0"/>
    <s v="27/12/2024"/>
    <s v="SPECSAVERS FINANCE-600920-71021000 858442-SPECSAVERS FINANCE-&amp;--&amp;-SPECSAVERS SEP COM"/>
    <s v="BACS Payment Received"/>
    <n v="375"/>
    <m/>
    <n v="17442.48"/>
    <n v="375"/>
    <x v="0"/>
  </r>
  <r>
    <n v="247"/>
    <x v="0"/>
    <s v="31/12/2024"/>
    <s v="SPECSAVERS FINANCE-600920-71021000 858442-SPECSAVERS FINANCE-&amp;--&amp;-SPECSAVERS SEP COM"/>
    <s v="BACS Payment Received"/>
    <n v="750"/>
    <m/>
    <n v="18192.48"/>
    <n v="750"/>
    <x v="0"/>
  </r>
  <r>
    <n v="248"/>
    <x v="0"/>
    <s v="02/01/2025"/>
    <s v="SPECSAVERS FINANCE-600920-71021000 858442-SPECSAVERS FINANCE-&amp;--&amp;-SPECSAVERS SEP COM"/>
    <s v="BACS Payment Received"/>
    <n v="566.5"/>
    <m/>
    <n v="18758.98"/>
    <n v="566.5"/>
    <x v="0"/>
  </r>
  <r>
    <n v="249"/>
    <x v="0"/>
    <s v="03/01/2025"/>
    <s v="A M Ibrahim Transfer"/>
    <s v="Outward Faster Payment"/>
    <m/>
    <n v="500"/>
    <n v="18258.98"/>
    <n v="-500"/>
    <x v="1"/>
  </r>
  <r>
    <n v="250"/>
    <x v="0"/>
    <s v="06/01/2025"/>
    <s v="SPECSAVERS FINANCE-600920-71021000 858442-SPECSAVERS FINANCE-&amp;--&amp;-SPECSAVERS SEP COM"/>
    <s v="BACS Payment Received"/>
    <n v="400"/>
    <m/>
    <n v="18658.98"/>
    <n v="400"/>
    <x v="0"/>
  </r>
  <r>
    <n v="251"/>
    <x v="0"/>
    <s v="08/01/2025"/>
    <s v="SPECSAVERS FINANCE-600920-71021000 858442-SPECSAVERS FINANCE-&amp;--&amp;-SPECSAVERS SEP COM"/>
    <s v="BACS Payment Received"/>
    <n v="800"/>
    <m/>
    <n v="19458.98"/>
    <n v="800"/>
    <x v="0"/>
  </r>
  <r>
    <n v="252"/>
    <x v="0"/>
    <s v="08/01/2025"/>
    <s v="HMRC Cumbernauld 120PK02422677"/>
    <s v="Outward Faster Payment"/>
    <m/>
    <n v="45.19"/>
    <n v="19413.79"/>
    <n v="-45.19"/>
    <x v="2"/>
  </r>
  <r>
    <n v="253"/>
    <x v="0"/>
    <s v="10/01/2025"/>
    <s v="A M Ibrahim Transfer"/>
    <s v="Outward Faster Payment"/>
    <m/>
    <n v="410"/>
    <n v="19003.79"/>
    <n v="-410"/>
    <x v="1"/>
  </r>
  <r>
    <n v="254"/>
    <x v="0"/>
    <s v="10/01/2025"/>
    <s v="A M Ibrahim Transfer"/>
    <s v="Outward Faster Payment"/>
    <m/>
    <n v="1000"/>
    <n v="18003.79"/>
    <n v="-1000"/>
    <x v="1"/>
  </r>
  <r>
    <n v="255"/>
    <x v="0"/>
    <s v="13/01/2025"/>
    <s v="A M Ibrahim Transfer"/>
    <s v="Outward Faster Payment"/>
    <m/>
    <n v="500"/>
    <n v="17503.79"/>
    <n v="-500"/>
    <x v="1"/>
  </r>
  <r>
    <n v="256"/>
    <x v="0"/>
    <s v="14/01/2025"/>
    <s v="A M Ibrahim Transfer"/>
    <s v="Outward Faster Payment"/>
    <m/>
    <n v="500"/>
    <n v="17003.79"/>
    <n v="-500"/>
    <x v="1"/>
  </r>
  <r>
    <n v="257"/>
    <x v="0"/>
    <s v="15/01/2025"/>
    <s v="SPECSAVERS FINANCE-600920-71021000 858442-SPECSAVERS FINANCE-&amp;--&amp;-SPECSAVERS SEP COM"/>
    <s v="BACS Payment Received"/>
    <n v="750"/>
    <m/>
    <n v="17753.79"/>
    <n v="750"/>
    <x v="0"/>
  </r>
  <r>
    <n v="258"/>
    <x v="0"/>
    <s v="17/01/2025"/>
    <s v="A M Ibrahim Transfer"/>
    <s v="Outward Faster Payment"/>
    <m/>
    <n v="1500"/>
    <n v="16253.79"/>
    <n v="-1500"/>
    <x v="1"/>
  </r>
  <r>
    <n v="259"/>
    <x v="0"/>
    <s v="20/01/2025"/>
    <s v="A M Ibrahim Transfer"/>
    <s v="Outward Faster Payment"/>
    <m/>
    <n v="100"/>
    <n v="16153.79"/>
    <n v="-100"/>
    <x v="1"/>
  </r>
  <r>
    <n v="260"/>
    <x v="0"/>
    <s v="21/01/2025"/>
    <s v="A M Ibrahim Transfer"/>
    <s v="Outward Faster Payment"/>
    <m/>
    <n v="100"/>
    <n v="16053.79"/>
    <n v="-100"/>
    <x v="1"/>
  </r>
  <r>
    <n v="261"/>
    <x v="0"/>
    <s v="22/01/2025"/>
    <s v="SPECSAVERS FINANCE-600920-71021000 858442-SPECSAVERS FINANCE-&amp;--&amp;-SPECSAVERS SEP COM"/>
    <s v="BACS Payment Received"/>
    <n v="2000"/>
    <m/>
    <n v="18053.79"/>
    <n v="2000"/>
    <x v="0"/>
  </r>
  <r>
    <n v="262"/>
    <x v="0"/>
    <s v="24/01/2025"/>
    <s v="SPECSAVERS FINANCE-600920-71021000 858442-SPECSAVERS FINANCE-&amp;--&amp;-SPECSAVERS SEP COM"/>
    <s v="BACS Payment Received"/>
    <n v="750"/>
    <m/>
    <n v="18803.79"/>
    <n v="750"/>
    <x v="0"/>
  </r>
  <r>
    <n v="263"/>
    <x v="0"/>
    <s v="24/01/2025"/>
    <s v="A M Ibrahim Transfer"/>
    <s v="Outward Faster Payment"/>
    <m/>
    <n v="2500"/>
    <n v="16303.79"/>
    <n v="-2500"/>
    <x v="1"/>
  </r>
  <r>
    <n v="264"/>
    <x v="0"/>
    <s v="27/01/2025"/>
    <s v="A M Ibrahim Salary"/>
    <s v="Outward Faster Payment"/>
    <m/>
    <n v="1047"/>
    <n v="15256.79"/>
    <n v="-1047"/>
    <x v="3"/>
  </r>
  <r>
    <n v="265"/>
    <x v="0"/>
    <s v="31/01/2025"/>
    <s v="SPECSAVERS FINANCE-600920-71021000 858442-SPECSAVERS FINANCE-&amp;--&amp;-SPECSAVERS SEP COM"/>
    <s v="BACS Payment Received"/>
    <n v="750"/>
    <m/>
    <n v="16006.79"/>
    <n v="750"/>
    <x v="0"/>
  </r>
  <r>
    <n v="266"/>
    <x v="0"/>
    <s v="05/02/2025"/>
    <s v="SPECSAVERS FINANCE-600920-71021000 858442-SPECSAVERS FINANCE-&amp;--&amp;-SPECSAVERS SEP COM"/>
    <s v="BACS Payment Received"/>
    <n v="1150"/>
    <m/>
    <n v="17156.79"/>
    <n v="1150"/>
    <x v="0"/>
  </r>
  <r>
    <n v="267"/>
    <x v="0"/>
    <s v="07/02/2025"/>
    <s v="SPECSAVERS FINANCE-600920-71021000 858442-SPECSAVERS FINANCE-&amp;--&amp;-SPECSAVERS SEP COM"/>
    <s v="BACS Payment Received"/>
    <n v="1650"/>
    <m/>
    <n v="18806.79"/>
    <n v="1650"/>
    <x v="0"/>
  </r>
  <r>
    <n v="268"/>
    <x v="0"/>
    <s v="07/02/2025"/>
    <s v="A M Ibrahim Transfer"/>
    <s v="Outward Faster Payment"/>
    <m/>
    <n v="200"/>
    <n v="18606.79"/>
    <n v="-200"/>
    <x v="1"/>
  </r>
  <r>
    <n v="269"/>
    <x v="0"/>
    <s v="11/02/2025"/>
    <s v="A M Ibrahim Transfer"/>
    <s v="Outward Faster Payment"/>
    <m/>
    <n v="600"/>
    <n v="18006.79"/>
    <n v="-600"/>
    <x v="1"/>
  </r>
  <r>
    <n v="270"/>
    <x v="0"/>
    <s v="14/02/2025"/>
    <s v="SPECSAVERS FINANCE-600920-71021000 858442-SPECSAVERS FINANCE-&amp;--&amp;-SPECSAVERS SEP COM"/>
    <s v="BACS Payment Received"/>
    <n v="825"/>
    <m/>
    <n v="18831.79"/>
    <n v="825"/>
    <x v="0"/>
  </r>
  <r>
    <n v="271"/>
    <x v="0"/>
    <s v="14/02/2025"/>
    <s v="A M Ibrahim Transfer"/>
    <s v="Outward Faster Payment"/>
    <m/>
    <n v="200"/>
    <n v="18631.79"/>
    <n v="-200"/>
    <x v="1"/>
  </r>
  <r>
    <n v="272"/>
    <x v="0"/>
    <s v="17/02/2025"/>
    <s v="A M Ibrahim Transfer"/>
    <s v="Outward Faster Payment"/>
    <m/>
    <n v="35"/>
    <n v="18596.79"/>
    <n v="-35"/>
    <x v="1"/>
  </r>
  <r>
    <n v="273"/>
    <x v="0"/>
    <s v="17/02/2025"/>
    <s v="A M Ibrahim Transfer"/>
    <s v="Outward Faster Payment"/>
    <m/>
    <n v="166"/>
    <n v="18430.79"/>
    <n v="-166"/>
    <x v="1"/>
  </r>
  <r>
    <n v="274"/>
    <x v="0"/>
    <s v="19/02/2025"/>
    <s v="A M Ibrahim Transfer"/>
    <s v="Outward Faster Payment"/>
    <m/>
    <n v="200"/>
    <n v="18230.79"/>
    <n v="-200"/>
    <x v="1"/>
  </r>
  <r>
    <n v="275"/>
    <x v="0"/>
    <s v="19/02/2025"/>
    <s v="A M Ibrahim Transfer"/>
    <s v="Outward Faster Payment"/>
    <m/>
    <n v="800"/>
    <n v="17430.79"/>
    <n v="-800"/>
    <x v="1"/>
  </r>
  <r>
    <n v="276"/>
    <x v="0"/>
    <s v="20/02/2025"/>
    <s v="SPECSAVERS FINANCE-600920-71021000 858442-SPECSAVERS FINANCE-&amp;--&amp;-SPECSAVERS SEP COM"/>
    <s v="BACS Payment Received"/>
    <n v="350"/>
    <m/>
    <n v="17780.79"/>
    <n v="350"/>
    <x v="0"/>
  </r>
  <r>
    <n v="277"/>
    <x v="0"/>
    <s v="20/02/2025"/>
    <s v="A M Ibrahim Transfer"/>
    <s v="Outward Faster Payment"/>
    <m/>
    <n v="30"/>
    <n v="17750.79"/>
    <n v="-30"/>
    <x v="1"/>
  </r>
  <r>
    <n v="278"/>
    <x v="0"/>
    <s v="21/02/2025"/>
    <s v="SPECSAVERS FINANCE-600920-71021000 858442-SPECSAVERS FINANCE-&amp;--&amp;-SPECSAVERS SEP COM"/>
    <s v="BACS Payment Received"/>
    <n v="400"/>
    <m/>
    <n v="18150.79"/>
    <n v="400"/>
    <x v="0"/>
  </r>
  <r>
    <n v="279"/>
    <x v="0"/>
    <s v="21/02/2025"/>
    <s v="A M Ibrahim Transfer"/>
    <s v="Outward Faster Payment"/>
    <m/>
    <n v="150"/>
    <n v="18000.79"/>
    <n v="-150"/>
    <x v="1"/>
  </r>
  <r>
    <n v="280"/>
    <x v="0"/>
    <s v="21/02/2025"/>
    <s v="A M Ibrahim Transfer"/>
    <s v="Outward Faster Payment"/>
    <m/>
    <n v="2500"/>
    <n v="15500.79"/>
    <n v="-2500"/>
    <x v="1"/>
  </r>
  <r>
    <n v="281"/>
    <x v="0"/>
    <s v="26/02/2025"/>
    <s v="SPECSAVERS FINANCE-600920-71021000 858442-SPECSAVERS FINANCE-&amp;--&amp;-SPECSAVERS SEP COM"/>
    <s v="BACS Payment Received"/>
    <n v="1175"/>
    <m/>
    <n v="16675.79"/>
    <n v="1175"/>
    <x v="0"/>
  </r>
  <r>
    <n v="282"/>
    <x v="0"/>
    <s v="28/02/2025"/>
    <s v="SPECSAVERS FINANCE-600920-71021000 858442-SPECSAVERS FINANCE-&amp;--&amp;-SPECSAVERS SEP COM"/>
    <s v="BACS Payment Received"/>
    <n v="775"/>
    <m/>
    <n v="17450.79"/>
    <n v="775"/>
    <x v="0"/>
  </r>
  <r>
    <n v="283"/>
    <x v="0"/>
    <s v="28/02/2025"/>
    <s v="A M Ibrahim Salary"/>
    <s v="Outward Faster Payment"/>
    <m/>
    <n v="1047"/>
    <n v="16403.79"/>
    <n v="-1047"/>
    <x v="3"/>
  </r>
  <r>
    <n v="284"/>
    <x v="0"/>
    <s v="28/02/2025"/>
    <s v="GOGGLE BOX LTD LOCUM"/>
    <s v="Inward Payment"/>
    <n v="375"/>
    <m/>
    <n v="16778.79"/>
    <n v="375"/>
    <x v="0"/>
  </r>
  <r>
    <n v="285"/>
    <x v="0"/>
    <s v="05/03/2025"/>
    <s v="SPECSAVERS FINANCE-600920-71021000 858442-SPECSAVERS FINANCE-&amp;--&amp;-SPECSAVERS SEP COM"/>
    <s v="BACS Payment Received"/>
    <n v="350"/>
    <m/>
    <n v="17128.79"/>
    <n v="350"/>
    <x v="0"/>
  </r>
  <r>
    <n v="286"/>
    <x v="0"/>
    <s v="07/03/2025"/>
    <s v="SPECSAVERS FINANCE-600920-71021000 858442-SPECSAVERS FINANCE-&amp;--&amp;-SPECSAVERS SEP COM"/>
    <s v="BACS Payment Received"/>
    <n v="1475"/>
    <m/>
    <n v="18603.79"/>
    <n v="1475"/>
    <x v="0"/>
  </r>
  <r>
    <n v="287"/>
    <x v="0"/>
    <s v="12/03/2025"/>
    <s v="SPECSAVERS FINANCE-600920-71021000 858442-SPECSAVERS FINANCE-&amp;--&amp;-SPECSAVERS SEP COM"/>
    <s v="BACS Payment Received"/>
    <n v="1250"/>
    <m/>
    <n v="19853.79"/>
    <n v="1250"/>
    <x v="0"/>
  </r>
  <r>
    <n v="288"/>
    <x v="0"/>
    <s v="12/03/2025"/>
    <s v="A M Ibrahim Transfer"/>
    <s v="Outward Faster Payment"/>
    <m/>
    <n v="500"/>
    <n v="19353.79"/>
    <n v="-500"/>
    <x v="1"/>
  </r>
  <r>
    <n v="289"/>
    <x v="0"/>
    <s v="13/03/2025"/>
    <s v="A M Ibrahim Transfer"/>
    <s v="Outward Faster Payment"/>
    <m/>
    <n v="300"/>
    <n v="19053.79"/>
    <n v="-300"/>
    <x v="1"/>
  </r>
  <r>
    <n v="290"/>
    <x v="0"/>
    <s v="14/03/2025"/>
    <s v="SPECSAVERS FINANCE-600920-71021000 858442-SPECSAVERS FINANCE-&amp;--&amp;-SPECSAVERS SEP COM"/>
    <s v="BACS Payment Received"/>
    <n v="775"/>
    <m/>
    <n v="19828.79"/>
    <n v="775"/>
    <x v="0"/>
  </r>
  <r>
    <n v="291"/>
    <x v="0"/>
    <s v="17/03/2025"/>
    <s v="A M Ibrahim Transfer"/>
    <s v="Outward Faster Payment"/>
    <m/>
    <n v="300"/>
    <n v="19528.79"/>
    <n v="-300"/>
    <x v="1"/>
  </r>
  <r>
    <n v="292"/>
    <x v="0"/>
    <s v="19/03/2025"/>
    <s v="SPECSAVERS FINANCE-600920-71021000 858442-SPECSAVERS FINANCE-&amp;--&amp;-SPECSAVERS SEP COM"/>
    <s v="BACS Payment Received"/>
    <n v="1225"/>
    <m/>
    <n v="20753.79"/>
    <n v="1225"/>
    <x v="0"/>
  </r>
  <r>
    <n v="293"/>
    <x v="0"/>
    <s v="21/03/2025"/>
    <s v="SPECSAVERS FINANCE-600920-71021000 858442-SPECSAVERS FINANCE-&amp;--&amp;-SPECSAVERS SEP COM"/>
    <s v="BACS Payment Received"/>
    <n v="750"/>
    <m/>
    <n v="21503.79"/>
    <n v="750"/>
    <x v="0"/>
  </r>
  <r>
    <n v="294"/>
    <x v="0"/>
    <s v="21/03/2025"/>
    <s v="A M Ibrahim Transfer"/>
    <s v="Outward Faster Payment"/>
    <m/>
    <n v="500"/>
    <n v="21003.79"/>
    <n v="-500"/>
    <x v="1"/>
  </r>
  <r>
    <n v="295"/>
    <x v="0"/>
    <s v="26/03/2025"/>
    <s v="SPECSAVERS FINANCE-600920-71021000 858442-SPECSAVERS FINANCE-&amp;--&amp;-SPECSAVERS SEP COM"/>
    <s v="BACS Payment Received"/>
    <n v="1225"/>
    <m/>
    <n v="22228.79"/>
    <n v="1225"/>
    <x v="0"/>
  </r>
  <r>
    <n v="296"/>
    <x v="0"/>
    <s v="28/03/2025"/>
    <s v="SPECSAVERS FINANCE-600920-71021000 858442-SPECSAVERS FINANCE-&amp;--&amp;-SPECSAVERS SEP COM"/>
    <s v="BACS Payment Received"/>
    <n v="800"/>
    <m/>
    <n v="23028.79"/>
    <n v="800"/>
    <x v="0"/>
  </r>
  <r>
    <n v="297"/>
    <x v="0"/>
    <s v="28/03/2025"/>
    <s v="A M Ibrahim personal"/>
    <s v="Outward Faster Payment"/>
    <m/>
    <n v="2500"/>
    <n v="20528.79"/>
    <n v="-2500"/>
    <x v="1"/>
  </r>
  <r>
    <n v="298"/>
    <x v="0"/>
    <s v="28/03/2025"/>
    <s v="A M Ibrahim Salary"/>
    <s v="Outward Faster Payment"/>
    <m/>
    <n v="528"/>
    <n v="20000.79"/>
    <n v="-528"/>
    <x v="3"/>
  </r>
  <r>
    <n v="299"/>
    <x v="0"/>
    <s v="28/03/2025"/>
    <s v="A M Ibrahim Salary"/>
    <s v="Outward Faster Payment"/>
    <m/>
    <n v="1047"/>
    <n v="18953.79"/>
    <n v="-1047"/>
    <x v="3"/>
  </r>
  <r>
    <n v="300"/>
    <x v="0"/>
    <s v="31/03/2025"/>
    <s v="A M Ibrahim Transfer"/>
    <s v="Outward Faster Payment"/>
    <m/>
    <n v="500"/>
    <n v="18453.79"/>
    <n v="-5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0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8" indent="0" outline="1" outlineData="1" multipleFieldFilters="0">
  <location ref="A3:B12" firstHeaderRow="1" firstDataRow="2" firstDataCol="1"/>
  <pivotFields count="10">
    <pivotField numFmtId="49" showAll="0"/>
    <pivotField axis="axisCol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3" showAll="0"/>
    <pivotField axis="axisRow" showAll="0">
      <items count="8">
        <item x="4"/>
        <item x="1"/>
        <item x="5"/>
        <item x="2"/>
        <item x="6"/>
        <item x="0"/>
        <item x="3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">
    <i>
      <x v="1"/>
    </i>
  </colItems>
  <dataFields count="1">
    <dataField name="Sum of Net" fld="8" baseField="9" baseItem="0" numFmtId="43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M651"/>
  <sheetViews>
    <sheetView showGridLines="0" tabSelected="1" topLeftCell="A594" workbookViewId="0">
      <selection activeCell="J650" sqref="J650"/>
    </sheetView>
  </sheetViews>
  <sheetFormatPr defaultColWidth="8.28515625" defaultRowHeight="19.899999999999999" customHeight="1"/>
  <cols>
    <col min="1" max="2" width="6.85546875" style="1" customWidth="1"/>
    <col min="3" max="3" width="10.140625" style="1" customWidth="1"/>
    <col min="4" max="4" width="82.42578125" style="1" customWidth="1"/>
    <col min="5" max="5" width="22.5703125" style="1" bestFit="1" customWidth="1"/>
    <col min="6" max="6" width="9.42578125" style="8" bestFit="1" customWidth="1"/>
    <col min="7" max="8" width="10.28515625" style="8" bestFit="1" customWidth="1"/>
    <col min="9" max="9" width="10.28515625" style="1" bestFit="1" customWidth="1"/>
    <col min="10" max="10" width="13.28515625" style="1" bestFit="1" customWidth="1"/>
    <col min="11" max="11" width="8.28515625" style="1" customWidth="1"/>
    <col min="12" max="16384" width="8.28515625" style="1"/>
  </cols>
  <sheetData>
    <row r="1" spans="1:12" ht="20.25" customHeight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L1" s="1" t="s">
        <v>40</v>
      </c>
    </row>
    <row r="2" spans="1:12" ht="20.25" customHeight="1">
      <c r="A2" s="15">
        <v>121</v>
      </c>
      <c r="B2" s="16" t="s">
        <v>41</v>
      </c>
      <c r="C2" s="17" t="s">
        <v>42</v>
      </c>
      <c r="D2" s="18" t="s">
        <v>43</v>
      </c>
      <c r="E2" s="19" t="s">
        <v>44</v>
      </c>
      <c r="F2" s="20">
        <v>1825</v>
      </c>
      <c r="G2" s="21"/>
      <c r="H2" s="20">
        <v>22153.37</v>
      </c>
      <c r="I2" s="22">
        <f t="shared" ref="I2:I65" si="0">F2-G2</f>
        <v>1825</v>
      </c>
      <c r="J2" s="23" t="s">
        <v>14</v>
      </c>
    </row>
    <row r="3" spans="1:12" ht="20.100000000000001" customHeight="1">
      <c r="A3" s="3">
        <v>122</v>
      </c>
      <c r="B3" s="14" t="s">
        <v>41</v>
      </c>
      <c r="C3" s="3" t="s">
        <v>45</v>
      </c>
      <c r="D3" s="4" t="s">
        <v>43</v>
      </c>
      <c r="E3" s="5" t="s">
        <v>44</v>
      </c>
      <c r="F3" s="12">
        <v>1450</v>
      </c>
      <c r="G3" s="11"/>
      <c r="H3" s="12">
        <v>23603.37</v>
      </c>
      <c r="I3" s="9">
        <f t="shared" si="0"/>
        <v>1450</v>
      </c>
      <c r="J3" s="1" t="s">
        <v>14</v>
      </c>
    </row>
    <row r="4" spans="1:12" ht="20.100000000000001" customHeight="1">
      <c r="A4" s="3">
        <v>123</v>
      </c>
      <c r="B4" s="14" t="s">
        <v>41</v>
      </c>
      <c r="C4" s="3" t="s">
        <v>46</v>
      </c>
      <c r="D4" s="4" t="s">
        <v>47</v>
      </c>
      <c r="E4" s="5" t="s">
        <v>48</v>
      </c>
      <c r="F4" s="11"/>
      <c r="G4" s="12">
        <v>600</v>
      </c>
      <c r="H4" s="12">
        <v>23003.37</v>
      </c>
      <c r="I4" s="9">
        <f t="shared" si="0"/>
        <v>-600</v>
      </c>
      <c r="J4" s="1" t="s">
        <v>7</v>
      </c>
    </row>
    <row r="5" spans="1:12" ht="20.100000000000001" customHeight="1">
      <c r="A5" s="3">
        <v>124</v>
      </c>
      <c r="B5" s="14" t="s">
        <v>41</v>
      </c>
      <c r="C5" s="3" t="s">
        <v>49</v>
      </c>
      <c r="D5" s="4" t="s">
        <v>47</v>
      </c>
      <c r="E5" s="5" t="s">
        <v>48</v>
      </c>
      <c r="F5" s="11"/>
      <c r="G5" s="12">
        <v>350</v>
      </c>
      <c r="H5" s="12">
        <v>22653.37</v>
      </c>
      <c r="I5" s="9">
        <f t="shared" si="0"/>
        <v>-350</v>
      </c>
      <c r="J5" s="1" t="s">
        <v>7</v>
      </c>
    </row>
    <row r="6" spans="1:12" ht="20.100000000000001" customHeight="1">
      <c r="A6" s="3">
        <v>125</v>
      </c>
      <c r="B6" s="14" t="s">
        <v>41</v>
      </c>
      <c r="C6" s="3" t="s">
        <v>50</v>
      </c>
      <c r="D6" s="4" t="s">
        <v>43</v>
      </c>
      <c r="E6" s="5" t="s">
        <v>44</v>
      </c>
      <c r="F6" s="12">
        <v>750</v>
      </c>
      <c r="G6" s="11"/>
      <c r="H6" s="12">
        <v>23403.37</v>
      </c>
      <c r="I6" s="9">
        <f t="shared" si="0"/>
        <v>750</v>
      </c>
      <c r="J6" s="1" t="s">
        <v>14</v>
      </c>
    </row>
    <row r="7" spans="1:12" ht="20.100000000000001" customHeight="1">
      <c r="A7" s="3">
        <v>126</v>
      </c>
      <c r="B7" s="14" t="s">
        <v>41</v>
      </c>
      <c r="C7" s="3" t="s">
        <v>51</v>
      </c>
      <c r="D7" s="4" t="s">
        <v>47</v>
      </c>
      <c r="E7" s="5" t="s">
        <v>48</v>
      </c>
      <c r="F7" s="11"/>
      <c r="G7" s="12">
        <v>200</v>
      </c>
      <c r="H7" s="12">
        <v>23203.37</v>
      </c>
      <c r="I7" s="9">
        <f t="shared" si="0"/>
        <v>-200</v>
      </c>
      <c r="J7" s="1" t="s">
        <v>7</v>
      </c>
    </row>
    <row r="8" spans="1:12" ht="20.100000000000001" customHeight="1">
      <c r="A8" s="3">
        <v>127</v>
      </c>
      <c r="B8" s="14" t="s">
        <v>41</v>
      </c>
      <c r="C8" s="3" t="s">
        <v>51</v>
      </c>
      <c r="D8" s="4" t="s">
        <v>52</v>
      </c>
      <c r="E8" s="5" t="s">
        <v>48</v>
      </c>
      <c r="F8" s="11"/>
      <c r="G8" s="12">
        <v>119.85</v>
      </c>
      <c r="H8" s="12">
        <v>23083.52</v>
      </c>
      <c r="I8" s="9">
        <f t="shared" si="0"/>
        <v>-119.85</v>
      </c>
      <c r="J8" s="1" t="s">
        <v>12</v>
      </c>
    </row>
    <row r="9" spans="1:12" ht="20.100000000000001" customHeight="1">
      <c r="A9" s="3">
        <v>128</v>
      </c>
      <c r="B9" s="14" t="s">
        <v>41</v>
      </c>
      <c r="C9" s="3" t="s">
        <v>51</v>
      </c>
      <c r="D9" s="4" t="s">
        <v>53</v>
      </c>
      <c r="E9" s="5" t="s">
        <v>48</v>
      </c>
      <c r="F9" s="11"/>
      <c r="G9" s="12">
        <v>300</v>
      </c>
      <c r="H9" s="12">
        <v>22783.52</v>
      </c>
      <c r="I9" s="9">
        <f t="shared" si="0"/>
        <v>-300</v>
      </c>
      <c r="J9" s="1" t="s">
        <v>7</v>
      </c>
    </row>
    <row r="10" spans="1:12" ht="20.100000000000001" customHeight="1">
      <c r="A10" s="3">
        <v>129</v>
      </c>
      <c r="B10" s="14" t="s">
        <v>41</v>
      </c>
      <c r="C10" s="3" t="s">
        <v>51</v>
      </c>
      <c r="D10" s="4" t="s">
        <v>47</v>
      </c>
      <c r="E10" s="5" t="s">
        <v>48</v>
      </c>
      <c r="F10" s="11"/>
      <c r="G10" s="12">
        <v>2500</v>
      </c>
      <c r="H10" s="12">
        <v>20283.52</v>
      </c>
      <c r="I10" s="9">
        <f t="shared" si="0"/>
        <v>-2500</v>
      </c>
      <c r="J10" s="1" t="s">
        <v>7</v>
      </c>
    </row>
    <row r="11" spans="1:12" ht="20.100000000000001" customHeight="1">
      <c r="A11" s="3">
        <v>130</v>
      </c>
      <c r="B11" s="14" t="s">
        <v>41</v>
      </c>
      <c r="C11" s="3" t="s">
        <v>54</v>
      </c>
      <c r="D11" s="4" t="s">
        <v>43</v>
      </c>
      <c r="E11" s="5" t="s">
        <v>44</v>
      </c>
      <c r="F11" s="12">
        <v>2100</v>
      </c>
      <c r="G11" s="11"/>
      <c r="H11" s="12">
        <v>22383.52</v>
      </c>
      <c r="I11" s="9">
        <f t="shared" si="0"/>
        <v>2100</v>
      </c>
      <c r="J11" s="1" t="s">
        <v>14</v>
      </c>
    </row>
    <row r="12" spans="1:12" ht="20.100000000000001" customHeight="1">
      <c r="A12" s="3">
        <v>131</v>
      </c>
      <c r="B12" s="14" t="s">
        <v>41</v>
      </c>
      <c r="C12" s="3" t="s">
        <v>55</v>
      </c>
      <c r="D12" s="4" t="s">
        <v>43</v>
      </c>
      <c r="E12" s="5" t="s">
        <v>44</v>
      </c>
      <c r="F12" s="12">
        <v>750</v>
      </c>
      <c r="G12" s="11"/>
      <c r="H12" s="12">
        <v>23133.52</v>
      </c>
      <c r="I12" s="9">
        <f t="shared" si="0"/>
        <v>750</v>
      </c>
      <c r="J12" s="1" t="s">
        <v>14</v>
      </c>
    </row>
    <row r="13" spans="1:12" ht="20.100000000000001" customHeight="1">
      <c r="A13" s="3">
        <v>132</v>
      </c>
      <c r="B13" s="14" t="s">
        <v>41</v>
      </c>
      <c r="C13" s="3" t="s">
        <v>55</v>
      </c>
      <c r="D13" s="4" t="s">
        <v>53</v>
      </c>
      <c r="E13" s="5" t="s">
        <v>48</v>
      </c>
      <c r="F13" s="11"/>
      <c r="G13" s="12">
        <v>2500</v>
      </c>
      <c r="H13" s="12">
        <v>20633.52</v>
      </c>
      <c r="I13" s="9">
        <f t="shared" si="0"/>
        <v>-2500</v>
      </c>
      <c r="J13" s="1" t="s">
        <v>7</v>
      </c>
    </row>
    <row r="14" spans="1:12" ht="20.100000000000001" customHeight="1">
      <c r="A14" s="3">
        <v>133</v>
      </c>
      <c r="B14" s="14" t="s">
        <v>41</v>
      </c>
      <c r="C14" s="3" t="s">
        <v>55</v>
      </c>
      <c r="D14" s="4" t="s">
        <v>56</v>
      </c>
      <c r="E14" s="5" t="s">
        <v>48</v>
      </c>
      <c r="F14" s="11"/>
      <c r="G14" s="12">
        <v>1047</v>
      </c>
      <c r="H14" s="12">
        <v>19586.52</v>
      </c>
      <c r="I14" s="9">
        <f t="shared" si="0"/>
        <v>-1047</v>
      </c>
      <c r="J14" s="1" t="s">
        <v>28</v>
      </c>
    </row>
    <row r="15" spans="1:12" ht="20.100000000000001" customHeight="1">
      <c r="A15" s="3">
        <v>134</v>
      </c>
      <c r="B15" s="14" t="s">
        <v>41</v>
      </c>
      <c r="C15" s="3" t="s">
        <v>57</v>
      </c>
      <c r="D15" s="4" t="s">
        <v>43</v>
      </c>
      <c r="E15" s="5" t="s">
        <v>44</v>
      </c>
      <c r="F15" s="12">
        <v>1500</v>
      </c>
      <c r="G15" s="11"/>
      <c r="H15" s="12">
        <v>21086.52</v>
      </c>
      <c r="I15" s="9">
        <f t="shared" si="0"/>
        <v>1500</v>
      </c>
      <c r="J15" s="1" t="s">
        <v>14</v>
      </c>
    </row>
    <row r="16" spans="1:12" ht="20.100000000000001" customHeight="1">
      <c r="A16" s="3">
        <v>135</v>
      </c>
      <c r="B16" s="14" t="s">
        <v>41</v>
      </c>
      <c r="C16" s="3" t="s">
        <v>58</v>
      </c>
      <c r="D16" s="4" t="s">
        <v>43</v>
      </c>
      <c r="E16" s="5" t="s">
        <v>44</v>
      </c>
      <c r="F16" s="12">
        <v>615</v>
      </c>
      <c r="G16" s="11"/>
      <c r="H16" s="12">
        <v>21701.52</v>
      </c>
      <c r="I16" s="9">
        <f t="shared" si="0"/>
        <v>615</v>
      </c>
      <c r="J16" s="1" t="s">
        <v>14</v>
      </c>
    </row>
    <row r="17" spans="1:10" ht="20.100000000000001" customHeight="1">
      <c r="A17" s="3">
        <v>136</v>
      </c>
      <c r="B17" s="14" t="s">
        <v>41</v>
      </c>
      <c r="C17" s="3" t="s">
        <v>58</v>
      </c>
      <c r="D17" s="4" t="s">
        <v>47</v>
      </c>
      <c r="E17" s="5" t="s">
        <v>48</v>
      </c>
      <c r="F17" s="11"/>
      <c r="G17" s="12">
        <v>700</v>
      </c>
      <c r="H17" s="12">
        <v>21001.52</v>
      </c>
      <c r="I17" s="9">
        <f t="shared" si="0"/>
        <v>-700</v>
      </c>
      <c r="J17" s="1" t="s">
        <v>7</v>
      </c>
    </row>
    <row r="18" spans="1:10" ht="20.100000000000001" customHeight="1">
      <c r="A18" s="3">
        <v>137</v>
      </c>
      <c r="B18" s="14" t="s">
        <v>41</v>
      </c>
      <c r="C18" s="3" t="s">
        <v>59</v>
      </c>
      <c r="D18" s="4" t="s">
        <v>43</v>
      </c>
      <c r="E18" s="5" t="s">
        <v>44</v>
      </c>
      <c r="F18" s="12">
        <v>750</v>
      </c>
      <c r="G18" s="11"/>
      <c r="H18" s="12">
        <v>21751.52</v>
      </c>
      <c r="I18" s="9">
        <f t="shared" si="0"/>
        <v>750</v>
      </c>
      <c r="J18" s="1" t="s">
        <v>14</v>
      </c>
    </row>
    <row r="19" spans="1:10" ht="20.100000000000001" customHeight="1">
      <c r="A19" s="3">
        <v>138</v>
      </c>
      <c r="B19" s="14" t="s">
        <v>41</v>
      </c>
      <c r="C19" s="3" t="s">
        <v>60</v>
      </c>
      <c r="D19" s="4" t="s">
        <v>43</v>
      </c>
      <c r="E19" s="5" t="s">
        <v>44</v>
      </c>
      <c r="F19" s="12">
        <v>3600</v>
      </c>
      <c r="G19" s="11"/>
      <c r="H19" s="12">
        <v>25351.52</v>
      </c>
      <c r="I19" s="9">
        <f t="shared" si="0"/>
        <v>3600</v>
      </c>
      <c r="J19" s="1" t="s">
        <v>14</v>
      </c>
    </row>
    <row r="20" spans="1:10" ht="20.100000000000001" customHeight="1">
      <c r="A20" s="3">
        <v>139</v>
      </c>
      <c r="B20" s="14" t="s">
        <v>41</v>
      </c>
      <c r="C20" s="3" t="s">
        <v>61</v>
      </c>
      <c r="D20" s="4" t="s">
        <v>53</v>
      </c>
      <c r="E20" s="5" t="s">
        <v>48</v>
      </c>
      <c r="F20" s="11"/>
      <c r="G20" s="12">
        <v>1000</v>
      </c>
      <c r="H20" s="12">
        <v>24351.52</v>
      </c>
      <c r="I20" s="9">
        <f t="shared" si="0"/>
        <v>-1000</v>
      </c>
      <c r="J20" s="1" t="s">
        <v>7</v>
      </c>
    </row>
    <row r="21" spans="1:10" ht="20.100000000000001" customHeight="1">
      <c r="A21" s="3">
        <v>140</v>
      </c>
      <c r="B21" s="14" t="s">
        <v>41</v>
      </c>
      <c r="C21" s="3" t="s">
        <v>62</v>
      </c>
      <c r="D21" s="4" t="s">
        <v>53</v>
      </c>
      <c r="E21" s="5" t="s">
        <v>48</v>
      </c>
      <c r="F21" s="11"/>
      <c r="G21" s="12">
        <v>1000</v>
      </c>
      <c r="H21" s="12">
        <v>23351.52</v>
      </c>
      <c r="I21" s="9">
        <f t="shared" si="0"/>
        <v>-1000</v>
      </c>
      <c r="J21" s="1" t="s">
        <v>7</v>
      </c>
    </row>
    <row r="22" spans="1:10" ht="20.100000000000001" customHeight="1">
      <c r="A22" s="3">
        <v>141</v>
      </c>
      <c r="B22" s="14" t="s">
        <v>41</v>
      </c>
      <c r="C22" s="3" t="s">
        <v>63</v>
      </c>
      <c r="D22" s="4" t="s">
        <v>43</v>
      </c>
      <c r="E22" s="5" t="s">
        <v>44</v>
      </c>
      <c r="F22" s="12">
        <v>400</v>
      </c>
      <c r="G22" s="11"/>
      <c r="H22" s="12">
        <v>23751.52</v>
      </c>
      <c r="I22" s="9">
        <f t="shared" si="0"/>
        <v>400</v>
      </c>
      <c r="J22" s="1" t="s">
        <v>14</v>
      </c>
    </row>
    <row r="23" spans="1:10" ht="20.100000000000001" customHeight="1">
      <c r="A23" s="3">
        <v>142</v>
      </c>
      <c r="B23" s="14" t="s">
        <v>41</v>
      </c>
      <c r="C23" s="3" t="s">
        <v>64</v>
      </c>
      <c r="D23" s="4" t="s">
        <v>47</v>
      </c>
      <c r="E23" s="5" t="s">
        <v>48</v>
      </c>
      <c r="F23" s="11"/>
      <c r="G23" s="12">
        <v>2500</v>
      </c>
      <c r="H23" s="12">
        <v>21251.52</v>
      </c>
      <c r="I23" s="9">
        <f t="shared" si="0"/>
        <v>-2500</v>
      </c>
      <c r="J23" s="1" t="s">
        <v>7</v>
      </c>
    </row>
    <row r="24" spans="1:10" ht="20.100000000000001" customHeight="1">
      <c r="A24" s="3">
        <v>143</v>
      </c>
      <c r="B24" s="14" t="s">
        <v>41</v>
      </c>
      <c r="C24" s="3" t="s">
        <v>64</v>
      </c>
      <c r="D24" s="4" t="s">
        <v>47</v>
      </c>
      <c r="E24" s="5" t="s">
        <v>48</v>
      </c>
      <c r="F24" s="11"/>
      <c r="G24" s="12">
        <v>1047</v>
      </c>
      <c r="H24" s="12">
        <v>20204.52</v>
      </c>
      <c r="I24" s="9">
        <f t="shared" si="0"/>
        <v>-1047</v>
      </c>
      <c r="J24" s="1" t="s">
        <v>7</v>
      </c>
    </row>
    <row r="25" spans="1:10" ht="20.100000000000001" customHeight="1">
      <c r="A25" s="3">
        <v>144</v>
      </c>
      <c r="B25" s="14" t="s">
        <v>41</v>
      </c>
      <c r="C25" s="3" t="s">
        <v>65</v>
      </c>
      <c r="D25" s="4" t="s">
        <v>43</v>
      </c>
      <c r="E25" s="5" t="s">
        <v>44</v>
      </c>
      <c r="F25" s="12">
        <v>2850</v>
      </c>
      <c r="G25" s="11"/>
      <c r="H25" s="12">
        <v>23054.52</v>
      </c>
      <c r="I25" s="9">
        <f t="shared" si="0"/>
        <v>2850</v>
      </c>
      <c r="J25" s="1" t="s">
        <v>14</v>
      </c>
    </row>
    <row r="26" spans="1:10" ht="20.100000000000001" customHeight="1">
      <c r="A26" s="3">
        <v>145</v>
      </c>
      <c r="B26" s="14" t="s">
        <v>41</v>
      </c>
      <c r="C26" s="3" t="s">
        <v>65</v>
      </c>
      <c r="D26" s="4" t="s">
        <v>47</v>
      </c>
      <c r="E26" s="5" t="s">
        <v>48</v>
      </c>
      <c r="F26" s="11"/>
      <c r="G26" s="12">
        <v>1000</v>
      </c>
      <c r="H26" s="12">
        <v>22054.52</v>
      </c>
      <c r="I26" s="9">
        <f t="shared" si="0"/>
        <v>-1000</v>
      </c>
      <c r="J26" s="1" t="s">
        <v>7</v>
      </c>
    </row>
    <row r="27" spans="1:10" ht="20.100000000000001" customHeight="1">
      <c r="A27" s="3">
        <v>146</v>
      </c>
      <c r="B27" s="14" t="s">
        <v>41</v>
      </c>
      <c r="C27" s="3" t="s">
        <v>65</v>
      </c>
      <c r="D27" s="4" t="s">
        <v>47</v>
      </c>
      <c r="E27" s="5" t="s">
        <v>48</v>
      </c>
      <c r="F27" s="11"/>
      <c r="G27" s="12">
        <v>500</v>
      </c>
      <c r="H27" s="12">
        <v>21554.52</v>
      </c>
      <c r="I27" s="9">
        <f t="shared" si="0"/>
        <v>-500</v>
      </c>
      <c r="J27" s="1" t="s">
        <v>7</v>
      </c>
    </row>
    <row r="28" spans="1:10" ht="20.100000000000001" customHeight="1">
      <c r="A28" s="3">
        <v>147</v>
      </c>
      <c r="B28" s="14" t="s">
        <v>41</v>
      </c>
      <c r="C28" s="3" t="s">
        <v>66</v>
      </c>
      <c r="D28" s="4" t="s">
        <v>43</v>
      </c>
      <c r="E28" s="5" t="s">
        <v>44</v>
      </c>
      <c r="F28" s="12">
        <v>800</v>
      </c>
      <c r="G28" s="11"/>
      <c r="H28" s="12">
        <v>22354.52</v>
      </c>
      <c r="I28" s="9">
        <f t="shared" si="0"/>
        <v>800</v>
      </c>
      <c r="J28" s="1" t="s">
        <v>14</v>
      </c>
    </row>
    <row r="29" spans="1:10" ht="20.100000000000001" customHeight="1">
      <c r="A29" s="3">
        <v>148</v>
      </c>
      <c r="B29" s="14" t="s">
        <v>41</v>
      </c>
      <c r="C29" s="3" t="s">
        <v>67</v>
      </c>
      <c r="D29" s="4" t="s">
        <v>43</v>
      </c>
      <c r="E29" s="5" t="s">
        <v>44</v>
      </c>
      <c r="F29" s="12">
        <v>400</v>
      </c>
      <c r="G29" s="11"/>
      <c r="H29" s="12">
        <v>22754.52</v>
      </c>
      <c r="I29" s="9">
        <f t="shared" si="0"/>
        <v>400</v>
      </c>
      <c r="J29" s="1" t="s">
        <v>14</v>
      </c>
    </row>
    <row r="30" spans="1:10" ht="20.100000000000001" customHeight="1">
      <c r="A30" s="3">
        <v>149</v>
      </c>
      <c r="B30" s="14" t="s">
        <v>41</v>
      </c>
      <c r="C30" s="3" t="s">
        <v>68</v>
      </c>
      <c r="D30" s="4" t="s">
        <v>43</v>
      </c>
      <c r="E30" s="5" t="s">
        <v>44</v>
      </c>
      <c r="F30" s="12">
        <v>2150</v>
      </c>
      <c r="G30" s="11"/>
      <c r="H30" s="12">
        <v>24904.52</v>
      </c>
      <c r="I30" s="9">
        <f t="shared" si="0"/>
        <v>2150</v>
      </c>
      <c r="J30" s="1" t="s">
        <v>14</v>
      </c>
    </row>
    <row r="31" spans="1:10" ht="20.100000000000001" customHeight="1">
      <c r="A31" s="3">
        <v>150</v>
      </c>
      <c r="B31" s="14" t="s">
        <v>41</v>
      </c>
      <c r="C31" s="3" t="s">
        <v>68</v>
      </c>
      <c r="D31" s="4" t="s">
        <v>47</v>
      </c>
      <c r="E31" s="5" t="s">
        <v>48</v>
      </c>
      <c r="F31" s="11"/>
      <c r="G31" s="12">
        <v>500</v>
      </c>
      <c r="H31" s="12">
        <v>24404.52</v>
      </c>
      <c r="I31" s="9">
        <f t="shared" si="0"/>
        <v>-500</v>
      </c>
      <c r="J31" s="1" t="s">
        <v>7</v>
      </c>
    </row>
    <row r="32" spans="1:10" ht="20.100000000000001" customHeight="1">
      <c r="A32" s="3">
        <v>151</v>
      </c>
      <c r="B32" s="14" t="s">
        <v>41</v>
      </c>
      <c r="C32" s="3" t="s">
        <v>69</v>
      </c>
      <c r="D32" s="4" t="s">
        <v>43</v>
      </c>
      <c r="E32" s="5" t="s">
        <v>44</v>
      </c>
      <c r="F32" s="12">
        <v>400</v>
      </c>
      <c r="G32" s="11"/>
      <c r="H32" s="12">
        <v>24804.52</v>
      </c>
      <c r="I32" s="9">
        <f t="shared" si="0"/>
        <v>400</v>
      </c>
      <c r="J32" s="1" t="s">
        <v>14</v>
      </c>
    </row>
    <row r="33" spans="1:10" ht="20.100000000000001" customHeight="1">
      <c r="A33" s="3">
        <v>152</v>
      </c>
      <c r="B33" s="14" t="s">
        <v>41</v>
      </c>
      <c r="C33" s="3" t="s">
        <v>69</v>
      </c>
      <c r="D33" s="4" t="s">
        <v>47</v>
      </c>
      <c r="E33" s="5" t="s">
        <v>48</v>
      </c>
      <c r="F33" s="11"/>
      <c r="G33" s="12">
        <v>300</v>
      </c>
      <c r="H33" s="12">
        <v>24504.52</v>
      </c>
      <c r="I33" s="9">
        <f t="shared" si="0"/>
        <v>-300</v>
      </c>
      <c r="J33" s="1" t="s">
        <v>7</v>
      </c>
    </row>
    <row r="34" spans="1:10" ht="20.100000000000001" customHeight="1">
      <c r="A34" s="3">
        <v>153</v>
      </c>
      <c r="B34" s="14" t="s">
        <v>41</v>
      </c>
      <c r="C34" s="3" t="s">
        <v>70</v>
      </c>
      <c r="D34" s="4" t="s">
        <v>43</v>
      </c>
      <c r="E34" s="5" t="s">
        <v>44</v>
      </c>
      <c r="F34" s="12">
        <v>825</v>
      </c>
      <c r="G34" s="11"/>
      <c r="H34" s="12">
        <v>25329.52</v>
      </c>
      <c r="I34" s="9">
        <f t="shared" si="0"/>
        <v>825</v>
      </c>
      <c r="J34" s="1" t="s">
        <v>14</v>
      </c>
    </row>
    <row r="35" spans="1:10" ht="20.100000000000001" customHeight="1">
      <c r="A35" s="3">
        <v>154</v>
      </c>
      <c r="B35" s="14" t="s">
        <v>41</v>
      </c>
      <c r="C35" s="3" t="s">
        <v>71</v>
      </c>
      <c r="D35" s="4" t="s">
        <v>47</v>
      </c>
      <c r="E35" s="5" t="s">
        <v>48</v>
      </c>
      <c r="F35" s="11"/>
      <c r="G35" s="12">
        <v>329</v>
      </c>
      <c r="H35" s="12">
        <v>25000.52</v>
      </c>
      <c r="I35" s="9">
        <f t="shared" si="0"/>
        <v>-329</v>
      </c>
      <c r="J35" s="1" t="s">
        <v>7</v>
      </c>
    </row>
    <row r="36" spans="1:10" ht="20.100000000000001" customHeight="1">
      <c r="A36" s="3">
        <v>155</v>
      </c>
      <c r="B36" s="14" t="s">
        <v>41</v>
      </c>
      <c r="C36" s="3" t="s">
        <v>72</v>
      </c>
      <c r="D36" s="4" t="s">
        <v>43</v>
      </c>
      <c r="E36" s="5" t="s">
        <v>44</v>
      </c>
      <c r="F36" s="12">
        <v>400</v>
      </c>
      <c r="G36" s="11"/>
      <c r="H36" s="12">
        <v>25400.52</v>
      </c>
      <c r="I36" s="9">
        <f t="shared" si="0"/>
        <v>400</v>
      </c>
      <c r="J36" s="1" t="s">
        <v>14</v>
      </c>
    </row>
    <row r="37" spans="1:10" ht="20.100000000000001" customHeight="1">
      <c r="A37" s="3">
        <v>156</v>
      </c>
      <c r="B37" s="14" t="s">
        <v>41</v>
      </c>
      <c r="C37" s="3" t="s">
        <v>72</v>
      </c>
      <c r="D37" s="4" t="s">
        <v>53</v>
      </c>
      <c r="E37" s="5" t="s">
        <v>48</v>
      </c>
      <c r="F37" s="11"/>
      <c r="G37" s="12">
        <v>400</v>
      </c>
      <c r="H37" s="12">
        <v>25000.52</v>
      </c>
      <c r="I37" s="9">
        <f t="shared" si="0"/>
        <v>-400</v>
      </c>
      <c r="J37" s="1" t="s">
        <v>7</v>
      </c>
    </row>
    <row r="38" spans="1:10" ht="20.100000000000001" customHeight="1">
      <c r="A38" s="3">
        <v>157</v>
      </c>
      <c r="B38" s="14" t="s">
        <v>41</v>
      </c>
      <c r="C38" s="3" t="s">
        <v>73</v>
      </c>
      <c r="D38" s="4" t="s">
        <v>43</v>
      </c>
      <c r="E38" s="5" t="s">
        <v>44</v>
      </c>
      <c r="F38" s="12">
        <v>3501</v>
      </c>
      <c r="G38" s="11"/>
      <c r="H38" s="12">
        <v>28501.52</v>
      </c>
      <c r="I38" s="9">
        <f t="shared" si="0"/>
        <v>3501</v>
      </c>
      <c r="J38" s="1" t="s">
        <v>14</v>
      </c>
    </row>
    <row r="39" spans="1:10" ht="20.100000000000001" customHeight="1">
      <c r="A39" s="3">
        <v>158</v>
      </c>
      <c r="B39" s="14" t="s">
        <v>41</v>
      </c>
      <c r="C39" s="3" t="s">
        <v>73</v>
      </c>
      <c r="D39" s="4" t="s">
        <v>47</v>
      </c>
      <c r="E39" s="5" t="s">
        <v>48</v>
      </c>
      <c r="F39" s="11"/>
      <c r="G39" s="12">
        <v>500</v>
      </c>
      <c r="H39" s="12">
        <v>28001.52</v>
      </c>
      <c r="I39" s="9">
        <f t="shared" si="0"/>
        <v>-500</v>
      </c>
      <c r="J39" s="1" t="s">
        <v>7</v>
      </c>
    </row>
    <row r="40" spans="1:10" ht="20.100000000000001" customHeight="1">
      <c r="A40" s="3">
        <v>159</v>
      </c>
      <c r="B40" s="14" t="s">
        <v>41</v>
      </c>
      <c r="C40" s="3" t="s">
        <v>73</v>
      </c>
      <c r="D40" s="4" t="s">
        <v>47</v>
      </c>
      <c r="E40" s="5" t="s">
        <v>48</v>
      </c>
      <c r="F40" s="11"/>
      <c r="G40" s="12">
        <v>735</v>
      </c>
      <c r="H40" s="12">
        <v>27266.52</v>
      </c>
      <c r="I40" s="9">
        <f t="shared" si="0"/>
        <v>-735</v>
      </c>
      <c r="J40" s="1" t="s">
        <v>7</v>
      </c>
    </row>
    <row r="41" spans="1:10" ht="20.100000000000001" customHeight="1">
      <c r="A41" s="3">
        <v>160</v>
      </c>
      <c r="B41" s="14" t="s">
        <v>41</v>
      </c>
      <c r="C41" s="3" t="s">
        <v>74</v>
      </c>
      <c r="D41" s="4" t="s">
        <v>47</v>
      </c>
      <c r="E41" s="5" t="s">
        <v>48</v>
      </c>
      <c r="F41" s="11"/>
      <c r="G41" s="12">
        <v>2500</v>
      </c>
      <c r="H41" s="12">
        <v>24766.52</v>
      </c>
      <c r="I41" s="9">
        <f t="shared" si="0"/>
        <v>-2500</v>
      </c>
      <c r="J41" s="1" t="s">
        <v>7</v>
      </c>
    </row>
    <row r="42" spans="1:10" ht="20.100000000000001" customHeight="1">
      <c r="A42" s="3">
        <v>161</v>
      </c>
      <c r="B42" s="14" t="s">
        <v>41</v>
      </c>
      <c r="C42" s="3" t="s">
        <v>74</v>
      </c>
      <c r="D42" s="13"/>
      <c r="E42" s="5" t="s">
        <v>75</v>
      </c>
      <c r="F42" s="12">
        <v>2500</v>
      </c>
      <c r="G42" s="11"/>
      <c r="H42" s="12">
        <v>27266.52</v>
      </c>
      <c r="I42" s="9">
        <f t="shared" si="0"/>
        <v>2500</v>
      </c>
      <c r="J42" s="1" t="s">
        <v>14</v>
      </c>
    </row>
    <row r="43" spans="1:10" ht="20.100000000000001" customHeight="1">
      <c r="A43" s="3">
        <v>162</v>
      </c>
      <c r="B43" s="14" t="s">
        <v>41</v>
      </c>
      <c r="C43" s="3" t="s">
        <v>74</v>
      </c>
      <c r="D43" s="4" t="s">
        <v>56</v>
      </c>
      <c r="E43" s="5" t="s">
        <v>48</v>
      </c>
      <c r="F43" s="11"/>
      <c r="G43" s="12">
        <v>1047</v>
      </c>
      <c r="H43" s="12">
        <v>26219.52</v>
      </c>
      <c r="I43" s="9">
        <f t="shared" si="0"/>
        <v>-1047</v>
      </c>
      <c r="J43" s="1" t="s">
        <v>28</v>
      </c>
    </row>
    <row r="44" spans="1:10" ht="20.100000000000001" customHeight="1">
      <c r="A44" s="3">
        <v>163</v>
      </c>
      <c r="B44" s="14" t="s">
        <v>41</v>
      </c>
      <c r="C44" s="3" t="s">
        <v>74</v>
      </c>
      <c r="D44" s="13"/>
      <c r="E44" s="5" t="s">
        <v>75</v>
      </c>
      <c r="F44" s="12">
        <v>1047</v>
      </c>
      <c r="G44" s="11"/>
      <c r="H44" s="12">
        <v>27266.52</v>
      </c>
      <c r="I44" s="9">
        <f t="shared" si="0"/>
        <v>1047</v>
      </c>
      <c r="J44" s="1" t="s">
        <v>14</v>
      </c>
    </row>
    <row r="45" spans="1:10" ht="20.100000000000001" customHeight="1">
      <c r="A45" s="3">
        <v>164</v>
      </c>
      <c r="B45" s="14" t="s">
        <v>41</v>
      </c>
      <c r="C45" s="3" t="s">
        <v>74</v>
      </c>
      <c r="D45" s="4" t="s">
        <v>56</v>
      </c>
      <c r="E45" s="5" t="s">
        <v>48</v>
      </c>
      <c r="F45" s="11"/>
      <c r="G45" s="12">
        <v>1047</v>
      </c>
      <c r="H45" s="12">
        <v>26219.52</v>
      </c>
      <c r="I45" s="9">
        <f t="shared" si="0"/>
        <v>-1047</v>
      </c>
      <c r="J45" s="1" t="s">
        <v>28</v>
      </c>
    </row>
    <row r="46" spans="1:10" ht="20.100000000000001" customHeight="1">
      <c r="A46" s="3">
        <v>165</v>
      </c>
      <c r="B46" s="14" t="s">
        <v>41</v>
      </c>
      <c r="C46" s="3" t="s">
        <v>74</v>
      </c>
      <c r="D46" s="13"/>
      <c r="E46" s="5" t="s">
        <v>75</v>
      </c>
      <c r="F46" s="12">
        <v>1047</v>
      </c>
      <c r="G46" s="11"/>
      <c r="H46" s="12">
        <v>27266.52</v>
      </c>
      <c r="I46" s="9">
        <f t="shared" si="0"/>
        <v>1047</v>
      </c>
      <c r="J46" s="1" t="s">
        <v>14</v>
      </c>
    </row>
    <row r="47" spans="1:10" ht="20.100000000000001" customHeight="1">
      <c r="A47" s="3">
        <v>166</v>
      </c>
      <c r="B47" s="14" t="s">
        <v>41</v>
      </c>
      <c r="C47" s="3" t="s">
        <v>74</v>
      </c>
      <c r="D47" s="4" t="s">
        <v>56</v>
      </c>
      <c r="E47" s="5" t="s">
        <v>48</v>
      </c>
      <c r="F47" s="11"/>
      <c r="G47" s="12">
        <v>1047</v>
      </c>
      <c r="H47" s="12">
        <v>26219.52</v>
      </c>
      <c r="I47" s="9">
        <f t="shared" si="0"/>
        <v>-1047</v>
      </c>
      <c r="J47" s="1" t="s">
        <v>28</v>
      </c>
    </row>
    <row r="48" spans="1:10" ht="20.100000000000001" customHeight="1">
      <c r="A48" s="3">
        <v>167</v>
      </c>
      <c r="B48" s="14" t="s">
        <v>41</v>
      </c>
      <c r="C48" s="3" t="s">
        <v>74</v>
      </c>
      <c r="D48" s="4" t="s">
        <v>47</v>
      </c>
      <c r="E48" s="5" t="s">
        <v>48</v>
      </c>
      <c r="F48" s="11"/>
      <c r="G48" s="12">
        <v>2500</v>
      </c>
      <c r="H48" s="12">
        <v>23719.52</v>
      </c>
      <c r="I48" s="9">
        <f t="shared" si="0"/>
        <v>-2500</v>
      </c>
      <c r="J48" s="1" t="s">
        <v>7</v>
      </c>
    </row>
    <row r="49" spans="1:10" ht="20.100000000000001" customHeight="1">
      <c r="A49" s="3">
        <v>168</v>
      </c>
      <c r="B49" s="14" t="s">
        <v>41</v>
      </c>
      <c r="C49" s="3" t="s">
        <v>74</v>
      </c>
      <c r="D49" s="4" t="s">
        <v>76</v>
      </c>
      <c r="E49" s="5" t="s">
        <v>48</v>
      </c>
      <c r="F49" s="11"/>
      <c r="G49" s="7">
        <v>613</v>
      </c>
      <c r="H49" s="12">
        <v>23106.52</v>
      </c>
      <c r="I49" s="9">
        <f t="shared" si="0"/>
        <v>-613</v>
      </c>
      <c r="J49" s="1" t="s">
        <v>3</v>
      </c>
    </row>
    <row r="50" spans="1:10" ht="20.100000000000001" customHeight="1">
      <c r="A50" s="3">
        <v>169</v>
      </c>
      <c r="B50" s="14" t="s">
        <v>41</v>
      </c>
      <c r="C50" s="3" t="s">
        <v>77</v>
      </c>
      <c r="D50" s="4" t="s">
        <v>43</v>
      </c>
      <c r="E50" s="5" t="s">
        <v>44</v>
      </c>
      <c r="F50" s="12">
        <v>400</v>
      </c>
      <c r="G50" s="11"/>
      <c r="H50" s="12">
        <v>23506.52</v>
      </c>
      <c r="I50" s="9">
        <f t="shared" si="0"/>
        <v>400</v>
      </c>
      <c r="J50" s="1" t="s">
        <v>14</v>
      </c>
    </row>
    <row r="51" spans="1:10" ht="20.100000000000001" customHeight="1">
      <c r="A51" s="3">
        <v>170</v>
      </c>
      <c r="B51" s="14" t="s">
        <v>41</v>
      </c>
      <c r="C51" s="3" t="s">
        <v>78</v>
      </c>
      <c r="D51" s="4" t="s">
        <v>43</v>
      </c>
      <c r="E51" s="5" t="s">
        <v>44</v>
      </c>
      <c r="F51" s="12">
        <v>1900</v>
      </c>
      <c r="G51" s="11"/>
      <c r="H51" s="12">
        <v>25406.52</v>
      </c>
      <c r="I51" s="9">
        <f t="shared" si="0"/>
        <v>1900</v>
      </c>
      <c r="J51" s="1" t="s">
        <v>14</v>
      </c>
    </row>
    <row r="52" spans="1:10" ht="20.100000000000001" customHeight="1">
      <c r="A52" s="3">
        <v>171</v>
      </c>
      <c r="B52" s="14" t="s">
        <v>41</v>
      </c>
      <c r="C52" s="3" t="s">
        <v>79</v>
      </c>
      <c r="D52" s="4" t="s">
        <v>53</v>
      </c>
      <c r="E52" s="5" t="s">
        <v>48</v>
      </c>
      <c r="F52" s="11"/>
      <c r="G52" s="12">
        <v>406</v>
      </c>
      <c r="H52" s="12">
        <v>25000.52</v>
      </c>
      <c r="I52" s="9">
        <f t="shared" si="0"/>
        <v>-406</v>
      </c>
      <c r="J52" s="1" t="s">
        <v>7</v>
      </c>
    </row>
    <row r="53" spans="1:10" ht="20.100000000000001" customHeight="1">
      <c r="A53" s="3">
        <v>172</v>
      </c>
      <c r="B53" s="14" t="s">
        <v>41</v>
      </c>
      <c r="C53" s="3" t="s">
        <v>80</v>
      </c>
      <c r="D53" s="4" t="s">
        <v>53</v>
      </c>
      <c r="E53" s="5" t="s">
        <v>48</v>
      </c>
      <c r="F53" s="11"/>
      <c r="G53" s="12">
        <v>1500</v>
      </c>
      <c r="H53" s="12">
        <v>23500.52</v>
      </c>
      <c r="I53" s="9">
        <f t="shared" si="0"/>
        <v>-1500</v>
      </c>
      <c r="J53" s="1" t="s">
        <v>7</v>
      </c>
    </row>
    <row r="54" spans="1:10" ht="20.100000000000001" customHeight="1">
      <c r="A54" s="3">
        <v>173</v>
      </c>
      <c r="B54" s="14" t="s">
        <v>41</v>
      </c>
      <c r="C54" s="3" t="s">
        <v>81</v>
      </c>
      <c r="D54" s="4" t="s">
        <v>47</v>
      </c>
      <c r="E54" s="5" t="s">
        <v>48</v>
      </c>
      <c r="F54" s="11"/>
      <c r="G54" s="12">
        <v>500</v>
      </c>
      <c r="H54" s="12">
        <v>23000.52</v>
      </c>
      <c r="I54" s="9">
        <f t="shared" si="0"/>
        <v>-500</v>
      </c>
      <c r="J54" s="1" t="s">
        <v>7</v>
      </c>
    </row>
    <row r="55" spans="1:10" ht="20.100000000000001" customHeight="1">
      <c r="A55" s="3">
        <v>174</v>
      </c>
      <c r="B55" s="14" t="s">
        <v>41</v>
      </c>
      <c r="C55" s="3" t="s">
        <v>82</v>
      </c>
      <c r="D55" s="4" t="s">
        <v>43</v>
      </c>
      <c r="E55" s="5" t="s">
        <v>44</v>
      </c>
      <c r="F55" s="12">
        <v>1100</v>
      </c>
      <c r="G55" s="11"/>
      <c r="H55" s="12">
        <v>24100.52</v>
      </c>
      <c r="I55" s="9">
        <f t="shared" si="0"/>
        <v>1100</v>
      </c>
      <c r="J55" s="1" t="s">
        <v>14</v>
      </c>
    </row>
    <row r="56" spans="1:10" ht="20.100000000000001" customHeight="1">
      <c r="A56" s="3">
        <v>175</v>
      </c>
      <c r="B56" s="14" t="s">
        <v>41</v>
      </c>
      <c r="C56" s="3" t="s">
        <v>82</v>
      </c>
      <c r="D56" s="4" t="s">
        <v>47</v>
      </c>
      <c r="E56" s="5" t="s">
        <v>48</v>
      </c>
      <c r="F56" s="11"/>
      <c r="G56" s="12">
        <v>100</v>
      </c>
      <c r="H56" s="12">
        <v>24000.52</v>
      </c>
      <c r="I56" s="9">
        <f t="shared" si="0"/>
        <v>-100</v>
      </c>
      <c r="J56" s="1" t="s">
        <v>7</v>
      </c>
    </row>
    <row r="57" spans="1:10" ht="20.100000000000001" customHeight="1">
      <c r="A57" s="3">
        <v>176</v>
      </c>
      <c r="B57" s="14" t="s">
        <v>41</v>
      </c>
      <c r="C57" s="3" t="s">
        <v>82</v>
      </c>
      <c r="D57" s="4" t="s">
        <v>52</v>
      </c>
      <c r="E57" s="5" t="s">
        <v>48</v>
      </c>
      <c r="F57" s="11"/>
      <c r="G57" s="12">
        <v>119.85</v>
      </c>
      <c r="H57" s="12">
        <v>23880.67</v>
      </c>
      <c r="I57" s="9">
        <f t="shared" si="0"/>
        <v>-119.85</v>
      </c>
      <c r="J57" s="1" t="s">
        <v>12</v>
      </c>
    </row>
    <row r="58" spans="1:10" ht="20.100000000000001" customHeight="1">
      <c r="A58" s="3">
        <v>177</v>
      </c>
      <c r="B58" s="14" t="s">
        <v>41</v>
      </c>
      <c r="C58" s="3" t="s">
        <v>83</v>
      </c>
      <c r="D58" s="4" t="s">
        <v>43</v>
      </c>
      <c r="E58" s="5" t="s">
        <v>44</v>
      </c>
      <c r="F58" s="12">
        <v>400</v>
      </c>
      <c r="G58" s="11"/>
      <c r="H58" s="12">
        <v>24280.67</v>
      </c>
      <c r="I58" s="9">
        <f t="shared" si="0"/>
        <v>400</v>
      </c>
      <c r="J58" s="1" t="s">
        <v>14</v>
      </c>
    </row>
    <row r="59" spans="1:10" ht="20.100000000000001" customHeight="1">
      <c r="A59" s="3">
        <v>178</v>
      </c>
      <c r="B59" s="14" t="s">
        <v>41</v>
      </c>
      <c r="C59" s="3" t="s">
        <v>83</v>
      </c>
      <c r="D59" s="4" t="s">
        <v>47</v>
      </c>
      <c r="E59" s="5" t="s">
        <v>48</v>
      </c>
      <c r="F59" s="11"/>
      <c r="G59" s="12">
        <v>500</v>
      </c>
      <c r="H59" s="12">
        <v>23780.67</v>
      </c>
      <c r="I59" s="9">
        <f t="shared" si="0"/>
        <v>-500</v>
      </c>
      <c r="J59" s="1" t="s">
        <v>7</v>
      </c>
    </row>
    <row r="60" spans="1:10" ht="20.100000000000001" customHeight="1">
      <c r="A60" s="3">
        <v>179</v>
      </c>
      <c r="B60" s="14" t="s">
        <v>41</v>
      </c>
      <c r="C60" s="3" t="s">
        <v>84</v>
      </c>
      <c r="D60" s="4" t="s">
        <v>43</v>
      </c>
      <c r="E60" s="5" t="s">
        <v>44</v>
      </c>
      <c r="F60" s="12">
        <v>800</v>
      </c>
      <c r="G60" s="11"/>
      <c r="H60" s="12">
        <v>24580.67</v>
      </c>
      <c r="I60" s="9">
        <f t="shared" si="0"/>
        <v>800</v>
      </c>
      <c r="J60" s="1" t="s">
        <v>14</v>
      </c>
    </row>
    <row r="61" spans="1:10" ht="20.100000000000001" customHeight="1">
      <c r="A61" s="3">
        <v>180</v>
      </c>
      <c r="B61" s="14" t="s">
        <v>41</v>
      </c>
      <c r="C61" s="3" t="s">
        <v>84</v>
      </c>
      <c r="D61" s="4" t="s">
        <v>56</v>
      </c>
      <c r="E61" s="5" t="s">
        <v>48</v>
      </c>
      <c r="F61" s="11"/>
      <c r="G61" s="12">
        <v>1047</v>
      </c>
      <c r="H61" s="12">
        <v>23533.67</v>
      </c>
      <c r="I61" s="9">
        <f t="shared" si="0"/>
        <v>-1047</v>
      </c>
      <c r="J61" s="1" t="s">
        <v>28</v>
      </c>
    </row>
    <row r="62" spans="1:10" ht="20.100000000000001" customHeight="1">
      <c r="A62" s="3">
        <v>181</v>
      </c>
      <c r="B62" s="14" t="s">
        <v>41</v>
      </c>
      <c r="C62" s="3" t="s">
        <v>84</v>
      </c>
      <c r="D62" s="4" t="s">
        <v>47</v>
      </c>
      <c r="E62" s="5" t="s">
        <v>48</v>
      </c>
      <c r="F62" s="11"/>
      <c r="G62" s="12">
        <v>2500</v>
      </c>
      <c r="H62" s="12">
        <v>21033.67</v>
      </c>
      <c r="I62" s="9">
        <f t="shared" si="0"/>
        <v>-2500</v>
      </c>
      <c r="J62" s="1" t="s">
        <v>7</v>
      </c>
    </row>
    <row r="63" spans="1:10" ht="20.100000000000001" customHeight="1">
      <c r="A63" s="3">
        <v>182</v>
      </c>
      <c r="B63" s="14" t="s">
        <v>41</v>
      </c>
      <c r="C63" s="3" t="s">
        <v>85</v>
      </c>
      <c r="D63" s="4" t="s">
        <v>43</v>
      </c>
      <c r="E63" s="5" t="s">
        <v>44</v>
      </c>
      <c r="F63" s="12">
        <v>1525</v>
      </c>
      <c r="G63" s="11"/>
      <c r="H63" s="12">
        <v>22558.67</v>
      </c>
      <c r="I63" s="9">
        <f t="shared" si="0"/>
        <v>1525</v>
      </c>
      <c r="J63" s="1" t="s">
        <v>14</v>
      </c>
    </row>
    <row r="64" spans="1:10" ht="20.100000000000001" customHeight="1">
      <c r="A64" s="3">
        <v>183</v>
      </c>
      <c r="B64" s="14" t="s">
        <v>41</v>
      </c>
      <c r="C64" s="3" t="s">
        <v>86</v>
      </c>
      <c r="D64" s="4" t="s">
        <v>43</v>
      </c>
      <c r="E64" s="5" t="s">
        <v>44</v>
      </c>
      <c r="F64" s="12">
        <v>400</v>
      </c>
      <c r="G64" s="11"/>
      <c r="H64" s="12">
        <v>22958.67</v>
      </c>
      <c r="I64" s="9">
        <f t="shared" si="0"/>
        <v>400</v>
      </c>
      <c r="J64" s="1" t="s">
        <v>14</v>
      </c>
    </row>
    <row r="65" spans="1:10" ht="20.100000000000001" customHeight="1">
      <c r="A65" s="3">
        <v>184</v>
      </c>
      <c r="B65" s="14" t="s">
        <v>41</v>
      </c>
      <c r="C65" s="3" t="s">
        <v>87</v>
      </c>
      <c r="D65" s="4" t="s">
        <v>43</v>
      </c>
      <c r="E65" s="5" t="s">
        <v>44</v>
      </c>
      <c r="F65" s="12">
        <v>1080</v>
      </c>
      <c r="G65" s="11"/>
      <c r="H65" s="12">
        <v>24038.67</v>
      </c>
      <c r="I65" s="9">
        <f t="shared" si="0"/>
        <v>1080</v>
      </c>
      <c r="J65" s="1" t="s">
        <v>14</v>
      </c>
    </row>
    <row r="66" spans="1:10" ht="20.100000000000001" customHeight="1">
      <c r="A66" s="3">
        <v>185</v>
      </c>
      <c r="B66" s="14" t="s">
        <v>41</v>
      </c>
      <c r="C66" s="3" t="s">
        <v>88</v>
      </c>
      <c r="D66" s="4" t="s">
        <v>43</v>
      </c>
      <c r="E66" s="5" t="s">
        <v>44</v>
      </c>
      <c r="F66" s="12">
        <v>1175</v>
      </c>
      <c r="G66" s="11"/>
      <c r="H66" s="12">
        <v>25213.67</v>
      </c>
      <c r="I66" s="9">
        <f t="shared" ref="I66:I129" si="1">F66-G66</f>
        <v>1175</v>
      </c>
      <c r="J66" s="1" t="s">
        <v>14</v>
      </c>
    </row>
    <row r="67" spans="1:10" ht="20.100000000000001" customHeight="1">
      <c r="A67" s="3">
        <v>186</v>
      </c>
      <c r="B67" s="14" t="s">
        <v>41</v>
      </c>
      <c r="C67" s="3" t="s">
        <v>89</v>
      </c>
      <c r="D67" s="4" t="s">
        <v>43</v>
      </c>
      <c r="E67" s="5" t="s">
        <v>44</v>
      </c>
      <c r="F67" s="12">
        <v>799.99</v>
      </c>
      <c r="G67" s="11"/>
      <c r="H67" s="12">
        <v>26013.66</v>
      </c>
      <c r="I67" s="9">
        <f t="shared" si="1"/>
        <v>799.99</v>
      </c>
      <c r="J67" s="1" t="s">
        <v>14</v>
      </c>
    </row>
    <row r="68" spans="1:10" ht="20.100000000000001" customHeight="1">
      <c r="A68" s="3">
        <v>187</v>
      </c>
      <c r="B68" s="14" t="s">
        <v>41</v>
      </c>
      <c r="C68" s="3" t="s">
        <v>90</v>
      </c>
      <c r="D68" s="4" t="s">
        <v>43</v>
      </c>
      <c r="E68" s="5" t="s">
        <v>44</v>
      </c>
      <c r="F68" s="12">
        <v>1200</v>
      </c>
      <c r="G68" s="11"/>
      <c r="H68" s="12">
        <v>27213.66</v>
      </c>
      <c r="I68" s="9">
        <f t="shared" si="1"/>
        <v>1200</v>
      </c>
      <c r="J68" s="1" t="s">
        <v>14</v>
      </c>
    </row>
    <row r="69" spans="1:10" ht="20.100000000000001" customHeight="1">
      <c r="A69" s="3">
        <v>188</v>
      </c>
      <c r="B69" s="14" t="s">
        <v>41</v>
      </c>
      <c r="C69" s="3" t="s">
        <v>91</v>
      </c>
      <c r="D69" s="4" t="s">
        <v>43</v>
      </c>
      <c r="E69" s="5" t="s">
        <v>44</v>
      </c>
      <c r="F69" s="12">
        <v>1050</v>
      </c>
      <c r="G69" s="11"/>
      <c r="H69" s="12">
        <v>28263.66</v>
      </c>
      <c r="I69" s="9">
        <f t="shared" si="1"/>
        <v>1050</v>
      </c>
      <c r="J69" s="1" t="s">
        <v>14</v>
      </c>
    </row>
    <row r="70" spans="1:10" ht="20.100000000000001" customHeight="1">
      <c r="A70" s="3">
        <v>189</v>
      </c>
      <c r="B70" s="14" t="s">
        <v>41</v>
      </c>
      <c r="C70" s="3" t="s">
        <v>92</v>
      </c>
      <c r="D70" s="4" t="s">
        <v>56</v>
      </c>
      <c r="E70" s="5" t="s">
        <v>48</v>
      </c>
      <c r="F70" s="11"/>
      <c r="G70" s="12">
        <v>1047</v>
      </c>
      <c r="H70" s="12">
        <v>27216.66</v>
      </c>
      <c r="I70" s="9">
        <f t="shared" si="1"/>
        <v>-1047</v>
      </c>
      <c r="J70" s="1" t="s">
        <v>28</v>
      </c>
    </row>
    <row r="71" spans="1:10" ht="20.100000000000001" customHeight="1">
      <c r="A71" s="3">
        <v>190</v>
      </c>
      <c r="B71" s="14" t="s">
        <v>41</v>
      </c>
      <c r="C71" s="3" t="s">
        <v>92</v>
      </c>
      <c r="D71" s="4" t="s">
        <v>47</v>
      </c>
      <c r="E71" s="5" t="s">
        <v>48</v>
      </c>
      <c r="F71" s="11"/>
      <c r="G71" s="12">
        <v>2500</v>
      </c>
      <c r="H71" s="12">
        <v>24716.66</v>
      </c>
      <c r="I71" s="9">
        <f t="shared" si="1"/>
        <v>-2500</v>
      </c>
      <c r="J71" s="1" t="s">
        <v>7</v>
      </c>
    </row>
    <row r="72" spans="1:10" ht="20.100000000000001" customHeight="1">
      <c r="A72" s="3">
        <v>191</v>
      </c>
      <c r="B72" s="14" t="s">
        <v>41</v>
      </c>
      <c r="C72" s="3" t="s">
        <v>93</v>
      </c>
      <c r="D72" s="4" t="s">
        <v>43</v>
      </c>
      <c r="E72" s="5" t="s">
        <v>44</v>
      </c>
      <c r="F72" s="12">
        <v>2450</v>
      </c>
      <c r="G72" s="11"/>
      <c r="H72" s="12">
        <v>27166.66</v>
      </c>
      <c r="I72" s="9">
        <f t="shared" si="1"/>
        <v>2450</v>
      </c>
      <c r="J72" s="1" t="s">
        <v>14</v>
      </c>
    </row>
    <row r="73" spans="1:10" ht="20.100000000000001" customHeight="1">
      <c r="A73" s="3">
        <v>192</v>
      </c>
      <c r="B73" s="14" t="s">
        <v>41</v>
      </c>
      <c r="C73" s="3" t="s">
        <v>94</v>
      </c>
      <c r="D73" s="4" t="s">
        <v>43</v>
      </c>
      <c r="E73" s="5" t="s">
        <v>44</v>
      </c>
      <c r="F73" s="12">
        <v>1400</v>
      </c>
      <c r="G73" s="11"/>
      <c r="H73" s="12">
        <v>28566.66</v>
      </c>
      <c r="I73" s="9">
        <f t="shared" si="1"/>
        <v>1400</v>
      </c>
      <c r="J73" s="1" t="s">
        <v>14</v>
      </c>
    </row>
    <row r="74" spans="1:10" ht="20.100000000000001" customHeight="1">
      <c r="A74" s="3">
        <v>193</v>
      </c>
      <c r="B74" s="14" t="s">
        <v>41</v>
      </c>
      <c r="C74" s="3" t="s">
        <v>95</v>
      </c>
      <c r="D74" s="4" t="s">
        <v>43</v>
      </c>
      <c r="E74" s="5" t="s">
        <v>44</v>
      </c>
      <c r="F74" s="12">
        <v>1275</v>
      </c>
      <c r="G74" s="11"/>
      <c r="H74" s="12">
        <v>29841.66</v>
      </c>
      <c r="I74" s="9">
        <f t="shared" si="1"/>
        <v>1275</v>
      </c>
      <c r="J74" s="1" t="s">
        <v>14</v>
      </c>
    </row>
    <row r="75" spans="1:10" ht="20.100000000000001" customHeight="1">
      <c r="A75" s="3">
        <v>194</v>
      </c>
      <c r="B75" s="14" t="s">
        <v>41</v>
      </c>
      <c r="C75" s="3" t="s">
        <v>96</v>
      </c>
      <c r="D75" s="4" t="s">
        <v>43</v>
      </c>
      <c r="E75" s="5" t="s">
        <v>44</v>
      </c>
      <c r="F75" s="12">
        <v>1175</v>
      </c>
      <c r="G75" s="11"/>
      <c r="H75" s="12">
        <v>31016.66</v>
      </c>
      <c r="I75" s="9">
        <f t="shared" si="1"/>
        <v>1175</v>
      </c>
      <c r="J75" s="1" t="s">
        <v>14</v>
      </c>
    </row>
    <row r="76" spans="1:10" ht="20.100000000000001" customHeight="1">
      <c r="A76" s="3">
        <v>195</v>
      </c>
      <c r="B76" s="14" t="s">
        <v>41</v>
      </c>
      <c r="C76" s="3" t="s">
        <v>97</v>
      </c>
      <c r="D76" s="4" t="s">
        <v>47</v>
      </c>
      <c r="E76" s="5" t="s">
        <v>48</v>
      </c>
      <c r="F76" s="11"/>
      <c r="G76" s="12">
        <v>400</v>
      </c>
      <c r="H76" s="12">
        <v>30616.66</v>
      </c>
      <c r="I76" s="9">
        <f t="shared" si="1"/>
        <v>-400</v>
      </c>
      <c r="J76" s="1" t="s">
        <v>7</v>
      </c>
    </row>
    <row r="77" spans="1:10" ht="20.100000000000001" customHeight="1">
      <c r="A77" s="3">
        <v>196</v>
      </c>
      <c r="B77" s="14" t="s">
        <v>41</v>
      </c>
      <c r="C77" s="3" t="s">
        <v>97</v>
      </c>
      <c r="D77" s="4" t="s">
        <v>47</v>
      </c>
      <c r="E77" s="5" t="s">
        <v>48</v>
      </c>
      <c r="F77" s="11"/>
      <c r="G77" s="12">
        <v>200</v>
      </c>
      <c r="H77" s="12">
        <v>30416.66</v>
      </c>
      <c r="I77" s="9">
        <f t="shared" si="1"/>
        <v>-200</v>
      </c>
      <c r="J77" s="1" t="s">
        <v>7</v>
      </c>
    </row>
    <row r="78" spans="1:10" ht="20.100000000000001" customHeight="1">
      <c r="A78" s="3">
        <v>197</v>
      </c>
      <c r="B78" s="14" t="s">
        <v>41</v>
      </c>
      <c r="C78" s="3" t="s">
        <v>98</v>
      </c>
      <c r="D78" s="4" t="s">
        <v>47</v>
      </c>
      <c r="E78" s="5" t="s">
        <v>48</v>
      </c>
      <c r="F78" s="11"/>
      <c r="G78" s="12">
        <v>400</v>
      </c>
      <c r="H78" s="12">
        <v>30016.66</v>
      </c>
      <c r="I78" s="9">
        <f t="shared" si="1"/>
        <v>-400</v>
      </c>
      <c r="J78" s="1" t="s">
        <v>7</v>
      </c>
    </row>
    <row r="79" spans="1:10" ht="20.100000000000001" customHeight="1">
      <c r="A79" s="3">
        <v>198</v>
      </c>
      <c r="B79" s="14" t="s">
        <v>41</v>
      </c>
      <c r="C79" s="3" t="s">
        <v>99</v>
      </c>
      <c r="D79" s="4" t="s">
        <v>43</v>
      </c>
      <c r="E79" s="5" t="s">
        <v>44</v>
      </c>
      <c r="F79" s="12">
        <v>2450</v>
      </c>
      <c r="G79" s="11"/>
      <c r="H79" s="12">
        <v>32466.66</v>
      </c>
      <c r="I79" s="9">
        <f t="shared" si="1"/>
        <v>2450</v>
      </c>
      <c r="J79" s="1" t="s">
        <v>14</v>
      </c>
    </row>
    <row r="80" spans="1:10" ht="20.100000000000001" customHeight="1">
      <c r="A80" s="3">
        <v>199</v>
      </c>
      <c r="B80" s="14" t="s">
        <v>41</v>
      </c>
      <c r="C80" s="3" t="s">
        <v>100</v>
      </c>
      <c r="D80" s="4" t="s">
        <v>47</v>
      </c>
      <c r="E80" s="5" t="s">
        <v>48</v>
      </c>
      <c r="F80" s="11"/>
      <c r="G80" s="12">
        <v>200</v>
      </c>
      <c r="H80" s="12">
        <v>32266.66</v>
      </c>
      <c r="I80" s="9">
        <f t="shared" si="1"/>
        <v>-200</v>
      </c>
      <c r="J80" s="1" t="s">
        <v>7</v>
      </c>
    </row>
    <row r="81" spans="1:10" ht="20.100000000000001" customHeight="1">
      <c r="A81" s="3">
        <v>200</v>
      </c>
      <c r="B81" s="14" t="s">
        <v>41</v>
      </c>
      <c r="C81" s="3" t="s">
        <v>101</v>
      </c>
      <c r="D81" s="4" t="s">
        <v>43</v>
      </c>
      <c r="E81" s="5" t="s">
        <v>44</v>
      </c>
      <c r="F81" s="12">
        <v>425</v>
      </c>
      <c r="G81" s="11"/>
      <c r="H81" s="12">
        <v>32691.66</v>
      </c>
      <c r="I81" s="9">
        <f t="shared" si="1"/>
        <v>425</v>
      </c>
      <c r="J81" s="1" t="s">
        <v>14</v>
      </c>
    </row>
    <row r="82" spans="1:10" ht="20.100000000000001" customHeight="1">
      <c r="A82" s="3">
        <v>201</v>
      </c>
      <c r="B82" s="14" t="s">
        <v>41</v>
      </c>
      <c r="C82" s="3" t="s">
        <v>102</v>
      </c>
      <c r="D82" s="4" t="s">
        <v>43</v>
      </c>
      <c r="E82" s="5" t="s">
        <v>44</v>
      </c>
      <c r="F82" s="12">
        <v>1125</v>
      </c>
      <c r="G82" s="11"/>
      <c r="H82" s="12">
        <v>33816.660000000003</v>
      </c>
      <c r="I82" s="9">
        <f t="shared" si="1"/>
        <v>1125</v>
      </c>
      <c r="J82" s="1" t="s">
        <v>14</v>
      </c>
    </row>
    <row r="83" spans="1:10" ht="20.100000000000001" customHeight="1">
      <c r="A83" s="3">
        <v>202</v>
      </c>
      <c r="B83" s="14" t="s">
        <v>41</v>
      </c>
      <c r="C83" s="3" t="s">
        <v>102</v>
      </c>
      <c r="D83" s="4" t="s">
        <v>56</v>
      </c>
      <c r="E83" s="5" t="s">
        <v>48</v>
      </c>
      <c r="F83" s="11"/>
      <c r="G83" s="12">
        <v>1047</v>
      </c>
      <c r="H83" s="12">
        <v>32769.660000000003</v>
      </c>
      <c r="I83" s="9">
        <f t="shared" si="1"/>
        <v>-1047</v>
      </c>
      <c r="J83" s="1" t="s">
        <v>28</v>
      </c>
    </row>
    <row r="84" spans="1:10" ht="20.100000000000001" customHeight="1">
      <c r="A84" s="3">
        <v>203</v>
      </c>
      <c r="B84" s="14" t="s">
        <v>41</v>
      </c>
      <c r="C84" s="3" t="s">
        <v>102</v>
      </c>
      <c r="D84" s="4" t="s">
        <v>47</v>
      </c>
      <c r="E84" s="5" t="s">
        <v>48</v>
      </c>
      <c r="F84" s="11"/>
      <c r="G84" s="12">
        <v>2500</v>
      </c>
      <c r="H84" s="12">
        <v>30269.66</v>
      </c>
      <c r="I84" s="9">
        <f t="shared" si="1"/>
        <v>-2500</v>
      </c>
      <c r="J84" s="1" t="s">
        <v>7</v>
      </c>
    </row>
    <row r="85" spans="1:10" ht="20.100000000000001" customHeight="1">
      <c r="A85" s="3">
        <v>204</v>
      </c>
      <c r="B85" s="14" t="s">
        <v>41</v>
      </c>
      <c r="C85" s="3" t="s">
        <v>103</v>
      </c>
      <c r="D85" s="4" t="s">
        <v>43</v>
      </c>
      <c r="E85" s="5" t="s">
        <v>44</v>
      </c>
      <c r="F85" s="12">
        <v>1250</v>
      </c>
      <c r="G85" s="11"/>
      <c r="H85" s="12">
        <v>31519.66</v>
      </c>
      <c r="I85" s="9">
        <f t="shared" si="1"/>
        <v>1250</v>
      </c>
      <c r="J85" s="1" t="s">
        <v>14</v>
      </c>
    </row>
    <row r="86" spans="1:10" ht="20.100000000000001" customHeight="1">
      <c r="A86" s="3">
        <v>205</v>
      </c>
      <c r="B86" s="14" t="s">
        <v>41</v>
      </c>
      <c r="C86" s="3" t="s">
        <v>104</v>
      </c>
      <c r="D86" s="4" t="s">
        <v>43</v>
      </c>
      <c r="E86" s="5" t="s">
        <v>44</v>
      </c>
      <c r="F86" s="12">
        <v>400</v>
      </c>
      <c r="G86" s="11"/>
      <c r="H86" s="12">
        <v>31919.66</v>
      </c>
      <c r="I86" s="9">
        <f t="shared" si="1"/>
        <v>400</v>
      </c>
      <c r="J86" s="1" t="s">
        <v>14</v>
      </c>
    </row>
    <row r="87" spans="1:10" ht="20.100000000000001" customHeight="1">
      <c r="A87" s="3">
        <v>206</v>
      </c>
      <c r="B87" s="14" t="s">
        <v>41</v>
      </c>
      <c r="C87" s="3" t="s">
        <v>105</v>
      </c>
      <c r="D87" s="4" t="s">
        <v>53</v>
      </c>
      <c r="E87" s="5" t="s">
        <v>48</v>
      </c>
      <c r="F87" s="11"/>
      <c r="G87" s="12">
        <v>100</v>
      </c>
      <c r="H87" s="12">
        <v>31819.66</v>
      </c>
      <c r="I87" s="9">
        <f t="shared" si="1"/>
        <v>-100</v>
      </c>
      <c r="J87" s="1" t="s">
        <v>7</v>
      </c>
    </row>
    <row r="88" spans="1:10" ht="20.100000000000001" customHeight="1">
      <c r="A88" s="3">
        <v>207</v>
      </c>
      <c r="B88" s="14" t="s">
        <v>41</v>
      </c>
      <c r="C88" s="3" t="s">
        <v>106</v>
      </c>
      <c r="D88" s="4" t="s">
        <v>107</v>
      </c>
      <c r="E88" s="5" t="s">
        <v>108</v>
      </c>
      <c r="F88" s="12">
        <v>400</v>
      </c>
      <c r="G88" s="11"/>
      <c r="H88" s="12">
        <v>32219.66</v>
      </c>
      <c r="I88" s="9">
        <f t="shared" si="1"/>
        <v>400</v>
      </c>
      <c r="J88" s="1" t="s">
        <v>14</v>
      </c>
    </row>
    <row r="89" spans="1:10" ht="20.100000000000001" customHeight="1">
      <c r="A89" s="3">
        <v>208</v>
      </c>
      <c r="B89" s="14" t="s">
        <v>41</v>
      </c>
      <c r="C89" s="3" t="s">
        <v>106</v>
      </c>
      <c r="D89" s="4" t="s">
        <v>47</v>
      </c>
      <c r="E89" s="5" t="s">
        <v>48</v>
      </c>
      <c r="F89" s="11"/>
      <c r="G89" s="12">
        <v>100</v>
      </c>
      <c r="H89" s="12">
        <v>32119.66</v>
      </c>
      <c r="I89" s="9">
        <f t="shared" si="1"/>
        <v>-100</v>
      </c>
      <c r="J89" s="1" t="s">
        <v>7</v>
      </c>
    </row>
    <row r="90" spans="1:10" ht="20.100000000000001" customHeight="1">
      <c r="A90" s="3">
        <v>209</v>
      </c>
      <c r="B90" s="14" t="s">
        <v>41</v>
      </c>
      <c r="C90" s="3" t="s">
        <v>109</v>
      </c>
      <c r="D90" s="4" t="s">
        <v>43</v>
      </c>
      <c r="E90" s="5" t="s">
        <v>44</v>
      </c>
      <c r="F90" s="12">
        <v>1125</v>
      </c>
      <c r="G90" s="11"/>
      <c r="H90" s="12">
        <v>33244.660000000003</v>
      </c>
      <c r="I90" s="9">
        <f t="shared" si="1"/>
        <v>1125</v>
      </c>
      <c r="J90" s="1" t="s">
        <v>14</v>
      </c>
    </row>
    <row r="91" spans="1:10" ht="20.100000000000001" customHeight="1">
      <c r="A91" s="3">
        <v>210</v>
      </c>
      <c r="B91" s="14" t="s">
        <v>41</v>
      </c>
      <c r="C91" s="3" t="s">
        <v>110</v>
      </c>
      <c r="D91" s="4" t="s">
        <v>43</v>
      </c>
      <c r="E91" s="5" t="s">
        <v>44</v>
      </c>
      <c r="F91" s="12">
        <v>1525</v>
      </c>
      <c r="G91" s="11"/>
      <c r="H91" s="12">
        <v>34769.660000000003</v>
      </c>
      <c r="I91" s="9">
        <f t="shared" si="1"/>
        <v>1525</v>
      </c>
      <c r="J91" s="1" t="s">
        <v>14</v>
      </c>
    </row>
    <row r="92" spans="1:10" ht="20.100000000000001" customHeight="1">
      <c r="A92" s="3">
        <v>211</v>
      </c>
      <c r="B92" s="14" t="s">
        <v>41</v>
      </c>
      <c r="C92" s="3" t="s">
        <v>110</v>
      </c>
      <c r="D92" s="4" t="s">
        <v>53</v>
      </c>
      <c r="E92" s="5" t="s">
        <v>48</v>
      </c>
      <c r="F92" s="11"/>
      <c r="G92" s="12">
        <v>65</v>
      </c>
      <c r="H92" s="12">
        <v>34704.660000000003</v>
      </c>
      <c r="I92" s="9">
        <f t="shared" si="1"/>
        <v>-65</v>
      </c>
      <c r="J92" s="1" t="s">
        <v>7</v>
      </c>
    </row>
    <row r="93" spans="1:10" ht="20.100000000000001" customHeight="1">
      <c r="A93" s="3">
        <v>212</v>
      </c>
      <c r="B93" s="14" t="s">
        <v>41</v>
      </c>
      <c r="C93" s="3" t="s">
        <v>111</v>
      </c>
      <c r="D93" s="4" t="s">
        <v>53</v>
      </c>
      <c r="E93" s="5" t="s">
        <v>48</v>
      </c>
      <c r="F93" s="11"/>
      <c r="G93" s="12">
        <v>200</v>
      </c>
      <c r="H93" s="12">
        <v>34504.660000000003</v>
      </c>
      <c r="I93" s="9">
        <f t="shared" si="1"/>
        <v>-200</v>
      </c>
      <c r="J93" s="1" t="s">
        <v>7</v>
      </c>
    </row>
    <row r="94" spans="1:10" ht="20.100000000000001" customHeight="1">
      <c r="A94" s="3">
        <v>213</v>
      </c>
      <c r="B94" s="14" t="s">
        <v>41</v>
      </c>
      <c r="C94" s="3" t="s">
        <v>112</v>
      </c>
      <c r="D94" s="4" t="s">
        <v>47</v>
      </c>
      <c r="E94" s="5" t="s">
        <v>48</v>
      </c>
      <c r="F94" s="11"/>
      <c r="G94" s="12">
        <v>100</v>
      </c>
      <c r="H94" s="12">
        <v>34404.660000000003</v>
      </c>
      <c r="I94" s="9">
        <f t="shared" si="1"/>
        <v>-100</v>
      </c>
      <c r="J94" s="1" t="s">
        <v>7</v>
      </c>
    </row>
    <row r="95" spans="1:10" ht="20.100000000000001" customHeight="1">
      <c r="A95" s="3">
        <v>214</v>
      </c>
      <c r="B95" s="14" t="s">
        <v>41</v>
      </c>
      <c r="C95" s="3" t="s">
        <v>113</v>
      </c>
      <c r="D95" s="4" t="s">
        <v>43</v>
      </c>
      <c r="E95" s="5" t="s">
        <v>44</v>
      </c>
      <c r="F95" s="12">
        <v>1950</v>
      </c>
      <c r="G95" s="11"/>
      <c r="H95" s="12">
        <v>36354.660000000003</v>
      </c>
      <c r="I95" s="9">
        <f t="shared" si="1"/>
        <v>1950</v>
      </c>
      <c r="J95" s="1" t="s">
        <v>14</v>
      </c>
    </row>
    <row r="96" spans="1:10" ht="20.100000000000001" customHeight="1">
      <c r="A96" s="3">
        <v>215</v>
      </c>
      <c r="B96" s="14" t="s">
        <v>41</v>
      </c>
      <c r="C96" s="3" t="s">
        <v>113</v>
      </c>
      <c r="D96" s="4" t="s">
        <v>53</v>
      </c>
      <c r="E96" s="5" t="s">
        <v>48</v>
      </c>
      <c r="F96" s="11"/>
      <c r="G96" s="12">
        <v>100</v>
      </c>
      <c r="H96" s="12">
        <v>36254.660000000003</v>
      </c>
      <c r="I96" s="9">
        <f t="shared" si="1"/>
        <v>-100</v>
      </c>
      <c r="J96" s="1" t="s">
        <v>7</v>
      </c>
    </row>
    <row r="97" spans="1:10" ht="20.100000000000001" customHeight="1">
      <c r="A97" s="3">
        <v>216</v>
      </c>
      <c r="B97" s="14" t="s">
        <v>41</v>
      </c>
      <c r="C97" s="3" t="s">
        <v>113</v>
      </c>
      <c r="D97" s="4" t="s">
        <v>53</v>
      </c>
      <c r="E97" s="5" t="s">
        <v>48</v>
      </c>
      <c r="F97" s="11"/>
      <c r="G97" s="12">
        <v>50</v>
      </c>
      <c r="H97" s="12">
        <v>36204.660000000003</v>
      </c>
      <c r="I97" s="9">
        <f t="shared" si="1"/>
        <v>-50</v>
      </c>
      <c r="J97" s="1" t="s">
        <v>7</v>
      </c>
    </row>
    <row r="98" spans="1:10" ht="20.100000000000001" customHeight="1">
      <c r="A98" s="3">
        <v>217</v>
      </c>
      <c r="B98" s="14" t="s">
        <v>41</v>
      </c>
      <c r="C98" s="3" t="s">
        <v>113</v>
      </c>
      <c r="D98" s="4" t="s">
        <v>47</v>
      </c>
      <c r="E98" s="5" t="s">
        <v>48</v>
      </c>
      <c r="F98" s="11"/>
      <c r="G98" s="12">
        <v>2400</v>
      </c>
      <c r="H98" s="12">
        <v>33804.660000000003</v>
      </c>
      <c r="I98" s="9">
        <f t="shared" si="1"/>
        <v>-2400</v>
      </c>
      <c r="J98" s="1" t="s">
        <v>7</v>
      </c>
    </row>
    <row r="99" spans="1:10" ht="20.100000000000001" customHeight="1">
      <c r="A99" s="3">
        <v>218</v>
      </c>
      <c r="B99" s="14" t="s">
        <v>41</v>
      </c>
      <c r="C99" s="3" t="s">
        <v>113</v>
      </c>
      <c r="D99" s="4" t="s">
        <v>56</v>
      </c>
      <c r="E99" s="5" t="s">
        <v>48</v>
      </c>
      <c r="F99" s="11"/>
      <c r="G99" s="12">
        <v>1047</v>
      </c>
      <c r="H99" s="12">
        <v>32757.66</v>
      </c>
      <c r="I99" s="9">
        <f t="shared" si="1"/>
        <v>-1047</v>
      </c>
      <c r="J99" s="1" t="s">
        <v>28</v>
      </c>
    </row>
    <row r="100" spans="1:10" ht="20.100000000000001" customHeight="1">
      <c r="A100" s="3">
        <v>219</v>
      </c>
      <c r="B100" s="14" t="s">
        <v>41</v>
      </c>
      <c r="C100" s="3" t="s">
        <v>114</v>
      </c>
      <c r="D100" s="4" t="s">
        <v>43</v>
      </c>
      <c r="E100" s="5" t="s">
        <v>44</v>
      </c>
      <c r="F100" s="12">
        <v>1125</v>
      </c>
      <c r="G100" s="11"/>
      <c r="H100" s="12">
        <v>33882.660000000003</v>
      </c>
      <c r="I100" s="9">
        <f t="shared" si="1"/>
        <v>1125</v>
      </c>
      <c r="J100" s="1" t="s">
        <v>14</v>
      </c>
    </row>
    <row r="101" spans="1:10" ht="20.100000000000001" customHeight="1">
      <c r="A101" s="3">
        <v>220</v>
      </c>
      <c r="B101" s="14" t="s">
        <v>41</v>
      </c>
      <c r="C101" s="3" t="s">
        <v>115</v>
      </c>
      <c r="D101" s="4" t="s">
        <v>43</v>
      </c>
      <c r="E101" s="5" t="s">
        <v>44</v>
      </c>
      <c r="F101" s="12">
        <v>1100</v>
      </c>
      <c r="G101" s="11"/>
      <c r="H101" s="12">
        <v>34982.660000000003</v>
      </c>
      <c r="I101" s="9">
        <f t="shared" si="1"/>
        <v>1100</v>
      </c>
      <c r="J101" s="1" t="s">
        <v>14</v>
      </c>
    </row>
    <row r="102" spans="1:10" ht="20.100000000000001" customHeight="1">
      <c r="A102" s="3">
        <v>221</v>
      </c>
      <c r="B102" s="14" t="s">
        <v>41</v>
      </c>
      <c r="C102" s="3" t="s">
        <v>116</v>
      </c>
      <c r="D102" s="4" t="s">
        <v>43</v>
      </c>
      <c r="E102" s="5" t="s">
        <v>44</v>
      </c>
      <c r="F102" s="12">
        <v>2050</v>
      </c>
      <c r="G102" s="11"/>
      <c r="H102" s="12">
        <v>37032.660000000003</v>
      </c>
      <c r="I102" s="9">
        <f t="shared" si="1"/>
        <v>2050</v>
      </c>
      <c r="J102" s="1" t="s">
        <v>14</v>
      </c>
    </row>
    <row r="103" spans="1:10" ht="20.100000000000001" customHeight="1">
      <c r="A103" s="3">
        <v>222</v>
      </c>
      <c r="B103" s="14" t="s">
        <v>41</v>
      </c>
      <c r="C103" s="3" t="s">
        <v>117</v>
      </c>
      <c r="D103" s="4" t="s">
        <v>43</v>
      </c>
      <c r="E103" s="5" t="s">
        <v>44</v>
      </c>
      <c r="F103" s="12">
        <v>750</v>
      </c>
      <c r="G103" s="11"/>
      <c r="H103" s="12">
        <v>37782.660000000003</v>
      </c>
      <c r="I103" s="9">
        <f t="shared" si="1"/>
        <v>750</v>
      </c>
      <c r="J103" s="1" t="s">
        <v>14</v>
      </c>
    </row>
    <row r="104" spans="1:10" ht="20.100000000000001" customHeight="1">
      <c r="A104" s="3">
        <v>223</v>
      </c>
      <c r="B104" s="14" t="s">
        <v>41</v>
      </c>
      <c r="C104" s="3" t="s">
        <v>117</v>
      </c>
      <c r="D104" s="4" t="s">
        <v>47</v>
      </c>
      <c r="E104" s="5" t="s">
        <v>48</v>
      </c>
      <c r="F104" s="11"/>
      <c r="G104" s="12">
        <v>160</v>
      </c>
      <c r="H104" s="12">
        <v>37622.660000000003</v>
      </c>
      <c r="I104" s="9">
        <f t="shared" si="1"/>
        <v>-160</v>
      </c>
      <c r="J104" s="1" t="s">
        <v>7</v>
      </c>
    </row>
    <row r="105" spans="1:10" ht="20.100000000000001" customHeight="1">
      <c r="A105" s="3">
        <v>224</v>
      </c>
      <c r="B105" s="14" t="s">
        <v>41</v>
      </c>
      <c r="C105" s="3" t="s">
        <v>118</v>
      </c>
      <c r="D105" s="4" t="s">
        <v>53</v>
      </c>
      <c r="E105" s="5" t="s">
        <v>48</v>
      </c>
      <c r="F105" s="11"/>
      <c r="G105" s="12">
        <v>100</v>
      </c>
      <c r="H105" s="12">
        <v>37522.660000000003</v>
      </c>
      <c r="I105" s="9">
        <f t="shared" si="1"/>
        <v>-100</v>
      </c>
      <c r="J105" s="1" t="s">
        <v>7</v>
      </c>
    </row>
    <row r="106" spans="1:10" ht="20.100000000000001" customHeight="1">
      <c r="A106" s="3">
        <v>225</v>
      </c>
      <c r="B106" s="14" t="s">
        <v>41</v>
      </c>
      <c r="C106" s="3" t="s">
        <v>119</v>
      </c>
      <c r="D106" s="4" t="s">
        <v>43</v>
      </c>
      <c r="E106" s="5" t="s">
        <v>44</v>
      </c>
      <c r="F106" s="12">
        <v>450</v>
      </c>
      <c r="G106" s="11"/>
      <c r="H106" s="12">
        <v>37972.660000000003</v>
      </c>
      <c r="I106" s="9">
        <f t="shared" si="1"/>
        <v>450</v>
      </c>
      <c r="J106" s="1" t="s">
        <v>14</v>
      </c>
    </row>
    <row r="107" spans="1:10" ht="20.100000000000001" customHeight="1">
      <c r="A107" s="3">
        <v>226</v>
      </c>
      <c r="B107" s="14" t="s">
        <v>41</v>
      </c>
      <c r="C107" s="3" t="s">
        <v>119</v>
      </c>
      <c r="D107" s="4" t="s">
        <v>47</v>
      </c>
      <c r="E107" s="5" t="s">
        <v>48</v>
      </c>
      <c r="F107" s="11"/>
      <c r="G107" s="12">
        <v>130</v>
      </c>
      <c r="H107" s="12">
        <v>37842.660000000003</v>
      </c>
      <c r="I107" s="9">
        <f t="shared" si="1"/>
        <v>-130</v>
      </c>
      <c r="J107" s="1" t="s">
        <v>7</v>
      </c>
    </row>
    <row r="108" spans="1:10" ht="20.100000000000001" customHeight="1">
      <c r="A108" s="3">
        <v>227</v>
      </c>
      <c r="B108" s="14" t="s">
        <v>41</v>
      </c>
      <c r="C108" s="3" t="s">
        <v>119</v>
      </c>
      <c r="D108" s="4" t="s">
        <v>47</v>
      </c>
      <c r="E108" s="5" t="s">
        <v>48</v>
      </c>
      <c r="F108" s="11"/>
      <c r="G108" s="12">
        <v>240</v>
      </c>
      <c r="H108" s="12">
        <v>37602.660000000003</v>
      </c>
      <c r="I108" s="9">
        <f t="shared" si="1"/>
        <v>-240</v>
      </c>
      <c r="J108" s="1" t="s">
        <v>7</v>
      </c>
    </row>
    <row r="109" spans="1:10" ht="20.100000000000001" customHeight="1">
      <c r="A109" s="3">
        <v>228</v>
      </c>
      <c r="B109" s="14" t="s">
        <v>41</v>
      </c>
      <c r="C109" s="3" t="s">
        <v>120</v>
      </c>
      <c r="D109" s="4" t="s">
        <v>43</v>
      </c>
      <c r="E109" s="5" t="s">
        <v>44</v>
      </c>
      <c r="F109" s="12">
        <v>800</v>
      </c>
      <c r="G109" s="11"/>
      <c r="H109" s="12">
        <v>38402.660000000003</v>
      </c>
      <c r="I109" s="9">
        <f t="shared" si="1"/>
        <v>800</v>
      </c>
      <c r="J109" s="1" t="s">
        <v>14</v>
      </c>
    </row>
    <row r="110" spans="1:10" ht="20.100000000000001" customHeight="1">
      <c r="A110" s="3">
        <v>229</v>
      </c>
      <c r="B110" s="14" t="s">
        <v>41</v>
      </c>
      <c r="C110" s="3" t="s">
        <v>121</v>
      </c>
      <c r="D110" s="4" t="s">
        <v>53</v>
      </c>
      <c r="E110" s="5" t="s">
        <v>48</v>
      </c>
      <c r="F110" s="11"/>
      <c r="G110" s="12">
        <v>2500</v>
      </c>
      <c r="H110" s="12">
        <v>35902.660000000003</v>
      </c>
      <c r="I110" s="9">
        <f t="shared" si="1"/>
        <v>-2500</v>
      </c>
      <c r="J110" s="1" t="s">
        <v>7</v>
      </c>
    </row>
    <row r="111" spans="1:10" ht="20.100000000000001" customHeight="1">
      <c r="A111" s="3">
        <v>230</v>
      </c>
      <c r="B111" s="14" t="s">
        <v>41</v>
      </c>
      <c r="C111" s="3" t="s">
        <v>122</v>
      </c>
      <c r="D111" s="4" t="s">
        <v>43</v>
      </c>
      <c r="E111" s="5" t="s">
        <v>44</v>
      </c>
      <c r="F111" s="12">
        <v>1125</v>
      </c>
      <c r="G111" s="11"/>
      <c r="H111" s="12">
        <v>37027.660000000003</v>
      </c>
      <c r="I111" s="9">
        <f t="shared" si="1"/>
        <v>1125</v>
      </c>
      <c r="J111" s="1" t="s">
        <v>14</v>
      </c>
    </row>
    <row r="112" spans="1:10" ht="20.100000000000001" customHeight="1">
      <c r="A112" s="3">
        <v>231</v>
      </c>
      <c r="B112" s="14" t="s">
        <v>41</v>
      </c>
      <c r="C112" s="3" t="s">
        <v>122</v>
      </c>
      <c r="D112" s="4" t="s">
        <v>56</v>
      </c>
      <c r="E112" s="5" t="s">
        <v>48</v>
      </c>
      <c r="F112" s="11"/>
      <c r="G112" s="12">
        <v>1047</v>
      </c>
      <c r="H112" s="12">
        <v>35980.660000000003</v>
      </c>
      <c r="I112" s="9">
        <f t="shared" si="1"/>
        <v>-1047</v>
      </c>
      <c r="J112" s="1" t="s">
        <v>28</v>
      </c>
    </row>
    <row r="113" spans="1:10" ht="20.100000000000001" customHeight="1">
      <c r="A113" s="3">
        <v>232</v>
      </c>
      <c r="B113" s="14" t="s">
        <v>41</v>
      </c>
      <c r="C113" s="3" t="s">
        <v>123</v>
      </c>
      <c r="D113" s="4" t="s">
        <v>43</v>
      </c>
      <c r="E113" s="5" t="s">
        <v>44</v>
      </c>
      <c r="F113" s="12">
        <v>375</v>
      </c>
      <c r="G113" s="11"/>
      <c r="H113" s="12">
        <v>36355.660000000003</v>
      </c>
      <c r="I113" s="9">
        <f t="shared" si="1"/>
        <v>375</v>
      </c>
      <c r="J113" s="1" t="s">
        <v>14</v>
      </c>
    </row>
    <row r="114" spans="1:10" ht="20.100000000000001" customHeight="1">
      <c r="A114" s="3">
        <v>233</v>
      </c>
      <c r="B114" s="14" t="s">
        <v>41</v>
      </c>
      <c r="C114" s="3" t="s">
        <v>124</v>
      </c>
      <c r="D114" s="4" t="s">
        <v>53</v>
      </c>
      <c r="E114" s="5" t="s">
        <v>48</v>
      </c>
      <c r="F114" s="11"/>
      <c r="G114" s="12">
        <v>600</v>
      </c>
      <c r="H114" s="12">
        <v>35755.660000000003</v>
      </c>
      <c r="I114" s="9">
        <f t="shared" si="1"/>
        <v>-600</v>
      </c>
      <c r="J114" s="1" t="s">
        <v>7</v>
      </c>
    </row>
    <row r="115" spans="1:10" ht="20.100000000000001" customHeight="1">
      <c r="A115" s="3">
        <v>234</v>
      </c>
      <c r="B115" s="14" t="s">
        <v>41</v>
      </c>
      <c r="C115" s="3" t="s">
        <v>125</v>
      </c>
      <c r="D115" s="4" t="s">
        <v>43</v>
      </c>
      <c r="E115" s="5" t="s">
        <v>44</v>
      </c>
      <c r="F115" s="12">
        <v>2650</v>
      </c>
      <c r="G115" s="11"/>
      <c r="H115" s="12">
        <v>38405.660000000003</v>
      </c>
      <c r="I115" s="9">
        <f t="shared" si="1"/>
        <v>2650</v>
      </c>
      <c r="J115" s="1" t="s">
        <v>14</v>
      </c>
    </row>
    <row r="116" spans="1:10" ht="20.100000000000001" customHeight="1">
      <c r="A116" s="3">
        <v>235</v>
      </c>
      <c r="B116" s="14" t="s">
        <v>41</v>
      </c>
      <c r="C116" s="3" t="s">
        <v>126</v>
      </c>
      <c r="D116" s="4" t="s">
        <v>53</v>
      </c>
      <c r="E116" s="5" t="s">
        <v>48</v>
      </c>
      <c r="F116" s="11"/>
      <c r="G116" s="12">
        <v>400</v>
      </c>
      <c r="H116" s="12">
        <v>38005.660000000003</v>
      </c>
      <c r="I116" s="9">
        <f t="shared" si="1"/>
        <v>-400</v>
      </c>
      <c r="J116" s="1" t="s">
        <v>7</v>
      </c>
    </row>
    <row r="117" spans="1:10" ht="20.100000000000001" customHeight="1">
      <c r="A117" s="3">
        <v>236</v>
      </c>
      <c r="B117" s="14" t="s">
        <v>41</v>
      </c>
      <c r="C117" s="3" t="s">
        <v>127</v>
      </c>
      <c r="D117" s="4" t="s">
        <v>43</v>
      </c>
      <c r="E117" s="5" t="s">
        <v>44</v>
      </c>
      <c r="F117" s="12">
        <v>1100</v>
      </c>
      <c r="G117" s="11"/>
      <c r="H117" s="12">
        <v>39105.660000000003</v>
      </c>
      <c r="I117" s="9">
        <f t="shared" si="1"/>
        <v>1100</v>
      </c>
      <c r="J117" s="1" t="s">
        <v>14</v>
      </c>
    </row>
    <row r="118" spans="1:10" ht="20.100000000000001" customHeight="1">
      <c r="A118" s="3">
        <v>237</v>
      </c>
      <c r="B118" s="14" t="s">
        <v>41</v>
      </c>
      <c r="C118" s="3" t="s">
        <v>128</v>
      </c>
      <c r="D118" s="4" t="s">
        <v>47</v>
      </c>
      <c r="E118" s="5" t="s">
        <v>48</v>
      </c>
      <c r="F118" s="11"/>
      <c r="G118" s="12">
        <v>2500</v>
      </c>
      <c r="H118" s="12">
        <v>36605.660000000003</v>
      </c>
      <c r="I118" s="9">
        <f t="shared" si="1"/>
        <v>-2500</v>
      </c>
      <c r="J118" s="1" t="s">
        <v>7</v>
      </c>
    </row>
    <row r="119" spans="1:10" ht="20.100000000000001" customHeight="1">
      <c r="A119" s="3">
        <v>238</v>
      </c>
      <c r="B119" s="14" t="s">
        <v>41</v>
      </c>
      <c r="C119" s="3" t="s">
        <v>129</v>
      </c>
      <c r="D119" s="4" t="s">
        <v>130</v>
      </c>
      <c r="E119" s="5" t="s">
        <v>48</v>
      </c>
      <c r="F119" s="11"/>
      <c r="G119" s="7">
        <v>10449.49</v>
      </c>
      <c r="H119" s="12">
        <v>26156.17</v>
      </c>
      <c r="I119" s="9">
        <f t="shared" si="1"/>
        <v>-10449.49</v>
      </c>
      <c r="J119" s="1" t="s">
        <v>11</v>
      </c>
    </row>
    <row r="120" spans="1:10" ht="20.100000000000001" customHeight="1">
      <c r="A120" s="3">
        <v>239</v>
      </c>
      <c r="B120" s="14" t="s">
        <v>41</v>
      </c>
      <c r="C120" s="3" t="s">
        <v>129</v>
      </c>
      <c r="D120" s="4" t="s">
        <v>131</v>
      </c>
      <c r="E120" s="5" t="s">
        <v>48</v>
      </c>
      <c r="F120" s="11"/>
      <c r="G120" s="7">
        <v>6466.69</v>
      </c>
      <c r="H120" s="12">
        <v>19689.48</v>
      </c>
      <c r="I120" s="9">
        <f t="shared" si="1"/>
        <v>-6466.69</v>
      </c>
      <c r="J120" s="1" t="s">
        <v>13</v>
      </c>
    </row>
    <row r="121" spans="1:10" ht="20.100000000000001" customHeight="1">
      <c r="A121" s="3">
        <v>240</v>
      </c>
      <c r="B121" s="14" t="s">
        <v>41</v>
      </c>
      <c r="C121" s="3" t="s">
        <v>129</v>
      </c>
      <c r="D121" s="4" t="s">
        <v>47</v>
      </c>
      <c r="E121" s="5" t="s">
        <v>48</v>
      </c>
      <c r="F121" s="11"/>
      <c r="G121" s="12">
        <v>600</v>
      </c>
      <c r="H121" s="12">
        <v>19089.48</v>
      </c>
      <c r="I121" s="9">
        <f t="shared" si="1"/>
        <v>-600</v>
      </c>
      <c r="J121" s="1" t="s">
        <v>7</v>
      </c>
    </row>
    <row r="122" spans="1:10" s="23" customFormat="1" ht="19.899999999999999" customHeight="1">
      <c r="A122" s="3">
        <v>241</v>
      </c>
      <c r="B122" s="14" t="s">
        <v>41</v>
      </c>
      <c r="C122" s="3" t="s">
        <v>132</v>
      </c>
      <c r="D122" s="4" t="s">
        <v>43</v>
      </c>
      <c r="E122" s="5" t="s">
        <v>44</v>
      </c>
      <c r="F122" s="12">
        <v>1525</v>
      </c>
      <c r="G122" s="11"/>
      <c r="H122" s="12">
        <v>20614.48</v>
      </c>
      <c r="I122" s="9">
        <f t="shared" si="1"/>
        <v>1525</v>
      </c>
      <c r="J122" s="1" t="s">
        <v>14</v>
      </c>
    </row>
    <row r="123" spans="1:10" ht="19.899999999999999" customHeight="1">
      <c r="A123" s="3">
        <v>242</v>
      </c>
      <c r="B123" s="14" t="s">
        <v>41</v>
      </c>
      <c r="C123" s="3" t="s">
        <v>132</v>
      </c>
      <c r="D123" s="4" t="s">
        <v>47</v>
      </c>
      <c r="E123" s="5" t="s">
        <v>48</v>
      </c>
      <c r="F123" s="11"/>
      <c r="G123" s="12">
        <v>600</v>
      </c>
      <c r="H123" s="12">
        <v>20014.48</v>
      </c>
      <c r="I123" s="9">
        <f t="shared" si="1"/>
        <v>-600</v>
      </c>
      <c r="J123" s="1" t="s">
        <v>7</v>
      </c>
    </row>
    <row r="124" spans="1:10" ht="19.899999999999999" customHeight="1">
      <c r="A124" s="3">
        <v>243</v>
      </c>
      <c r="B124" s="14" t="s">
        <v>41</v>
      </c>
      <c r="C124" s="3" t="s">
        <v>133</v>
      </c>
      <c r="D124" s="4" t="s">
        <v>47</v>
      </c>
      <c r="E124" s="5" t="s">
        <v>48</v>
      </c>
      <c r="F124" s="11"/>
      <c r="G124" s="12">
        <v>1000</v>
      </c>
      <c r="H124" s="12">
        <v>19014.48</v>
      </c>
      <c r="I124" s="9">
        <f t="shared" si="1"/>
        <v>-1000</v>
      </c>
      <c r="J124" s="1" t="s">
        <v>7</v>
      </c>
    </row>
    <row r="125" spans="1:10" ht="19.899999999999999" customHeight="1">
      <c r="A125" s="3">
        <v>244</v>
      </c>
      <c r="B125" s="14" t="s">
        <v>41</v>
      </c>
      <c r="C125" s="3" t="s">
        <v>134</v>
      </c>
      <c r="D125" s="4" t="s">
        <v>56</v>
      </c>
      <c r="E125" s="5" t="s">
        <v>48</v>
      </c>
      <c r="F125" s="11"/>
      <c r="G125" s="12">
        <v>1047</v>
      </c>
      <c r="H125" s="12">
        <v>17967.48</v>
      </c>
      <c r="I125" s="9">
        <f t="shared" si="1"/>
        <v>-1047</v>
      </c>
      <c r="J125" s="1" t="s">
        <v>28</v>
      </c>
    </row>
    <row r="126" spans="1:10" ht="19.899999999999999" customHeight="1">
      <c r="A126" s="3">
        <v>245</v>
      </c>
      <c r="B126" s="14" t="s">
        <v>41</v>
      </c>
      <c r="C126" s="3" t="s">
        <v>134</v>
      </c>
      <c r="D126" s="4" t="s">
        <v>53</v>
      </c>
      <c r="E126" s="5" t="s">
        <v>48</v>
      </c>
      <c r="F126" s="11"/>
      <c r="G126" s="12">
        <v>900</v>
      </c>
      <c r="H126" s="12">
        <v>17067.48</v>
      </c>
      <c r="I126" s="9">
        <f t="shared" si="1"/>
        <v>-900</v>
      </c>
      <c r="J126" s="1" t="s">
        <v>7</v>
      </c>
    </row>
    <row r="127" spans="1:10" ht="19.899999999999999" customHeight="1">
      <c r="A127" s="3">
        <v>246</v>
      </c>
      <c r="B127" s="14" t="s">
        <v>41</v>
      </c>
      <c r="C127" s="3" t="s">
        <v>135</v>
      </c>
      <c r="D127" s="4" t="s">
        <v>43</v>
      </c>
      <c r="E127" s="5" t="s">
        <v>44</v>
      </c>
      <c r="F127" s="12">
        <v>375</v>
      </c>
      <c r="G127" s="11"/>
      <c r="H127" s="12">
        <v>17442.48</v>
      </c>
      <c r="I127" s="9">
        <f t="shared" si="1"/>
        <v>375</v>
      </c>
      <c r="J127" s="1" t="s">
        <v>14</v>
      </c>
    </row>
    <row r="128" spans="1:10" ht="19.899999999999999" customHeight="1">
      <c r="A128" s="3">
        <v>247</v>
      </c>
      <c r="B128" s="14" t="s">
        <v>41</v>
      </c>
      <c r="C128" s="3" t="s">
        <v>136</v>
      </c>
      <c r="D128" s="4" t="s">
        <v>43</v>
      </c>
      <c r="E128" s="5" t="s">
        <v>44</v>
      </c>
      <c r="F128" s="12">
        <v>750</v>
      </c>
      <c r="G128" s="11"/>
      <c r="H128" s="12">
        <v>18192.48</v>
      </c>
      <c r="I128" s="9">
        <f t="shared" si="1"/>
        <v>750</v>
      </c>
      <c r="J128" s="1" t="s">
        <v>14</v>
      </c>
    </row>
    <row r="129" spans="1:10" ht="19.899999999999999" customHeight="1">
      <c r="A129" s="3">
        <v>248</v>
      </c>
      <c r="B129" s="14" t="s">
        <v>41</v>
      </c>
      <c r="C129" s="3" t="s">
        <v>137</v>
      </c>
      <c r="D129" s="4" t="s">
        <v>43</v>
      </c>
      <c r="E129" s="5" t="s">
        <v>44</v>
      </c>
      <c r="F129" s="12">
        <v>566.5</v>
      </c>
      <c r="G129" s="11"/>
      <c r="H129" s="12">
        <v>18758.98</v>
      </c>
      <c r="I129" s="9">
        <f t="shared" si="1"/>
        <v>566.5</v>
      </c>
      <c r="J129" s="1" t="s">
        <v>14</v>
      </c>
    </row>
    <row r="130" spans="1:10" ht="19.899999999999999" customHeight="1">
      <c r="A130" s="3">
        <v>249</v>
      </c>
      <c r="B130" s="14" t="s">
        <v>41</v>
      </c>
      <c r="C130" s="3" t="s">
        <v>138</v>
      </c>
      <c r="D130" s="4" t="s">
        <v>47</v>
      </c>
      <c r="E130" s="5" t="s">
        <v>48</v>
      </c>
      <c r="F130" s="11"/>
      <c r="G130" s="12">
        <v>500</v>
      </c>
      <c r="H130" s="12">
        <v>18258.98</v>
      </c>
      <c r="I130" s="9">
        <f t="shared" ref="I130:I193" si="2">F130-G130</f>
        <v>-500</v>
      </c>
      <c r="J130" s="1" t="s">
        <v>7</v>
      </c>
    </row>
    <row r="131" spans="1:10" ht="19.899999999999999" customHeight="1">
      <c r="A131" s="3">
        <v>250</v>
      </c>
      <c r="B131" s="14" t="s">
        <v>41</v>
      </c>
      <c r="C131" s="3" t="s">
        <v>139</v>
      </c>
      <c r="D131" s="4" t="s">
        <v>43</v>
      </c>
      <c r="E131" s="5" t="s">
        <v>44</v>
      </c>
      <c r="F131" s="12">
        <v>400</v>
      </c>
      <c r="G131" s="11"/>
      <c r="H131" s="12">
        <v>18658.98</v>
      </c>
      <c r="I131" s="9">
        <f t="shared" si="2"/>
        <v>400</v>
      </c>
      <c r="J131" s="1" t="s">
        <v>14</v>
      </c>
    </row>
    <row r="132" spans="1:10" ht="19.899999999999999" customHeight="1">
      <c r="A132" s="3">
        <v>251</v>
      </c>
      <c r="B132" s="14" t="s">
        <v>41</v>
      </c>
      <c r="C132" s="3" t="s">
        <v>140</v>
      </c>
      <c r="D132" s="4" t="s">
        <v>43</v>
      </c>
      <c r="E132" s="5" t="s">
        <v>44</v>
      </c>
      <c r="F132" s="12">
        <v>800</v>
      </c>
      <c r="G132" s="11"/>
      <c r="H132" s="12">
        <v>19458.98</v>
      </c>
      <c r="I132" s="9">
        <f t="shared" si="2"/>
        <v>800</v>
      </c>
      <c r="J132" s="1" t="s">
        <v>14</v>
      </c>
    </row>
    <row r="133" spans="1:10" ht="19.899999999999999" customHeight="1">
      <c r="A133" s="3">
        <v>252</v>
      </c>
      <c r="B133" s="14" t="s">
        <v>41</v>
      </c>
      <c r="C133" s="3" t="s">
        <v>140</v>
      </c>
      <c r="D133" s="4" t="s">
        <v>52</v>
      </c>
      <c r="E133" s="5" t="s">
        <v>48</v>
      </c>
      <c r="F133" s="11"/>
      <c r="G133" s="12">
        <v>45.19</v>
      </c>
      <c r="H133" s="12">
        <v>19413.79</v>
      </c>
      <c r="I133" s="9">
        <f t="shared" si="2"/>
        <v>-45.19</v>
      </c>
      <c r="J133" s="1" t="s">
        <v>12</v>
      </c>
    </row>
    <row r="134" spans="1:10" ht="19.899999999999999" customHeight="1">
      <c r="A134" s="3">
        <v>253</v>
      </c>
      <c r="B134" s="14" t="s">
        <v>41</v>
      </c>
      <c r="C134" s="3" t="s">
        <v>141</v>
      </c>
      <c r="D134" s="4" t="s">
        <v>53</v>
      </c>
      <c r="E134" s="5" t="s">
        <v>48</v>
      </c>
      <c r="F134" s="11"/>
      <c r="G134" s="12">
        <v>410</v>
      </c>
      <c r="H134" s="12">
        <v>19003.79</v>
      </c>
      <c r="I134" s="9">
        <f t="shared" si="2"/>
        <v>-410</v>
      </c>
      <c r="J134" s="1" t="s">
        <v>7</v>
      </c>
    </row>
    <row r="135" spans="1:10" ht="19.899999999999999" customHeight="1">
      <c r="A135" s="3">
        <v>254</v>
      </c>
      <c r="B135" s="14" t="s">
        <v>41</v>
      </c>
      <c r="C135" s="3" t="s">
        <v>141</v>
      </c>
      <c r="D135" s="4" t="s">
        <v>47</v>
      </c>
      <c r="E135" s="5" t="s">
        <v>48</v>
      </c>
      <c r="F135" s="11"/>
      <c r="G135" s="12">
        <v>1000</v>
      </c>
      <c r="H135" s="12">
        <v>18003.79</v>
      </c>
      <c r="I135" s="9">
        <f t="shared" si="2"/>
        <v>-1000</v>
      </c>
      <c r="J135" s="1" t="s">
        <v>7</v>
      </c>
    </row>
    <row r="136" spans="1:10" ht="19.899999999999999" customHeight="1">
      <c r="A136" s="3">
        <v>255</v>
      </c>
      <c r="B136" s="14" t="s">
        <v>41</v>
      </c>
      <c r="C136" s="3" t="s">
        <v>142</v>
      </c>
      <c r="D136" s="4" t="s">
        <v>53</v>
      </c>
      <c r="E136" s="5" t="s">
        <v>48</v>
      </c>
      <c r="F136" s="11"/>
      <c r="G136" s="12">
        <v>500</v>
      </c>
      <c r="H136" s="12">
        <v>17503.79</v>
      </c>
      <c r="I136" s="9">
        <f t="shared" si="2"/>
        <v>-500</v>
      </c>
      <c r="J136" s="1" t="s">
        <v>7</v>
      </c>
    </row>
    <row r="137" spans="1:10" ht="19.899999999999999" customHeight="1">
      <c r="A137" s="3">
        <v>256</v>
      </c>
      <c r="B137" s="14" t="s">
        <v>41</v>
      </c>
      <c r="C137" s="3" t="s">
        <v>143</v>
      </c>
      <c r="D137" s="4" t="s">
        <v>53</v>
      </c>
      <c r="E137" s="5" t="s">
        <v>48</v>
      </c>
      <c r="F137" s="11"/>
      <c r="G137" s="12">
        <v>500</v>
      </c>
      <c r="H137" s="12">
        <v>17003.79</v>
      </c>
      <c r="I137" s="9">
        <f t="shared" si="2"/>
        <v>-500</v>
      </c>
      <c r="J137" s="1" t="s">
        <v>7</v>
      </c>
    </row>
    <row r="138" spans="1:10" ht="19.899999999999999" customHeight="1">
      <c r="A138" s="3">
        <v>257</v>
      </c>
      <c r="B138" s="14" t="s">
        <v>41</v>
      </c>
      <c r="C138" s="3" t="s">
        <v>144</v>
      </c>
      <c r="D138" s="4" t="s">
        <v>43</v>
      </c>
      <c r="E138" s="5" t="s">
        <v>44</v>
      </c>
      <c r="F138" s="12">
        <v>750</v>
      </c>
      <c r="G138" s="11"/>
      <c r="H138" s="12">
        <v>17753.79</v>
      </c>
      <c r="I138" s="9">
        <f t="shared" si="2"/>
        <v>750</v>
      </c>
      <c r="J138" s="1" t="s">
        <v>14</v>
      </c>
    </row>
    <row r="139" spans="1:10" ht="19.899999999999999" customHeight="1">
      <c r="A139" s="3">
        <v>258</v>
      </c>
      <c r="B139" s="14" t="s">
        <v>41</v>
      </c>
      <c r="C139" s="3" t="s">
        <v>145</v>
      </c>
      <c r="D139" s="4" t="s">
        <v>47</v>
      </c>
      <c r="E139" s="5" t="s">
        <v>48</v>
      </c>
      <c r="F139" s="11"/>
      <c r="G139" s="12">
        <v>1500</v>
      </c>
      <c r="H139" s="12">
        <v>16253.79</v>
      </c>
      <c r="I139" s="9">
        <f t="shared" si="2"/>
        <v>-1500</v>
      </c>
      <c r="J139" s="1" t="s">
        <v>7</v>
      </c>
    </row>
    <row r="140" spans="1:10" ht="19.899999999999999" customHeight="1">
      <c r="A140" s="3">
        <v>259</v>
      </c>
      <c r="B140" s="14" t="s">
        <v>41</v>
      </c>
      <c r="C140" s="3" t="s">
        <v>146</v>
      </c>
      <c r="D140" s="4" t="s">
        <v>53</v>
      </c>
      <c r="E140" s="5" t="s">
        <v>48</v>
      </c>
      <c r="F140" s="11"/>
      <c r="G140" s="12">
        <v>100</v>
      </c>
      <c r="H140" s="12">
        <v>16153.79</v>
      </c>
      <c r="I140" s="9">
        <f t="shared" si="2"/>
        <v>-100</v>
      </c>
      <c r="J140" s="1" t="s">
        <v>7</v>
      </c>
    </row>
    <row r="141" spans="1:10" ht="19.899999999999999" customHeight="1">
      <c r="A141" s="3">
        <v>260</v>
      </c>
      <c r="B141" s="14" t="s">
        <v>41</v>
      </c>
      <c r="C141" s="3" t="s">
        <v>147</v>
      </c>
      <c r="D141" s="4" t="s">
        <v>53</v>
      </c>
      <c r="E141" s="5" t="s">
        <v>48</v>
      </c>
      <c r="F141" s="11"/>
      <c r="G141" s="12">
        <v>100</v>
      </c>
      <c r="H141" s="12">
        <v>16053.79</v>
      </c>
      <c r="I141" s="9">
        <f t="shared" si="2"/>
        <v>-100</v>
      </c>
      <c r="J141" s="1" t="s">
        <v>7</v>
      </c>
    </row>
    <row r="142" spans="1:10" ht="19.899999999999999" customHeight="1">
      <c r="A142" s="3">
        <v>261</v>
      </c>
      <c r="B142" s="14" t="s">
        <v>41</v>
      </c>
      <c r="C142" s="3" t="s">
        <v>148</v>
      </c>
      <c r="D142" s="4" t="s">
        <v>43</v>
      </c>
      <c r="E142" s="5" t="s">
        <v>44</v>
      </c>
      <c r="F142" s="12">
        <v>2000</v>
      </c>
      <c r="G142" s="11"/>
      <c r="H142" s="12">
        <v>18053.79</v>
      </c>
      <c r="I142" s="9">
        <f t="shared" si="2"/>
        <v>2000</v>
      </c>
      <c r="J142" s="1" t="s">
        <v>14</v>
      </c>
    </row>
    <row r="143" spans="1:10" ht="19.899999999999999" customHeight="1">
      <c r="A143" s="3">
        <v>262</v>
      </c>
      <c r="B143" s="14" t="s">
        <v>41</v>
      </c>
      <c r="C143" s="3" t="s">
        <v>149</v>
      </c>
      <c r="D143" s="4" t="s">
        <v>43</v>
      </c>
      <c r="E143" s="5" t="s">
        <v>44</v>
      </c>
      <c r="F143" s="12">
        <v>750</v>
      </c>
      <c r="G143" s="11"/>
      <c r="H143" s="12">
        <v>18803.79</v>
      </c>
      <c r="I143" s="9">
        <f t="shared" si="2"/>
        <v>750</v>
      </c>
      <c r="J143" s="1" t="s">
        <v>14</v>
      </c>
    </row>
    <row r="144" spans="1:10" ht="19.899999999999999" customHeight="1">
      <c r="A144" s="3">
        <v>263</v>
      </c>
      <c r="B144" s="14" t="s">
        <v>41</v>
      </c>
      <c r="C144" s="3" t="s">
        <v>149</v>
      </c>
      <c r="D144" s="4" t="s">
        <v>47</v>
      </c>
      <c r="E144" s="5" t="s">
        <v>48</v>
      </c>
      <c r="F144" s="11"/>
      <c r="G144" s="12">
        <v>2500</v>
      </c>
      <c r="H144" s="12">
        <v>16303.79</v>
      </c>
      <c r="I144" s="9">
        <f t="shared" si="2"/>
        <v>-2500</v>
      </c>
      <c r="J144" s="1" t="s">
        <v>7</v>
      </c>
    </row>
    <row r="145" spans="1:10" ht="19.899999999999999" customHeight="1">
      <c r="A145" s="3">
        <v>264</v>
      </c>
      <c r="B145" s="14" t="s">
        <v>41</v>
      </c>
      <c r="C145" s="3" t="s">
        <v>150</v>
      </c>
      <c r="D145" s="4" t="s">
        <v>56</v>
      </c>
      <c r="E145" s="5" t="s">
        <v>48</v>
      </c>
      <c r="F145" s="11"/>
      <c r="G145" s="12">
        <v>1047</v>
      </c>
      <c r="H145" s="12">
        <v>15256.79</v>
      </c>
      <c r="I145" s="9">
        <f t="shared" si="2"/>
        <v>-1047</v>
      </c>
      <c r="J145" s="1" t="s">
        <v>28</v>
      </c>
    </row>
    <row r="146" spans="1:10" ht="19.899999999999999" customHeight="1">
      <c r="A146" s="3">
        <v>265</v>
      </c>
      <c r="B146" s="14" t="s">
        <v>41</v>
      </c>
      <c r="C146" s="3" t="s">
        <v>151</v>
      </c>
      <c r="D146" s="4" t="s">
        <v>43</v>
      </c>
      <c r="E146" s="5" t="s">
        <v>44</v>
      </c>
      <c r="F146" s="12">
        <v>750</v>
      </c>
      <c r="G146" s="11"/>
      <c r="H146" s="12">
        <v>16006.79</v>
      </c>
      <c r="I146" s="9">
        <f t="shared" si="2"/>
        <v>750</v>
      </c>
      <c r="J146" s="1" t="s">
        <v>14</v>
      </c>
    </row>
    <row r="147" spans="1:10" ht="19.899999999999999" customHeight="1">
      <c r="A147" s="3">
        <v>266</v>
      </c>
      <c r="B147" s="14" t="s">
        <v>41</v>
      </c>
      <c r="C147" s="3" t="s">
        <v>152</v>
      </c>
      <c r="D147" s="4" t="s">
        <v>43</v>
      </c>
      <c r="E147" s="5" t="s">
        <v>44</v>
      </c>
      <c r="F147" s="12">
        <v>1150</v>
      </c>
      <c r="G147" s="11"/>
      <c r="H147" s="12">
        <v>17156.79</v>
      </c>
      <c r="I147" s="9">
        <f t="shared" si="2"/>
        <v>1150</v>
      </c>
      <c r="J147" s="1" t="s">
        <v>14</v>
      </c>
    </row>
    <row r="148" spans="1:10" ht="19.899999999999999" customHeight="1">
      <c r="A148" s="3">
        <v>267</v>
      </c>
      <c r="B148" s="14" t="s">
        <v>41</v>
      </c>
      <c r="C148" s="3" t="s">
        <v>153</v>
      </c>
      <c r="D148" s="4" t="s">
        <v>43</v>
      </c>
      <c r="E148" s="5" t="s">
        <v>44</v>
      </c>
      <c r="F148" s="12">
        <v>1650</v>
      </c>
      <c r="G148" s="11"/>
      <c r="H148" s="12">
        <v>18806.79</v>
      </c>
      <c r="I148" s="9">
        <f t="shared" si="2"/>
        <v>1650</v>
      </c>
      <c r="J148" s="1" t="s">
        <v>14</v>
      </c>
    </row>
    <row r="149" spans="1:10" ht="19.899999999999999" customHeight="1">
      <c r="A149" s="3">
        <v>268</v>
      </c>
      <c r="B149" s="14" t="s">
        <v>41</v>
      </c>
      <c r="C149" s="3" t="s">
        <v>153</v>
      </c>
      <c r="D149" s="4" t="s">
        <v>53</v>
      </c>
      <c r="E149" s="5" t="s">
        <v>48</v>
      </c>
      <c r="F149" s="11"/>
      <c r="G149" s="12">
        <v>200</v>
      </c>
      <c r="H149" s="12">
        <v>18606.79</v>
      </c>
      <c r="I149" s="9">
        <f t="shared" si="2"/>
        <v>-200</v>
      </c>
      <c r="J149" s="1" t="s">
        <v>7</v>
      </c>
    </row>
    <row r="150" spans="1:10" ht="19.899999999999999" customHeight="1">
      <c r="A150" s="3">
        <v>269</v>
      </c>
      <c r="B150" s="14" t="s">
        <v>41</v>
      </c>
      <c r="C150" s="3" t="s">
        <v>154</v>
      </c>
      <c r="D150" s="4" t="s">
        <v>53</v>
      </c>
      <c r="E150" s="5" t="s">
        <v>48</v>
      </c>
      <c r="F150" s="11"/>
      <c r="G150" s="12">
        <v>600</v>
      </c>
      <c r="H150" s="12">
        <v>18006.79</v>
      </c>
      <c r="I150" s="9">
        <f t="shared" si="2"/>
        <v>-600</v>
      </c>
      <c r="J150" s="1" t="s">
        <v>7</v>
      </c>
    </row>
    <row r="151" spans="1:10" ht="19.899999999999999" customHeight="1">
      <c r="A151" s="3">
        <v>270</v>
      </c>
      <c r="B151" s="14" t="s">
        <v>41</v>
      </c>
      <c r="C151" s="3" t="s">
        <v>155</v>
      </c>
      <c r="D151" s="4" t="s">
        <v>43</v>
      </c>
      <c r="E151" s="5" t="s">
        <v>44</v>
      </c>
      <c r="F151" s="12">
        <v>825</v>
      </c>
      <c r="G151" s="11"/>
      <c r="H151" s="12">
        <v>18831.79</v>
      </c>
      <c r="I151" s="9">
        <f t="shared" si="2"/>
        <v>825</v>
      </c>
      <c r="J151" s="1" t="s">
        <v>14</v>
      </c>
    </row>
    <row r="152" spans="1:10" ht="19.899999999999999" customHeight="1">
      <c r="A152" s="3">
        <v>271</v>
      </c>
      <c r="B152" s="14" t="s">
        <v>41</v>
      </c>
      <c r="C152" s="3" t="s">
        <v>155</v>
      </c>
      <c r="D152" s="4" t="s">
        <v>53</v>
      </c>
      <c r="E152" s="5" t="s">
        <v>48</v>
      </c>
      <c r="F152" s="11"/>
      <c r="G152" s="12">
        <v>200</v>
      </c>
      <c r="H152" s="12">
        <v>18631.79</v>
      </c>
      <c r="I152" s="9">
        <f t="shared" si="2"/>
        <v>-200</v>
      </c>
      <c r="J152" s="1" t="s">
        <v>7</v>
      </c>
    </row>
    <row r="153" spans="1:10" ht="19.899999999999999" customHeight="1">
      <c r="A153" s="3">
        <v>272</v>
      </c>
      <c r="B153" s="14" t="s">
        <v>41</v>
      </c>
      <c r="C153" s="3" t="s">
        <v>156</v>
      </c>
      <c r="D153" s="4" t="s">
        <v>53</v>
      </c>
      <c r="E153" s="5" t="s">
        <v>48</v>
      </c>
      <c r="F153" s="11"/>
      <c r="G153" s="12">
        <v>35</v>
      </c>
      <c r="H153" s="12">
        <v>18596.79</v>
      </c>
      <c r="I153" s="9">
        <f t="shared" si="2"/>
        <v>-35</v>
      </c>
      <c r="J153" s="1" t="s">
        <v>7</v>
      </c>
    </row>
    <row r="154" spans="1:10" ht="19.899999999999999" customHeight="1">
      <c r="A154" s="3">
        <v>273</v>
      </c>
      <c r="B154" s="14" t="s">
        <v>41</v>
      </c>
      <c r="C154" s="3" t="s">
        <v>156</v>
      </c>
      <c r="D154" s="4" t="s">
        <v>53</v>
      </c>
      <c r="E154" s="5" t="s">
        <v>48</v>
      </c>
      <c r="F154" s="11"/>
      <c r="G154" s="12">
        <v>166</v>
      </c>
      <c r="H154" s="12">
        <v>18430.79</v>
      </c>
      <c r="I154" s="9">
        <f t="shared" si="2"/>
        <v>-166</v>
      </c>
      <c r="J154" s="1" t="s">
        <v>7</v>
      </c>
    </row>
    <row r="155" spans="1:10" ht="19.899999999999999" customHeight="1">
      <c r="A155" s="3">
        <v>274</v>
      </c>
      <c r="B155" s="14" t="s">
        <v>41</v>
      </c>
      <c r="C155" s="3" t="s">
        <v>157</v>
      </c>
      <c r="D155" s="4" t="s">
        <v>53</v>
      </c>
      <c r="E155" s="5" t="s">
        <v>48</v>
      </c>
      <c r="F155" s="11"/>
      <c r="G155" s="12">
        <v>200</v>
      </c>
      <c r="H155" s="12">
        <v>18230.79</v>
      </c>
      <c r="I155" s="9">
        <f t="shared" si="2"/>
        <v>-200</v>
      </c>
      <c r="J155" s="1" t="s">
        <v>7</v>
      </c>
    </row>
    <row r="156" spans="1:10" ht="19.899999999999999" customHeight="1">
      <c r="A156" s="3">
        <v>275</v>
      </c>
      <c r="B156" s="14" t="s">
        <v>41</v>
      </c>
      <c r="C156" s="3" t="s">
        <v>157</v>
      </c>
      <c r="D156" s="4" t="s">
        <v>53</v>
      </c>
      <c r="E156" s="5" t="s">
        <v>48</v>
      </c>
      <c r="F156" s="11"/>
      <c r="G156" s="12">
        <v>800</v>
      </c>
      <c r="H156" s="12">
        <v>17430.79</v>
      </c>
      <c r="I156" s="9">
        <f t="shared" si="2"/>
        <v>-800</v>
      </c>
      <c r="J156" s="1" t="s">
        <v>7</v>
      </c>
    </row>
    <row r="157" spans="1:10" ht="19.899999999999999" customHeight="1">
      <c r="A157" s="3">
        <v>276</v>
      </c>
      <c r="B157" s="14" t="s">
        <v>41</v>
      </c>
      <c r="C157" s="3" t="s">
        <v>158</v>
      </c>
      <c r="D157" s="4" t="s">
        <v>43</v>
      </c>
      <c r="E157" s="5" t="s">
        <v>44</v>
      </c>
      <c r="F157" s="12">
        <v>350</v>
      </c>
      <c r="G157" s="11"/>
      <c r="H157" s="12">
        <v>17780.79</v>
      </c>
      <c r="I157" s="9">
        <f t="shared" si="2"/>
        <v>350</v>
      </c>
      <c r="J157" s="1" t="s">
        <v>14</v>
      </c>
    </row>
    <row r="158" spans="1:10" ht="19.899999999999999" customHeight="1">
      <c r="A158" s="3">
        <v>277</v>
      </c>
      <c r="B158" s="14" t="s">
        <v>41</v>
      </c>
      <c r="C158" s="3" t="s">
        <v>158</v>
      </c>
      <c r="D158" s="4" t="s">
        <v>53</v>
      </c>
      <c r="E158" s="5" t="s">
        <v>48</v>
      </c>
      <c r="F158" s="11"/>
      <c r="G158" s="12">
        <v>30</v>
      </c>
      <c r="H158" s="12">
        <v>17750.79</v>
      </c>
      <c r="I158" s="9">
        <f t="shared" si="2"/>
        <v>-30</v>
      </c>
      <c r="J158" s="1" t="s">
        <v>7</v>
      </c>
    </row>
    <row r="159" spans="1:10" ht="19.899999999999999" customHeight="1">
      <c r="A159" s="3">
        <v>278</v>
      </c>
      <c r="B159" s="14" t="s">
        <v>41</v>
      </c>
      <c r="C159" s="3" t="s">
        <v>159</v>
      </c>
      <c r="D159" s="4" t="s">
        <v>43</v>
      </c>
      <c r="E159" s="5" t="s">
        <v>44</v>
      </c>
      <c r="F159" s="12">
        <v>400</v>
      </c>
      <c r="G159" s="11"/>
      <c r="H159" s="12">
        <v>18150.79</v>
      </c>
      <c r="I159" s="9">
        <f t="shared" si="2"/>
        <v>400</v>
      </c>
      <c r="J159" s="1" t="s">
        <v>14</v>
      </c>
    </row>
    <row r="160" spans="1:10" ht="19.899999999999999" customHeight="1">
      <c r="A160" s="3">
        <v>279</v>
      </c>
      <c r="B160" s="14" t="s">
        <v>41</v>
      </c>
      <c r="C160" s="3" t="s">
        <v>159</v>
      </c>
      <c r="D160" s="4" t="s">
        <v>53</v>
      </c>
      <c r="E160" s="5" t="s">
        <v>48</v>
      </c>
      <c r="F160" s="11"/>
      <c r="G160" s="12">
        <v>150</v>
      </c>
      <c r="H160" s="12">
        <v>18000.79</v>
      </c>
      <c r="I160" s="9">
        <f t="shared" si="2"/>
        <v>-150</v>
      </c>
      <c r="J160" s="1" t="s">
        <v>7</v>
      </c>
    </row>
    <row r="161" spans="1:10" ht="19.899999999999999" customHeight="1">
      <c r="A161" s="3">
        <v>280</v>
      </c>
      <c r="B161" s="14" t="s">
        <v>41</v>
      </c>
      <c r="C161" s="3" t="s">
        <v>159</v>
      </c>
      <c r="D161" s="4" t="s">
        <v>53</v>
      </c>
      <c r="E161" s="5" t="s">
        <v>48</v>
      </c>
      <c r="F161" s="11"/>
      <c r="G161" s="12">
        <v>2500</v>
      </c>
      <c r="H161" s="12">
        <v>15500.79</v>
      </c>
      <c r="I161" s="9">
        <f t="shared" si="2"/>
        <v>-2500</v>
      </c>
      <c r="J161" s="1" t="s">
        <v>7</v>
      </c>
    </row>
    <row r="162" spans="1:10" ht="19.899999999999999" customHeight="1">
      <c r="A162" s="3">
        <v>281</v>
      </c>
      <c r="B162" s="14" t="s">
        <v>41</v>
      </c>
      <c r="C162" s="3" t="s">
        <v>160</v>
      </c>
      <c r="D162" s="4" t="s">
        <v>43</v>
      </c>
      <c r="E162" s="5" t="s">
        <v>44</v>
      </c>
      <c r="F162" s="12">
        <v>1175</v>
      </c>
      <c r="G162" s="11"/>
      <c r="H162" s="12">
        <v>16675.79</v>
      </c>
      <c r="I162" s="9">
        <f t="shared" si="2"/>
        <v>1175</v>
      </c>
      <c r="J162" s="1" t="s">
        <v>14</v>
      </c>
    </row>
    <row r="163" spans="1:10" ht="19.899999999999999" customHeight="1">
      <c r="A163" s="3">
        <v>282</v>
      </c>
      <c r="B163" s="14" t="s">
        <v>41</v>
      </c>
      <c r="C163" s="3" t="s">
        <v>161</v>
      </c>
      <c r="D163" s="4" t="s">
        <v>43</v>
      </c>
      <c r="E163" s="5" t="s">
        <v>44</v>
      </c>
      <c r="F163" s="12">
        <v>775</v>
      </c>
      <c r="G163" s="11"/>
      <c r="H163" s="12">
        <v>17450.79</v>
      </c>
      <c r="I163" s="9">
        <f t="shared" si="2"/>
        <v>775</v>
      </c>
      <c r="J163" s="1" t="s">
        <v>14</v>
      </c>
    </row>
    <row r="164" spans="1:10" ht="19.899999999999999" customHeight="1">
      <c r="A164" s="3">
        <v>283</v>
      </c>
      <c r="B164" s="14" t="s">
        <v>41</v>
      </c>
      <c r="C164" s="3" t="s">
        <v>161</v>
      </c>
      <c r="D164" s="4" t="s">
        <v>56</v>
      </c>
      <c r="E164" s="5" t="s">
        <v>48</v>
      </c>
      <c r="F164" s="11"/>
      <c r="G164" s="12">
        <v>1047</v>
      </c>
      <c r="H164" s="12">
        <v>16403.79</v>
      </c>
      <c r="I164" s="9">
        <f t="shared" si="2"/>
        <v>-1047</v>
      </c>
      <c r="J164" s="1" t="s">
        <v>28</v>
      </c>
    </row>
    <row r="165" spans="1:10" ht="19.899999999999999" customHeight="1">
      <c r="A165" s="3">
        <v>284</v>
      </c>
      <c r="B165" s="14" t="s">
        <v>41</v>
      </c>
      <c r="C165" s="3" t="s">
        <v>161</v>
      </c>
      <c r="D165" s="4" t="s">
        <v>107</v>
      </c>
      <c r="E165" s="5" t="s">
        <v>108</v>
      </c>
      <c r="F165" s="12">
        <v>375</v>
      </c>
      <c r="G165" s="11"/>
      <c r="H165" s="12">
        <v>16778.79</v>
      </c>
      <c r="I165" s="9">
        <f t="shared" si="2"/>
        <v>375</v>
      </c>
      <c r="J165" s="1" t="s">
        <v>14</v>
      </c>
    </row>
    <row r="166" spans="1:10" ht="19.899999999999999" customHeight="1">
      <c r="A166" s="3">
        <v>285</v>
      </c>
      <c r="B166" s="14" t="s">
        <v>41</v>
      </c>
      <c r="C166" s="3" t="s">
        <v>162</v>
      </c>
      <c r="D166" s="4" t="s">
        <v>43</v>
      </c>
      <c r="E166" s="5" t="s">
        <v>44</v>
      </c>
      <c r="F166" s="12">
        <v>350</v>
      </c>
      <c r="G166" s="11"/>
      <c r="H166" s="12">
        <v>17128.79</v>
      </c>
      <c r="I166" s="9">
        <f t="shared" si="2"/>
        <v>350</v>
      </c>
      <c r="J166" s="1" t="s">
        <v>14</v>
      </c>
    </row>
    <row r="167" spans="1:10" ht="19.899999999999999" customHeight="1">
      <c r="A167" s="3">
        <v>286</v>
      </c>
      <c r="B167" s="14" t="s">
        <v>41</v>
      </c>
      <c r="C167" s="3" t="s">
        <v>163</v>
      </c>
      <c r="D167" s="4" t="s">
        <v>43</v>
      </c>
      <c r="E167" s="5" t="s">
        <v>44</v>
      </c>
      <c r="F167" s="12">
        <v>1475</v>
      </c>
      <c r="G167" s="11"/>
      <c r="H167" s="12">
        <v>18603.79</v>
      </c>
      <c r="I167" s="9">
        <f t="shared" si="2"/>
        <v>1475</v>
      </c>
      <c r="J167" s="1" t="s">
        <v>14</v>
      </c>
    </row>
    <row r="168" spans="1:10" ht="19.899999999999999" customHeight="1">
      <c r="A168" s="3">
        <v>287</v>
      </c>
      <c r="B168" s="14" t="s">
        <v>41</v>
      </c>
      <c r="C168" s="3" t="s">
        <v>164</v>
      </c>
      <c r="D168" s="4" t="s">
        <v>43</v>
      </c>
      <c r="E168" s="5" t="s">
        <v>44</v>
      </c>
      <c r="F168" s="12">
        <v>1250</v>
      </c>
      <c r="G168" s="11"/>
      <c r="H168" s="12">
        <v>19853.79</v>
      </c>
      <c r="I168" s="9">
        <f t="shared" si="2"/>
        <v>1250</v>
      </c>
      <c r="J168" s="1" t="s">
        <v>14</v>
      </c>
    </row>
    <row r="169" spans="1:10" ht="19.899999999999999" customHeight="1">
      <c r="A169" s="3">
        <v>288</v>
      </c>
      <c r="B169" s="14" t="s">
        <v>41</v>
      </c>
      <c r="C169" s="3" t="s">
        <v>164</v>
      </c>
      <c r="D169" s="4" t="s">
        <v>53</v>
      </c>
      <c r="E169" s="5" t="s">
        <v>48</v>
      </c>
      <c r="F169" s="11"/>
      <c r="G169" s="12">
        <v>500</v>
      </c>
      <c r="H169" s="12">
        <v>19353.79</v>
      </c>
      <c r="I169" s="9">
        <f t="shared" si="2"/>
        <v>-500</v>
      </c>
      <c r="J169" s="1" t="s">
        <v>7</v>
      </c>
    </row>
    <row r="170" spans="1:10" ht="19.899999999999999" customHeight="1">
      <c r="A170" s="3">
        <v>289</v>
      </c>
      <c r="B170" s="14" t="s">
        <v>41</v>
      </c>
      <c r="C170" s="3" t="s">
        <v>165</v>
      </c>
      <c r="D170" s="4" t="s">
        <v>53</v>
      </c>
      <c r="E170" s="5" t="s">
        <v>48</v>
      </c>
      <c r="F170" s="11"/>
      <c r="G170" s="12">
        <v>300</v>
      </c>
      <c r="H170" s="12">
        <v>19053.79</v>
      </c>
      <c r="I170" s="9">
        <f t="shared" si="2"/>
        <v>-300</v>
      </c>
      <c r="J170" s="1" t="s">
        <v>7</v>
      </c>
    </row>
    <row r="171" spans="1:10" ht="19.899999999999999" customHeight="1">
      <c r="A171" s="3">
        <v>290</v>
      </c>
      <c r="B171" s="14" t="s">
        <v>41</v>
      </c>
      <c r="C171" s="3" t="s">
        <v>166</v>
      </c>
      <c r="D171" s="4" t="s">
        <v>43</v>
      </c>
      <c r="E171" s="5" t="s">
        <v>44</v>
      </c>
      <c r="F171" s="12">
        <v>775</v>
      </c>
      <c r="G171" s="11"/>
      <c r="H171" s="12">
        <v>19828.79</v>
      </c>
      <c r="I171" s="9">
        <f t="shared" si="2"/>
        <v>775</v>
      </c>
      <c r="J171" s="1" t="s">
        <v>14</v>
      </c>
    </row>
    <row r="172" spans="1:10" ht="19.899999999999999" customHeight="1">
      <c r="A172" s="3">
        <v>291</v>
      </c>
      <c r="B172" s="14" t="s">
        <v>41</v>
      </c>
      <c r="C172" s="3" t="s">
        <v>167</v>
      </c>
      <c r="D172" s="4" t="s">
        <v>53</v>
      </c>
      <c r="E172" s="5" t="s">
        <v>48</v>
      </c>
      <c r="F172" s="11"/>
      <c r="G172" s="12">
        <v>300</v>
      </c>
      <c r="H172" s="12">
        <v>19528.79</v>
      </c>
      <c r="I172" s="9">
        <f t="shared" si="2"/>
        <v>-300</v>
      </c>
      <c r="J172" s="1" t="s">
        <v>7</v>
      </c>
    </row>
    <row r="173" spans="1:10" ht="19.899999999999999" customHeight="1">
      <c r="A173" s="3">
        <v>292</v>
      </c>
      <c r="B173" s="14" t="s">
        <v>41</v>
      </c>
      <c r="C173" s="3" t="s">
        <v>168</v>
      </c>
      <c r="D173" s="4" t="s">
        <v>43</v>
      </c>
      <c r="E173" s="5" t="s">
        <v>44</v>
      </c>
      <c r="F173" s="12">
        <v>1225</v>
      </c>
      <c r="G173" s="11"/>
      <c r="H173" s="12">
        <v>20753.79</v>
      </c>
      <c r="I173" s="9">
        <f t="shared" si="2"/>
        <v>1225</v>
      </c>
      <c r="J173" s="1" t="s">
        <v>14</v>
      </c>
    </row>
    <row r="174" spans="1:10" ht="19.899999999999999" customHeight="1">
      <c r="A174" s="3">
        <v>293</v>
      </c>
      <c r="B174" s="14" t="s">
        <v>41</v>
      </c>
      <c r="C174" s="3" t="s">
        <v>169</v>
      </c>
      <c r="D174" s="4" t="s">
        <v>43</v>
      </c>
      <c r="E174" s="5" t="s">
        <v>44</v>
      </c>
      <c r="F174" s="12">
        <v>750</v>
      </c>
      <c r="G174" s="11"/>
      <c r="H174" s="12">
        <v>21503.79</v>
      </c>
      <c r="I174" s="9">
        <f t="shared" si="2"/>
        <v>750</v>
      </c>
      <c r="J174" s="1" t="s">
        <v>14</v>
      </c>
    </row>
    <row r="175" spans="1:10" ht="19.899999999999999" customHeight="1">
      <c r="A175" s="3">
        <v>294</v>
      </c>
      <c r="B175" s="14" t="s">
        <v>41</v>
      </c>
      <c r="C175" s="3" t="s">
        <v>169</v>
      </c>
      <c r="D175" s="4" t="s">
        <v>53</v>
      </c>
      <c r="E175" s="5" t="s">
        <v>48</v>
      </c>
      <c r="F175" s="11"/>
      <c r="G175" s="12">
        <v>500</v>
      </c>
      <c r="H175" s="12">
        <v>21003.79</v>
      </c>
      <c r="I175" s="9">
        <f t="shared" si="2"/>
        <v>-500</v>
      </c>
      <c r="J175" s="1" t="s">
        <v>7</v>
      </c>
    </row>
    <row r="176" spans="1:10" ht="19.899999999999999" customHeight="1">
      <c r="A176" s="3">
        <v>295</v>
      </c>
      <c r="B176" s="14" t="s">
        <v>41</v>
      </c>
      <c r="C176" s="3" t="s">
        <v>170</v>
      </c>
      <c r="D176" s="4" t="s">
        <v>43</v>
      </c>
      <c r="E176" s="5" t="s">
        <v>44</v>
      </c>
      <c r="F176" s="12">
        <v>1225</v>
      </c>
      <c r="G176" s="11"/>
      <c r="H176" s="12">
        <v>22228.79</v>
      </c>
      <c r="I176" s="9">
        <f t="shared" si="2"/>
        <v>1225</v>
      </c>
      <c r="J176" s="1" t="s">
        <v>14</v>
      </c>
    </row>
    <row r="177" spans="1:13" ht="19.899999999999999" customHeight="1">
      <c r="A177" s="3">
        <v>296</v>
      </c>
      <c r="B177" s="14" t="s">
        <v>41</v>
      </c>
      <c r="C177" s="3" t="s">
        <v>171</v>
      </c>
      <c r="D177" s="4" t="s">
        <v>43</v>
      </c>
      <c r="E177" s="5" t="s">
        <v>44</v>
      </c>
      <c r="F177" s="12">
        <v>800</v>
      </c>
      <c r="G177" s="11"/>
      <c r="H177" s="12">
        <v>23028.79</v>
      </c>
      <c r="I177" s="9">
        <f t="shared" si="2"/>
        <v>800</v>
      </c>
      <c r="J177" s="1" t="s">
        <v>14</v>
      </c>
    </row>
    <row r="178" spans="1:13" ht="19.899999999999999" customHeight="1">
      <c r="A178" s="3">
        <v>297</v>
      </c>
      <c r="B178" s="14" t="s">
        <v>41</v>
      </c>
      <c r="C178" s="3" t="s">
        <v>171</v>
      </c>
      <c r="D178" s="4" t="s">
        <v>172</v>
      </c>
      <c r="E178" s="5" t="s">
        <v>48</v>
      </c>
      <c r="F178" s="11"/>
      <c r="G178" s="12">
        <v>2500</v>
      </c>
      <c r="H178" s="12">
        <v>20528.79</v>
      </c>
      <c r="I178" s="9">
        <f t="shared" si="2"/>
        <v>-2500</v>
      </c>
      <c r="J178" s="1" t="s">
        <v>7</v>
      </c>
    </row>
    <row r="179" spans="1:13" ht="19.899999999999999" customHeight="1">
      <c r="A179" s="3">
        <v>298</v>
      </c>
      <c r="B179" s="14" t="s">
        <v>41</v>
      </c>
      <c r="C179" s="3" t="s">
        <v>171</v>
      </c>
      <c r="D179" s="4" t="s">
        <v>56</v>
      </c>
      <c r="E179" s="5" t="s">
        <v>48</v>
      </c>
      <c r="F179" s="11"/>
      <c r="G179" s="12">
        <v>528</v>
      </c>
      <c r="H179" s="12">
        <v>20000.79</v>
      </c>
      <c r="I179" s="9">
        <f t="shared" si="2"/>
        <v>-528</v>
      </c>
      <c r="J179" s="1" t="s">
        <v>28</v>
      </c>
    </row>
    <row r="180" spans="1:13" ht="19.899999999999999" customHeight="1">
      <c r="A180" s="3">
        <v>299</v>
      </c>
      <c r="B180" s="14" t="s">
        <v>41</v>
      </c>
      <c r="C180" s="3" t="s">
        <v>171</v>
      </c>
      <c r="D180" s="4" t="s">
        <v>56</v>
      </c>
      <c r="E180" s="5" t="s">
        <v>48</v>
      </c>
      <c r="F180" s="11"/>
      <c r="G180" s="12">
        <v>1047</v>
      </c>
      <c r="H180" s="12">
        <v>18953.79</v>
      </c>
      <c r="I180" s="9">
        <f t="shared" si="2"/>
        <v>-1047</v>
      </c>
      <c r="J180" s="1" t="s">
        <v>28</v>
      </c>
    </row>
    <row r="181" spans="1:13" ht="19.899999999999999" customHeight="1">
      <c r="A181" s="3">
        <v>300</v>
      </c>
      <c r="B181" s="14" t="s">
        <v>41</v>
      </c>
      <c r="C181" s="3" t="s">
        <v>173</v>
      </c>
      <c r="D181" s="4" t="s">
        <v>53</v>
      </c>
      <c r="E181" s="5" t="s">
        <v>48</v>
      </c>
      <c r="F181" s="11"/>
      <c r="G181" s="11">
        <v>500</v>
      </c>
      <c r="H181" s="12">
        <v>18453.79</v>
      </c>
      <c r="I181" s="9">
        <f t="shared" si="2"/>
        <v>-500</v>
      </c>
      <c r="J181" s="1" t="s">
        <v>7</v>
      </c>
    </row>
    <row r="182" spans="1:13" ht="12.75" hidden="1">
      <c r="A182">
        <v>301</v>
      </c>
      <c r="B182">
        <v>2025</v>
      </c>
      <c r="C182" s="25">
        <v>45749</v>
      </c>
      <c r="D182" t="s">
        <v>174</v>
      </c>
      <c r="E182" t="s">
        <v>44</v>
      </c>
      <c r="F182">
        <v>1175</v>
      </c>
      <c r="H182">
        <v>19628.79</v>
      </c>
      <c r="I182">
        <f t="shared" si="2"/>
        <v>1175</v>
      </c>
      <c r="J182" t="s">
        <v>14</v>
      </c>
      <c r="K182" s="1" t="s">
        <v>14</v>
      </c>
      <c r="L182" s="1">
        <f>IF(J182=K182,0,1)</f>
        <v>0</v>
      </c>
      <c r="M182" s="1">
        <v>1175</v>
      </c>
    </row>
    <row r="183" spans="1:13" ht="12.75">
      <c r="A183">
        <v>580</v>
      </c>
      <c r="B183">
        <v>2026</v>
      </c>
      <c r="C183" s="25">
        <v>45939</v>
      </c>
      <c r="D183" t="s">
        <v>235</v>
      </c>
      <c r="E183" t="s">
        <v>48</v>
      </c>
      <c r="G183">
        <v>754</v>
      </c>
      <c r="H183">
        <v>11315.99</v>
      </c>
      <c r="I183">
        <f>F183-G183</f>
        <v>-754</v>
      </c>
      <c r="J183" s="26" t="s">
        <v>21</v>
      </c>
      <c r="K183" s="1" t="s">
        <v>3</v>
      </c>
      <c r="L183" s="1">
        <f>IF(J183=K183,0,1)</f>
        <v>1</v>
      </c>
      <c r="M183" s="1">
        <v>375</v>
      </c>
    </row>
    <row r="184" spans="1:13" ht="12.75" hidden="1">
      <c r="A184">
        <v>303</v>
      </c>
      <c r="B184">
        <v>2026</v>
      </c>
      <c r="C184" s="25">
        <v>45755</v>
      </c>
      <c r="D184" t="s">
        <v>107</v>
      </c>
      <c r="E184" t="s">
        <v>108</v>
      </c>
      <c r="F184">
        <v>375</v>
      </c>
      <c r="H184">
        <v>20003.79</v>
      </c>
      <c r="I184">
        <f>F184-G184</f>
        <v>375</v>
      </c>
      <c r="J184" t="s">
        <v>14</v>
      </c>
      <c r="K184" s="1" t="s">
        <v>14</v>
      </c>
      <c r="L184" s="1">
        <f>IF(J184=K184,0,1)</f>
        <v>0</v>
      </c>
      <c r="M184" s="1">
        <v>-2000</v>
      </c>
    </row>
    <row r="185" spans="1:13" ht="12.75" hidden="1">
      <c r="A185">
        <v>304</v>
      </c>
      <c r="B185">
        <v>2026</v>
      </c>
      <c r="C185" s="25">
        <v>45756</v>
      </c>
      <c r="D185" t="s">
        <v>174</v>
      </c>
      <c r="E185" t="s">
        <v>44</v>
      </c>
      <c r="F185">
        <v>400</v>
      </c>
      <c r="H185">
        <v>18403.79</v>
      </c>
      <c r="I185">
        <f>F185-G185</f>
        <v>400</v>
      </c>
      <c r="J185" t="s">
        <v>14</v>
      </c>
      <c r="K185" s="1" t="s">
        <v>14</v>
      </c>
      <c r="L185" s="1">
        <f>IF(J185=K185,0,1)</f>
        <v>0</v>
      </c>
      <c r="M185" s="1">
        <v>400</v>
      </c>
    </row>
    <row r="186" spans="1:13" ht="12.75" hidden="1">
      <c r="A186">
        <v>305</v>
      </c>
      <c r="B186">
        <v>2026</v>
      </c>
      <c r="C186" s="25">
        <v>45758</v>
      </c>
      <c r="D186" t="s">
        <v>174</v>
      </c>
      <c r="E186" t="s">
        <v>44</v>
      </c>
      <c r="F186">
        <v>400</v>
      </c>
      <c r="H186">
        <v>18803.79</v>
      </c>
      <c r="I186">
        <f>F186-G186</f>
        <v>400</v>
      </c>
      <c r="J186" t="s">
        <v>14</v>
      </c>
      <c r="K186" s="1" t="s">
        <v>14</v>
      </c>
      <c r="L186" s="1">
        <f>IF(J186=K186,0,1)</f>
        <v>0</v>
      </c>
      <c r="M186" s="1">
        <v>400</v>
      </c>
    </row>
    <row r="187" spans="1:13" ht="25.5">
      <c r="A187">
        <v>656</v>
      </c>
      <c r="B187">
        <v>2026</v>
      </c>
      <c r="C187" s="25">
        <v>46015</v>
      </c>
      <c r="D187" t="s">
        <v>244</v>
      </c>
      <c r="G187">
        <v>8</v>
      </c>
      <c r="H187">
        <v>11111.39</v>
      </c>
      <c r="I187">
        <f>F187-G187</f>
        <v>-8</v>
      </c>
      <c r="J187" s="26" t="s">
        <v>16</v>
      </c>
      <c r="K187" s="1" t="s">
        <v>4</v>
      </c>
      <c r="L187" s="1">
        <f>IF(J187=K187,0,1)</f>
        <v>1</v>
      </c>
      <c r="M187" s="1">
        <v>-1100</v>
      </c>
    </row>
    <row r="188" spans="1:13" ht="25.5">
      <c r="A188">
        <v>732</v>
      </c>
      <c r="B188">
        <v>2026</v>
      </c>
      <c r="C188" s="25">
        <v>46080</v>
      </c>
      <c r="D188" t="s">
        <v>244</v>
      </c>
      <c r="G188">
        <v>8</v>
      </c>
      <c r="H188">
        <v>17150.240000000002</v>
      </c>
      <c r="I188">
        <f>F188-G188</f>
        <v>-8</v>
      </c>
      <c r="J188" s="26" t="s">
        <v>16</v>
      </c>
      <c r="K188" s="1" t="s">
        <v>4</v>
      </c>
      <c r="L188" s="1">
        <f>IF(J188=K188,0,1)</f>
        <v>1</v>
      </c>
      <c r="M188" s="1">
        <v>-313.82</v>
      </c>
    </row>
    <row r="189" spans="1:13" ht="12.75" hidden="1">
      <c r="A189">
        <v>308</v>
      </c>
      <c r="B189">
        <v>2026</v>
      </c>
      <c r="C189" s="25">
        <v>45764</v>
      </c>
      <c r="D189" t="s">
        <v>107</v>
      </c>
      <c r="E189" t="s">
        <v>108</v>
      </c>
      <c r="F189">
        <v>375</v>
      </c>
      <c r="H189">
        <v>17764.97</v>
      </c>
      <c r="I189">
        <f>F189-G189</f>
        <v>375</v>
      </c>
      <c r="J189" t="s">
        <v>14</v>
      </c>
      <c r="K189" s="1" t="s">
        <v>14</v>
      </c>
      <c r="L189" s="1">
        <f>IF(J189=K189,0,1)</f>
        <v>0</v>
      </c>
      <c r="M189" s="1">
        <v>375</v>
      </c>
    </row>
    <row r="190" spans="1:13" ht="12.75" hidden="1">
      <c r="A190">
        <v>309</v>
      </c>
      <c r="B190">
        <v>2026</v>
      </c>
      <c r="C190" s="25">
        <v>45769</v>
      </c>
      <c r="D190" t="s">
        <v>174</v>
      </c>
      <c r="E190" t="s">
        <v>44</v>
      </c>
      <c r="F190">
        <v>2000</v>
      </c>
      <c r="H190">
        <v>19764.97</v>
      </c>
      <c r="I190">
        <f>F190-G190</f>
        <v>2000</v>
      </c>
      <c r="J190" t="s">
        <v>14</v>
      </c>
      <c r="K190" s="1" t="s">
        <v>14</v>
      </c>
      <c r="L190" s="1">
        <f>IF(J190=K190,0,1)</f>
        <v>0</v>
      </c>
      <c r="M190" s="1">
        <v>2000</v>
      </c>
    </row>
    <row r="191" spans="1:13" ht="12.75" hidden="1">
      <c r="A191">
        <v>310</v>
      </c>
      <c r="B191">
        <v>2026</v>
      </c>
      <c r="C191" s="25">
        <v>45771</v>
      </c>
      <c r="D191" t="s">
        <v>174</v>
      </c>
      <c r="E191" t="s">
        <v>44</v>
      </c>
      <c r="F191">
        <v>400</v>
      </c>
      <c r="H191">
        <v>20164.97</v>
      </c>
      <c r="I191">
        <f>F191-G191</f>
        <v>400</v>
      </c>
      <c r="J191" t="s">
        <v>14</v>
      </c>
      <c r="K191" s="1" t="s">
        <v>14</v>
      </c>
      <c r="L191" s="1">
        <f>IF(J191=K191,0,1)</f>
        <v>0</v>
      </c>
      <c r="M191" s="1">
        <v>400</v>
      </c>
    </row>
    <row r="192" spans="1:13" ht="12.75">
      <c r="A192">
        <v>302</v>
      </c>
      <c r="B192">
        <v>2026</v>
      </c>
      <c r="C192" s="25">
        <v>45755</v>
      </c>
      <c r="D192" t="s">
        <v>53</v>
      </c>
      <c r="E192" t="s">
        <v>48</v>
      </c>
      <c r="G192">
        <v>2000</v>
      </c>
      <c r="H192">
        <v>18003.79</v>
      </c>
      <c r="I192">
        <f>F192-G192</f>
        <v>-2000</v>
      </c>
      <c r="J192" s="26" t="s">
        <v>26</v>
      </c>
      <c r="K192" s="1" t="s">
        <v>7</v>
      </c>
      <c r="L192" s="1">
        <f>IF(J192=K192,0,1)</f>
        <v>1</v>
      </c>
      <c r="M192" s="1">
        <v>-1047.5</v>
      </c>
    </row>
    <row r="193" spans="1:13" ht="12.75">
      <c r="A193">
        <v>307</v>
      </c>
      <c r="B193">
        <v>2026</v>
      </c>
      <c r="C193" s="25">
        <v>45761</v>
      </c>
      <c r="D193" t="s">
        <v>53</v>
      </c>
      <c r="E193" t="s">
        <v>48</v>
      </c>
      <c r="G193">
        <v>1100</v>
      </c>
      <c r="H193">
        <v>17703.79</v>
      </c>
      <c r="I193">
        <f>F193-G193</f>
        <v>-1100</v>
      </c>
      <c r="J193" s="26" t="s">
        <v>26</v>
      </c>
      <c r="K193" s="1" t="s">
        <v>7</v>
      </c>
      <c r="L193" s="1">
        <f>IF(J193=K193,0,1)</f>
        <v>1</v>
      </c>
      <c r="M193" s="1">
        <v>-833.33</v>
      </c>
    </row>
    <row r="194" spans="1:13" ht="12.75">
      <c r="A194">
        <v>311</v>
      </c>
      <c r="B194">
        <v>2026</v>
      </c>
      <c r="C194" s="25">
        <v>45772</v>
      </c>
      <c r="D194" t="s">
        <v>53</v>
      </c>
      <c r="E194" t="s">
        <v>48</v>
      </c>
      <c r="G194">
        <v>1800</v>
      </c>
      <c r="H194">
        <v>16484.14</v>
      </c>
      <c r="I194">
        <f>F194-G194</f>
        <v>-1800</v>
      </c>
      <c r="J194" s="26" t="s">
        <v>26</v>
      </c>
      <c r="K194" s="1" t="s">
        <v>7</v>
      </c>
      <c r="L194" s="1">
        <f>IF(J194=K194,0,1)</f>
        <v>1</v>
      </c>
      <c r="M194" s="1">
        <v>-1800</v>
      </c>
    </row>
    <row r="195" spans="1:13" ht="12.75" hidden="1">
      <c r="A195">
        <v>314</v>
      </c>
      <c r="B195">
        <v>2026</v>
      </c>
      <c r="C195" s="25">
        <v>45777</v>
      </c>
      <c r="D195" t="s">
        <v>174</v>
      </c>
      <c r="E195" t="s">
        <v>44</v>
      </c>
      <c r="F195">
        <v>750</v>
      </c>
      <c r="H195">
        <v>17234.14</v>
      </c>
      <c r="I195">
        <f>F195-G195</f>
        <v>750</v>
      </c>
      <c r="J195" t="s">
        <v>14</v>
      </c>
      <c r="K195" s="1" t="s">
        <v>14</v>
      </c>
      <c r="L195" s="1">
        <f>IF(J195=K195,0,1)</f>
        <v>0</v>
      </c>
      <c r="M195" s="1">
        <v>750</v>
      </c>
    </row>
    <row r="196" spans="1:13" ht="12.75" hidden="1">
      <c r="A196">
        <v>315</v>
      </c>
      <c r="B196">
        <v>2026</v>
      </c>
      <c r="C196" s="25">
        <v>45783</v>
      </c>
      <c r="D196" t="s">
        <v>174</v>
      </c>
      <c r="E196" t="s">
        <v>44</v>
      </c>
      <c r="F196">
        <v>1225</v>
      </c>
      <c r="H196">
        <v>18459.14</v>
      </c>
      <c r="I196">
        <f>F196-G196</f>
        <v>1225</v>
      </c>
      <c r="J196" t="s">
        <v>14</v>
      </c>
      <c r="K196" s="1" t="s">
        <v>14</v>
      </c>
      <c r="L196" s="1">
        <f>IF(J196=K196,0,1)</f>
        <v>0</v>
      </c>
      <c r="M196" s="1">
        <v>1225</v>
      </c>
    </row>
    <row r="197" spans="1:13" ht="12.75" hidden="1">
      <c r="A197">
        <v>316</v>
      </c>
      <c r="B197">
        <v>2026</v>
      </c>
      <c r="C197" s="25">
        <v>45784</v>
      </c>
      <c r="D197" t="s">
        <v>107</v>
      </c>
      <c r="E197" t="s">
        <v>108</v>
      </c>
      <c r="F197">
        <v>375</v>
      </c>
      <c r="H197">
        <v>18834.14</v>
      </c>
      <c r="I197">
        <f>F197-G197</f>
        <v>375</v>
      </c>
      <c r="J197" t="s">
        <v>14</v>
      </c>
      <c r="K197" s="1" t="s">
        <v>14</v>
      </c>
      <c r="L197" s="1">
        <f>IF(J197=K197,0,1)</f>
        <v>0</v>
      </c>
      <c r="M197" s="1">
        <v>375</v>
      </c>
    </row>
    <row r="198" spans="1:13" ht="12.75" hidden="1">
      <c r="A198">
        <v>317</v>
      </c>
      <c r="B198">
        <v>2026</v>
      </c>
      <c r="C198" s="25">
        <v>45785</v>
      </c>
      <c r="D198" t="s">
        <v>174</v>
      </c>
      <c r="E198" t="s">
        <v>44</v>
      </c>
      <c r="F198">
        <v>1950</v>
      </c>
      <c r="H198">
        <v>20784.14</v>
      </c>
      <c r="I198">
        <f>F198-G198</f>
        <v>1950</v>
      </c>
      <c r="J198" t="s">
        <v>14</v>
      </c>
      <c r="K198" s="1" t="s">
        <v>14</v>
      </c>
      <c r="L198" s="1">
        <f>IF(J198=K198,0,1)</f>
        <v>0</v>
      </c>
      <c r="M198" s="1">
        <v>1950</v>
      </c>
    </row>
    <row r="199" spans="1:13" ht="12.75">
      <c r="A199">
        <v>318</v>
      </c>
      <c r="B199">
        <v>2026</v>
      </c>
      <c r="C199" s="25">
        <v>45793</v>
      </c>
      <c r="D199" t="s">
        <v>53</v>
      </c>
      <c r="E199" t="s">
        <v>48</v>
      </c>
      <c r="G199">
        <v>500</v>
      </c>
      <c r="H199">
        <v>20284.14</v>
      </c>
      <c r="I199">
        <f>F199-G199</f>
        <v>-500</v>
      </c>
      <c r="J199" s="26" t="s">
        <v>26</v>
      </c>
      <c r="K199" s="1" t="s">
        <v>7</v>
      </c>
      <c r="L199" s="1">
        <f>IF(J199=K199,0,1)</f>
        <v>1</v>
      </c>
      <c r="M199" s="1">
        <v>-500</v>
      </c>
    </row>
    <row r="200" spans="1:13" ht="12.75">
      <c r="A200">
        <v>325</v>
      </c>
      <c r="B200">
        <v>2026</v>
      </c>
      <c r="C200" s="25">
        <v>45799</v>
      </c>
      <c r="D200" t="s">
        <v>53</v>
      </c>
      <c r="E200" t="s">
        <v>48</v>
      </c>
      <c r="G200">
        <v>400</v>
      </c>
      <c r="H200">
        <v>22234.639999999999</v>
      </c>
      <c r="I200">
        <f>F200-G200</f>
        <v>-400</v>
      </c>
      <c r="J200" s="26" t="s">
        <v>26</v>
      </c>
      <c r="K200" s="1" t="s">
        <v>7</v>
      </c>
      <c r="L200" s="1">
        <f>IF(J200=K200,0,1)</f>
        <v>1</v>
      </c>
      <c r="M200" s="1">
        <v>-1.55</v>
      </c>
    </row>
    <row r="201" spans="1:13" ht="12.75" hidden="1">
      <c r="A201">
        <v>320</v>
      </c>
      <c r="B201">
        <v>2026</v>
      </c>
      <c r="C201" s="25">
        <v>45797</v>
      </c>
      <c r="D201" t="s">
        <v>178</v>
      </c>
      <c r="E201" t="s">
        <v>177</v>
      </c>
      <c r="G201">
        <v>11.95</v>
      </c>
      <c r="H201">
        <v>20261.29</v>
      </c>
      <c r="I201">
        <f>F201-G201</f>
        <v>-11.95</v>
      </c>
      <c r="J201" t="s">
        <v>17</v>
      </c>
      <c r="K201" s="1" t="s">
        <v>17</v>
      </c>
      <c r="L201" s="1">
        <f>IF(J201=K201,0,1)</f>
        <v>0</v>
      </c>
      <c r="M201" s="1">
        <v>-6</v>
      </c>
    </row>
    <row r="202" spans="1:13" ht="12.75" hidden="1">
      <c r="A202">
        <v>321</v>
      </c>
      <c r="B202">
        <v>2026</v>
      </c>
      <c r="C202" s="25">
        <v>45797</v>
      </c>
      <c r="D202" t="s">
        <v>179</v>
      </c>
      <c r="E202" t="s">
        <v>177</v>
      </c>
      <c r="G202">
        <v>6</v>
      </c>
      <c r="H202">
        <v>20273.240000000002</v>
      </c>
      <c r="I202">
        <f>F202-G202</f>
        <v>-6</v>
      </c>
      <c r="J202" t="s">
        <v>17</v>
      </c>
      <c r="K202" s="1" t="s">
        <v>17</v>
      </c>
      <c r="L202" s="1">
        <f>IF(J202=K202,0,1)</f>
        <v>0</v>
      </c>
      <c r="M202" s="1">
        <v>-11.95</v>
      </c>
    </row>
    <row r="203" spans="1:13" ht="12.75" hidden="1">
      <c r="A203">
        <v>322</v>
      </c>
      <c r="B203">
        <v>2026</v>
      </c>
      <c r="C203" s="25">
        <v>45797</v>
      </c>
      <c r="D203" t="s">
        <v>180</v>
      </c>
      <c r="E203" t="s">
        <v>177</v>
      </c>
      <c r="G203">
        <v>4.9000000000000004</v>
      </c>
      <c r="H203">
        <v>20279.240000000002</v>
      </c>
      <c r="I203">
        <f>F203-G203</f>
        <v>-4.9000000000000004</v>
      </c>
      <c r="J203" t="s">
        <v>15</v>
      </c>
      <c r="K203" s="1" t="s">
        <v>15</v>
      </c>
      <c r="L203" s="1">
        <f>IF(J203=K203,0,1)</f>
        <v>0</v>
      </c>
      <c r="M203" s="1">
        <v>-46.7</v>
      </c>
    </row>
    <row r="204" spans="1:13" ht="12.75" hidden="1">
      <c r="A204">
        <v>323</v>
      </c>
      <c r="B204">
        <v>2026</v>
      </c>
      <c r="C204" s="25">
        <v>45798</v>
      </c>
      <c r="D204" t="s">
        <v>179</v>
      </c>
      <c r="E204" t="s">
        <v>177</v>
      </c>
      <c r="G204">
        <v>6</v>
      </c>
      <c r="H204">
        <v>22658.59</v>
      </c>
      <c r="I204">
        <f>F204-G204</f>
        <v>-6</v>
      </c>
      <c r="J204" t="s">
        <v>17</v>
      </c>
      <c r="K204" s="1" t="s">
        <v>17</v>
      </c>
      <c r="L204" s="1">
        <f>IF(J204=K204,0,1)</f>
        <v>0</v>
      </c>
      <c r="M204" s="1">
        <v>2450</v>
      </c>
    </row>
    <row r="205" spans="1:13" ht="12.75" hidden="1">
      <c r="A205">
        <v>324</v>
      </c>
      <c r="B205">
        <v>2026</v>
      </c>
      <c r="C205" s="25">
        <v>45798</v>
      </c>
      <c r="D205" t="s">
        <v>174</v>
      </c>
      <c r="E205" t="s">
        <v>44</v>
      </c>
      <c r="F205">
        <v>2450</v>
      </c>
      <c r="H205">
        <v>22664.59</v>
      </c>
      <c r="I205">
        <f>F205-G205</f>
        <v>2450</v>
      </c>
      <c r="J205" t="s">
        <v>14</v>
      </c>
      <c r="K205" s="1" t="s">
        <v>14</v>
      </c>
      <c r="L205" s="1">
        <f>IF(J205=K205,0,1)</f>
        <v>0</v>
      </c>
      <c r="M205" s="1">
        <v>-6</v>
      </c>
    </row>
    <row r="206" spans="1:13" ht="12.75">
      <c r="A206">
        <v>328</v>
      </c>
      <c r="B206">
        <v>2026</v>
      </c>
      <c r="C206" s="25">
        <v>45800</v>
      </c>
      <c r="D206" t="s">
        <v>47</v>
      </c>
      <c r="E206" t="s">
        <v>48</v>
      </c>
      <c r="G206">
        <v>600</v>
      </c>
      <c r="H206">
        <v>19853.810000000001</v>
      </c>
      <c r="I206">
        <f>F206-G206</f>
        <v>-600</v>
      </c>
      <c r="J206" s="26" t="s">
        <v>26</v>
      </c>
      <c r="K206" s="1" t="s">
        <v>7</v>
      </c>
      <c r="L206" s="1">
        <f>IF(J206=K206,0,1)</f>
        <v>1</v>
      </c>
      <c r="M206" s="1">
        <v>-23.95</v>
      </c>
    </row>
    <row r="207" spans="1:13" ht="12.75">
      <c r="A207">
        <v>329</v>
      </c>
      <c r="B207">
        <v>2026</v>
      </c>
      <c r="C207" s="25">
        <v>45800</v>
      </c>
      <c r="D207" t="s">
        <v>47</v>
      </c>
      <c r="E207" t="s">
        <v>48</v>
      </c>
      <c r="G207">
        <v>1000</v>
      </c>
      <c r="H207">
        <v>20453.810000000001</v>
      </c>
      <c r="I207">
        <f>F207-G207</f>
        <v>-1000</v>
      </c>
      <c r="J207" s="26" t="s">
        <v>26</v>
      </c>
      <c r="K207" s="1" t="s">
        <v>7</v>
      </c>
      <c r="L207" s="1">
        <f>IF(J207=K207,0,1)</f>
        <v>1</v>
      </c>
      <c r="M207" s="1">
        <v>-400</v>
      </c>
    </row>
    <row r="208" spans="1:13" ht="12.75">
      <c r="A208">
        <v>372</v>
      </c>
      <c r="B208">
        <v>2026</v>
      </c>
      <c r="C208" s="25">
        <v>45824</v>
      </c>
      <c r="D208" t="s">
        <v>53</v>
      </c>
      <c r="E208" t="s">
        <v>48</v>
      </c>
      <c r="G208">
        <v>140</v>
      </c>
      <c r="H208">
        <v>25097.4</v>
      </c>
      <c r="I208">
        <f>F208-G208</f>
        <v>-140</v>
      </c>
      <c r="J208" s="26" t="s">
        <v>26</v>
      </c>
      <c r="K208" s="1" t="s">
        <v>7</v>
      </c>
      <c r="L208" s="1">
        <f>IF(J208=K208,0,1)</f>
        <v>1</v>
      </c>
      <c r="M208" s="1">
        <v>750</v>
      </c>
    </row>
    <row r="209" spans="1:13" ht="12.75">
      <c r="A209">
        <v>382</v>
      </c>
      <c r="B209">
        <v>2026</v>
      </c>
      <c r="C209" s="25">
        <v>45827</v>
      </c>
      <c r="D209" t="s">
        <v>53</v>
      </c>
      <c r="E209" t="s">
        <v>48</v>
      </c>
      <c r="G209">
        <v>400</v>
      </c>
      <c r="H209">
        <v>24559.119999999999</v>
      </c>
      <c r="I209">
        <f>F209-G209</f>
        <v>-400</v>
      </c>
      <c r="J209" s="26" t="s">
        <v>26</v>
      </c>
      <c r="K209" s="1" t="s">
        <v>7</v>
      </c>
      <c r="L209" s="1">
        <f>IF(J209=K209,0,1)</f>
        <v>1</v>
      </c>
      <c r="M209" s="1">
        <v>350</v>
      </c>
    </row>
    <row r="210" spans="1:13" ht="12.75">
      <c r="A210">
        <v>386</v>
      </c>
      <c r="B210">
        <v>2026</v>
      </c>
      <c r="C210" s="25">
        <v>45828</v>
      </c>
      <c r="D210" t="s">
        <v>53</v>
      </c>
      <c r="E210" t="s">
        <v>48</v>
      </c>
      <c r="G210">
        <v>150</v>
      </c>
      <c r="H210">
        <v>24747.37</v>
      </c>
      <c r="I210">
        <f>F210-G210</f>
        <v>-150</v>
      </c>
      <c r="J210" s="26" t="s">
        <v>26</v>
      </c>
      <c r="K210" s="1" t="s">
        <v>7</v>
      </c>
      <c r="L210" s="1">
        <f>IF(J210=K210,0,1)</f>
        <v>1</v>
      </c>
      <c r="M210" s="1">
        <v>-833.33</v>
      </c>
    </row>
    <row r="211" spans="1:13" ht="12.75">
      <c r="A211">
        <v>405</v>
      </c>
      <c r="B211">
        <v>2026</v>
      </c>
      <c r="C211" s="25">
        <v>45835</v>
      </c>
      <c r="D211" t="s">
        <v>53</v>
      </c>
      <c r="E211" t="s">
        <v>48</v>
      </c>
      <c r="G211">
        <v>1100</v>
      </c>
      <c r="H211">
        <v>23570.47</v>
      </c>
      <c r="I211">
        <f>F211-G211</f>
        <v>-1100</v>
      </c>
      <c r="J211" s="26" t="s">
        <v>26</v>
      </c>
      <c r="K211" s="1" t="s">
        <v>7</v>
      </c>
      <c r="L211" s="1">
        <f>IF(J211=K211,0,1)</f>
        <v>1</v>
      </c>
      <c r="M211" s="1">
        <v>-1047.5</v>
      </c>
    </row>
    <row r="212" spans="1:13" ht="12.75">
      <c r="A212">
        <v>406</v>
      </c>
      <c r="B212">
        <v>2026</v>
      </c>
      <c r="C212" s="25">
        <v>45835</v>
      </c>
      <c r="D212" t="s">
        <v>53</v>
      </c>
      <c r="E212" t="s">
        <v>48</v>
      </c>
      <c r="G212">
        <v>500</v>
      </c>
      <c r="H212">
        <v>24670.47</v>
      </c>
      <c r="I212">
        <f>F212-G212</f>
        <v>-500</v>
      </c>
      <c r="J212" s="26" t="s">
        <v>26</v>
      </c>
      <c r="K212" s="1" t="s">
        <v>7</v>
      </c>
      <c r="L212" s="1">
        <f>IF(J212=K212,0,1)</f>
        <v>1</v>
      </c>
      <c r="M212" s="1">
        <v>-1000</v>
      </c>
    </row>
    <row r="213" spans="1:13" ht="12.75" hidden="1">
      <c r="A213">
        <v>332</v>
      </c>
      <c r="B213">
        <v>2026</v>
      </c>
      <c r="C213" s="25">
        <v>45800</v>
      </c>
      <c r="D213" t="s">
        <v>185</v>
      </c>
      <c r="E213" t="s">
        <v>108</v>
      </c>
      <c r="F213">
        <v>350</v>
      </c>
      <c r="H213">
        <v>23334.639999999999</v>
      </c>
      <c r="I213">
        <f>F213-G213</f>
        <v>350</v>
      </c>
      <c r="J213" t="s">
        <v>14</v>
      </c>
      <c r="K213" s="1" t="s">
        <v>14</v>
      </c>
      <c r="L213" s="1">
        <f>IF(J213=K213,0,1)</f>
        <v>0</v>
      </c>
      <c r="M213" s="1">
        <v>-600</v>
      </c>
    </row>
    <row r="214" spans="1:13" ht="12.75" hidden="1">
      <c r="A214">
        <v>333</v>
      </c>
      <c r="B214">
        <v>2026</v>
      </c>
      <c r="C214" s="25">
        <v>45800</v>
      </c>
      <c r="D214" t="s">
        <v>174</v>
      </c>
      <c r="E214" t="s">
        <v>44</v>
      </c>
      <c r="F214">
        <v>750</v>
      </c>
      <c r="H214">
        <v>22984.639999999999</v>
      </c>
      <c r="I214">
        <f>F214-G214</f>
        <v>750</v>
      </c>
      <c r="J214" t="s">
        <v>14</v>
      </c>
      <c r="K214" s="1" t="s">
        <v>14</v>
      </c>
      <c r="L214" s="1">
        <f>IF(J214=K214,0,1)</f>
        <v>0</v>
      </c>
      <c r="M214" s="1">
        <v>350</v>
      </c>
    </row>
    <row r="215" spans="1:13" ht="12.75">
      <c r="A215">
        <v>407</v>
      </c>
      <c r="B215">
        <v>2026</v>
      </c>
      <c r="C215" s="25">
        <v>45835</v>
      </c>
      <c r="D215" t="s">
        <v>47</v>
      </c>
      <c r="E215" t="s">
        <v>48</v>
      </c>
      <c r="G215">
        <v>1000</v>
      </c>
      <c r="H215">
        <v>25170.47</v>
      </c>
      <c r="I215">
        <f>F215-G215</f>
        <v>-1000</v>
      </c>
      <c r="J215" s="26" t="s">
        <v>26</v>
      </c>
      <c r="K215" s="1" t="s">
        <v>7</v>
      </c>
      <c r="L215" s="1">
        <f>IF(J215=K215,0,1)</f>
        <v>1</v>
      </c>
      <c r="M215" s="1">
        <v>-4.8</v>
      </c>
    </row>
    <row r="216" spans="1:13" ht="12.75" hidden="1">
      <c r="A216">
        <v>335</v>
      </c>
      <c r="B216">
        <v>2026</v>
      </c>
      <c r="C216" s="25">
        <v>45804</v>
      </c>
      <c r="D216" t="s">
        <v>179</v>
      </c>
      <c r="E216" t="s">
        <v>177</v>
      </c>
      <c r="G216">
        <v>6</v>
      </c>
      <c r="H216">
        <v>20187.32</v>
      </c>
      <c r="I216">
        <f>F216-G216</f>
        <v>-6</v>
      </c>
      <c r="J216" t="s">
        <v>17</v>
      </c>
      <c r="K216" s="1" t="s">
        <v>17</v>
      </c>
      <c r="L216" s="1">
        <f>IF(J216=K216,0,1)</f>
        <v>0</v>
      </c>
      <c r="M216" s="1">
        <v>-4</v>
      </c>
    </row>
    <row r="217" spans="1:13" ht="12.75" hidden="1">
      <c r="A217">
        <v>336</v>
      </c>
      <c r="B217">
        <v>2026</v>
      </c>
      <c r="C217" s="25">
        <v>45804</v>
      </c>
      <c r="D217" t="s">
        <v>186</v>
      </c>
      <c r="E217" t="s">
        <v>177</v>
      </c>
      <c r="G217">
        <v>3.49</v>
      </c>
      <c r="H217">
        <v>20193.32</v>
      </c>
      <c r="I217">
        <f>F217-G217</f>
        <v>-3.49</v>
      </c>
      <c r="J217" t="s">
        <v>15</v>
      </c>
      <c r="K217" s="1" t="s">
        <v>15</v>
      </c>
      <c r="L217" s="1">
        <f>IF(J217=K217,0,1)</f>
        <v>0</v>
      </c>
      <c r="M217" s="1">
        <v>-6</v>
      </c>
    </row>
    <row r="218" spans="1:13" ht="12.75">
      <c r="A218">
        <v>414</v>
      </c>
      <c r="B218">
        <v>2026</v>
      </c>
      <c r="C218" s="25">
        <v>45838</v>
      </c>
      <c r="D218" t="s">
        <v>47</v>
      </c>
      <c r="E218" t="s">
        <v>48</v>
      </c>
      <c r="G218">
        <v>1180</v>
      </c>
      <c r="H218">
        <v>21633.52</v>
      </c>
      <c r="I218">
        <f>F218-G218</f>
        <v>-1180</v>
      </c>
      <c r="J218" s="26" t="s">
        <v>26</v>
      </c>
      <c r="K218" s="1" t="s">
        <v>7</v>
      </c>
      <c r="L218" s="1">
        <f>IF(J218=K218,0,1)</f>
        <v>1</v>
      </c>
      <c r="M218" s="1">
        <v>-37.590000000000003</v>
      </c>
    </row>
    <row r="219" spans="1:13" ht="12.75">
      <c r="A219">
        <v>441</v>
      </c>
      <c r="B219">
        <v>2026</v>
      </c>
      <c r="C219" s="25">
        <v>45849</v>
      </c>
      <c r="D219" t="s">
        <v>53</v>
      </c>
      <c r="E219" t="s">
        <v>48</v>
      </c>
      <c r="G219">
        <v>194</v>
      </c>
      <c r="H219">
        <v>23042.51</v>
      </c>
      <c r="I219">
        <f>F219-G219</f>
        <v>-194</v>
      </c>
      <c r="J219" s="26" t="s">
        <v>26</v>
      </c>
      <c r="K219" s="1" t="s">
        <v>7</v>
      </c>
      <c r="L219" s="1">
        <f>IF(J219=K219,0,1)</f>
        <v>1</v>
      </c>
      <c r="M219" s="1">
        <v>-5.15</v>
      </c>
    </row>
    <row r="220" spans="1:13" ht="12.75">
      <c r="A220">
        <v>445</v>
      </c>
      <c r="B220">
        <v>2026</v>
      </c>
      <c r="C220" s="25">
        <v>45853</v>
      </c>
      <c r="D220" t="s">
        <v>53</v>
      </c>
      <c r="E220" t="s">
        <v>48</v>
      </c>
      <c r="G220">
        <v>500</v>
      </c>
      <c r="H220">
        <v>22441.09</v>
      </c>
      <c r="I220">
        <f>F220-G220</f>
        <v>-500</v>
      </c>
      <c r="J220" s="26" t="s">
        <v>26</v>
      </c>
      <c r="K220" s="1" t="s">
        <v>7</v>
      </c>
      <c r="L220" s="1">
        <f>IF(J220=K220,0,1)</f>
        <v>1</v>
      </c>
      <c r="M220" s="1">
        <v>-2.9</v>
      </c>
    </row>
    <row r="221" spans="1:13" ht="12.75" hidden="1">
      <c r="A221">
        <v>340</v>
      </c>
      <c r="B221">
        <v>2026</v>
      </c>
      <c r="C221" s="25">
        <v>45806</v>
      </c>
      <c r="D221" t="s">
        <v>189</v>
      </c>
      <c r="E221" t="s">
        <v>177</v>
      </c>
      <c r="G221">
        <v>8.19</v>
      </c>
      <c r="H221">
        <v>20136.740000000002</v>
      </c>
      <c r="I221">
        <f>F221-G221</f>
        <v>-8.19</v>
      </c>
      <c r="J221" t="s">
        <v>15</v>
      </c>
      <c r="K221" s="1" t="s">
        <v>15</v>
      </c>
      <c r="L221" s="1">
        <f>IF(J221=K221,0,1)</f>
        <v>0</v>
      </c>
      <c r="M221" s="1">
        <v>-23.95</v>
      </c>
    </row>
    <row r="222" spans="1:13" ht="12.75">
      <c r="A222">
        <v>449</v>
      </c>
      <c r="B222">
        <v>2026</v>
      </c>
      <c r="C222" s="25">
        <v>45856</v>
      </c>
      <c r="D222" t="s">
        <v>53</v>
      </c>
      <c r="E222" t="s">
        <v>48</v>
      </c>
      <c r="G222">
        <v>500</v>
      </c>
      <c r="H222">
        <v>22291.09</v>
      </c>
      <c r="I222">
        <f>F222-G222</f>
        <v>-500</v>
      </c>
      <c r="J222" s="26" t="s">
        <v>26</v>
      </c>
      <c r="K222" s="1" t="s">
        <v>7</v>
      </c>
      <c r="L222" s="1">
        <f>IF(J222=K222,0,1)</f>
        <v>1</v>
      </c>
      <c r="M222" s="1">
        <v>-40.340000000000003</v>
      </c>
    </row>
    <row r="223" spans="1:13" ht="12.75" hidden="1">
      <c r="A223">
        <v>342</v>
      </c>
      <c r="B223">
        <v>2026</v>
      </c>
      <c r="C223" s="25">
        <v>45807</v>
      </c>
      <c r="D223" t="s">
        <v>185</v>
      </c>
      <c r="E223" t="s">
        <v>108</v>
      </c>
      <c r="F223">
        <v>350</v>
      </c>
      <c r="H223">
        <v>21568.7</v>
      </c>
      <c r="I223">
        <f>F223-G223</f>
        <v>350</v>
      </c>
      <c r="J223" t="s">
        <v>14</v>
      </c>
      <c r="K223" s="1" t="s">
        <v>14</v>
      </c>
      <c r="L223" s="1">
        <f>IF(J223=K223,0,1)</f>
        <v>0</v>
      </c>
      <c r="M223" s="1">
        <v>1150</v>
      </c>
    </row>
    <row r="224" spans="1:13" ht="12.75">
      <c r="A224">
        <v>451</v>
      </c>
      <c r="B224">
        <v>2026</v>
      </c>
      <c r="C224" s="25">
        <v>45861</v>
      </c>
      <c r="D224" t="s">
        <v>47</v>
      </c>
      <c r="E224" t="s">
        <v>48</v>
      </c>
      <c r="G224">
        <v>1000</v>
      </c>
      <c r="H224">
        <v>18968.78</v>
      </c>
      <c r="I224">
        <f>F224-G224</f>
        <v>-1000</v>
      </c>
      <c r="J224" s="26" t="s">
        <v>26</v>
      </c>
      <c r="K224" s="1" t="s">
        <v>7</v>
      </c>
      <c r="L224" s="1">
        <f>IF(J224=K224,0,1)</f>
        <v>1</v>
      </c>
      <c r="M224" s="1">
        <v>-5.0999999999999996</v>
      </c>
    </row>
    <row r="225" spans="1:13" ht="12.75" hidden="1">
      <c r="A225">
        <v>344</v>
      </c>
      <c r="B225">
        <v>2026</v>
      </c>
      <c r="C225" s="25">
        <v>45807</v>
      </c>
      <c r="D225" t="s">
        <v>174</v>
      </c>
      <c r="E225" t="s">
        <v>44</v>
      </c>
      <c r="F225">
        <v>1150</v>
      </c>
      <c r="H225">
        <v>21222.45</v>
      </c>
      <c r="I225">
        <f>F225-G225</f>
        <v>1150</v>
      </c>
      <c r="J225" t="s">
        <v>14</v>
      </c>
      <c r="K225" s="1" t="s">
        <v>14</v>
      </c>
      <c r="L225" s="1">
        <f>IF(J225=K225,0,1)</f>
        <v>0</v>
      </c>
      <c r="M225" s="1">
        <v>350</v>
      </c>
    </row>
    <row r="226" spans="1:13" ht="12.75">
      <c r="A226">
        <v>481</v>
      </c>
      <c r="B226">
        <v>2026</v>
      </c>
      <c r="C226" s="25">
        <v>45877</v>
      </c>
      <c r="D226" t="s">
        <v>47</v>
      </c>
      <c r="E226" t="s">
        <v>48</v>
      </c>
      <c r="G226">
        <v>400</v>
      </c>
      <c r="H226">
        <v>20661.89</v>
      </c>
      <c r="I226">
        <f>F226-G226</f>
        <v>-400</v>
      </c>
      <c r="J226" s="26" t="s">
        <v>26</v>
      </c>
      <c r="K226" s="1" t="s">
        <v>7</v>
      </c>
      <c r="L226" s="1">
        <f>IF(J226=K226,0,1)</f>
        <v>1</v>
      </c>
      <c r="M226" s="1">
        <v>-5.0999999999999996</v>
      </c>
    </row>
    <row r="227" spans="1:13" ht="12.75">
      <c r="A227">
        <v>493</v>
      </c>
      <c r="B227">
        <v>2026</v>
      </c>
      <c r="C227" s="25">
        <v>45883</v>
      </c>
      <c r="D227" t="s">
        <v>53</v>
      </c>
      <c r="E227" t="s">
        <v>48</v>
      </c>
      <c r="G227">
        <v>197</v>
      </c>
      <c r="H227">
        <v>23000.54</v>
      </c>
      <c r="I227">
        <f>F227-G227</f>
        <v>-197</v>
      </c>
      <c r="J227" s="26" t="s">
        <v>26</v>
      </c>
      <c r="K227" s="1" t="s">
        <v>7</v>
      </c>
      <c r="L227" s="1">
        <f>IF(J227=K227,0,1)</f>
        <v>1</v>
      </c>
      <c r="M227" s="1">
        <v>-5.0999999999999996</v>
      </c>
    </row>
    <row r="228" spans="1:13" ht="12.75" hidden="1">
      <c r="A228">
        <v>347</v>
      </c>
      <c r="B228">
        <v>2026</v>
      </c>
      <c r="C228" s="25">
        <v>45811</v>
      </c>
      <c r="D228" t="s">
        <v>191</v>
      </c>
      <c r="E228" t="s">
        <v>177</v>
      </c>
      <c r="G228">
        <v>11.95</v>
      </c>
      <c r="H228">
        <v>21534.44</v>
      </c>
      <c r="I228">
        <f>F228-G228</f>
        <v>-11.95</v>
      </c>
      <c r="J228" t="s">
        <v>17</v>
      </c>
      <c r="K228" s="1" t="s">
        <v>17</v>
      </c>
      <c r="L228" s="1">
        <f>IF(J228=K228,0,1)</f>
        <v>0</v>
      </c>
      <c r="M228" s="1">
        <v>-5.0999999999999996</v>
      </c>
    </row>
    <row r="229" spans="1:13" ht="12.75" hidden="1">
      <c r="A229">
        <v>348</v>
      </c>
      <c r="B229">
        <v>2026</v>
      </c>
      <c r="C229" s="25">
        <v>45811</v>
      </c>
      <c r="D229" t="s">
        <v>179</v>
      </c>
      <c r="E229" t="s">
        <v>177</v>
      </c>
      <c r="G229">
        <v>6</v>
      </c>
      <c r="H229">
        <v>21546.39</v>
      </c>
      <c r="I229">
        <f>F229-G229</f>
        <v>-6</v>
      </c>
      <c r="J229" t="s">
        <v>17</v>
      </c>
      <c r="K229" s="1" t="s">
        <v>17</v>
      </c>
      <c r="L229" s="1">
        <f>IF(J229=K229,0,1)</f>
        <v>0</v>
      </c>
      <c r="M229" s="1">
        <v>-5.0999999999999996</v>
      </c>
    </row>
    <row r="230" spans="1:13" ht="12.75">
      <c r="A230">
        <v>497</v>
      </c>
      <c r="B230">
        <v>2026</v>
      </c>
      <c r="C230" s="25">
        <v>45884</v>
      </c>
      <c r="D230" t="s">
        <v>53</v>
      </c>
      <c r="E230" t="s">
        <v>48</v>
      </c>
      <c r="G230">
        <v>350</v>
      </c>
      <c r="H230">
        <v>23000.54</v>
      </c>
      <c r="I230">
        <f>F230-G230</f>
        <v>-350</v>
      </c>
      <c r="J230" s="26" t="s">
        <v>26</v>
      </c>
      <c r="K230" s="1" t="s">
        <v>7</v>
      </c>
      <c r="L230" s="1">
        <f>IF(J230=K230,0,1)</f>
        <v>1</v>
      </c>
      <c r="M230" s="1">
        <v>-6</v>
      </c>
    </row>
    <row r="231" spans="1:13" ht="12.75" hidden="1">
      <c r="A231">
        <v>350</v>
      </c>
      <c r="B231">
        <v>2026</v>
      </c>
      <c r="C231" s="25">
        <v>45811</v>
      </c>
      <c r="D231" t="s">
        <v>180</v>
      </c>
      <c r="E231" t="s">
        <v>177</v>
      </c>
      <c r="G231">
        <v>3.92</v>
      </c>
      <c r="H231">
        <v>21557.54</v>
      </c>
      <c r="I231">
        <f>F231-G231</f>
        <v>-3.92</v>
      </c>
      <c r="J231" t="s">
        <v>15</v>
      </c>
      <c r="K231" s="1" t="s">
        <v>15</v>
      </c>
      <c r="L231" s="1">
        <f>IF(J231=K231,0,1)</f>
        <v>0</v>
      </c>
      <c r="M231" s="1">
        <v>-11.95</v>
      </c>
    </row>
    <row r="232" spans="1:13" ht="12.75" hidden="1">
      <c r="A232">
        <v>351</v>
      </c>
      <c r="B232">
        <v>2026</v>
      </c>
      <c r="C232" s="25">
        <v>45811</v>
      </c>
      <c r="D232" t="s">
        <v>186</v>
      </c>
      <c r="E232" t="s">
        <v>177</v>
      </c>
      <c r="G232">
        <v>3.49</v>
      </c>
      <c r="H232">
        <v>21561.46</v>
      </c>
      <c r="I232">
        <f>F232-G232</f>
        <v>-3.49</v>
      </c>
      <c r="J232" t="s">
        <v>15</v>
      </c>
      <c r="K232" s="1" t="s">
        <v>15</v>
      </c>
      <c r="L232" s="1">
        <f>IF(J232=K232,0,1)</f>
        <v>0</v>
      </c>
      <c r="M232" s="1">
        <v>-50.49</v>
      </c>
    </row>
    <row r="233" spans="1:13" ht="12.75" hidden="1">
      <c r="A233">
        <v>352</v>
      </c>
      <c r="B233">
        <v>2026</v>
      </c>
      <c r="C233" s="25">
        <v>45812</v>
      </c>
      <c r="D233" t="s">
        <v>192</v>
      </c>
      <c r="E233" t="s">
        <v>177</v>
      </c>
      <c r="G233">
        <v>5.5</v>
      </c>
      <c r="H233">
        <v>21478.45</v>
      </c>
      <c r="I233">
        <f>F233-G233</f>
        <v>-5.5</v>
      </c>
      <c r="J233" t="s">
        <v>15</v>
      </c>
      <c r="K233" s="1" t="s">
        <v>15</v>
      </c>
      <c r="L233" s="1">
        <f>IF(J233=K233,0,1)</f>
        <v>0</v>
      </c>
      <c r="M233" s="1">
        <v>-5.0999999999999996</v>
      </c>
    </row>
    <row r="234" spans="1:13" ht="12.75">
      <c r="A234">
        <v>505</v>
      </c>
      <c r="B234">
        <v>2026</v>
      </c>
      <c r="C234" s="25">
        <v>45890</v>
      </c>
      <c r="D234" t="s">
        <v>53</v>
      </c>
      <c r="E234" t="s">
        <v>48</v>
      </c>
      <c r="G234">
        <v>140</v>
      </c>
      <c r="H234">
        <v>23619.360000000001</v>
      </c>
      <c r="I234">
        <f>F234-G234</f>
        <v>-140</v>
      </c>
      <c r="J234" s="26" t="s">
        <v>26</v>
      </c>
      <c r="K234" s="1" t="s">
        <v>7</v>
      </c>
      <c r="L234" s="1">
        <f>IF(J234=K234,0,1)</f>
        <v>1</v>
      </c>
      <c r="M234" s="1">
        <v>-2.9</v>
      </c>
    </row>
    <row r="235" spans="1:13" ht="12.75" hidden="1">
      <c r="A235">
        <v>354</v>
      </c>
      <c r="B235">
        <v>2026</v>
      </c>
      <c r="C235" s="25">
        <v>45813</v>
      </c>
      <c r="D235" t="s">
        <v>193</v>
      </c>
      <c r="E235" t="s">
        <v>177</v>
      </c>
      <c r="G235">
        <v>4</v>
      </c>
      <c r="H235">
        <v>21474.45</v>
      </c>
      <c r="I235">
        <f>F235-G235</f>
        <v>-4</v>
      </c>
      <c r="J235" t="s">
        <v>15</v>
      </c>
      <c r="K235" s="1" t="s">
        <v>15</v>
      </c>
      <c r="L235" s="1">
        <f>IF(J235=K235,0,1)</f>
        <v>0</v>
      </c>
      <c r="M235" s="1">
        <v>-23.95</v>
      </c>
    </row>
    <row r="236" spans="1:13" ht="12.75">
      <c r="A236">
        <v>506</v>
      </c>
      <c r="B236">
        <v>2026</v>
      </c>
      <c r="C236" s="25">
        <v>45891</v>
      </c>
      <c r="D236" t="s">
        <v>53</v>
      </c>
      <c r="E236" t="s">
        <v>48</v>
      </c>
      <c r="G236">
        <v>1200</v>
      </c>
      <c r="H236">
        <v>21874.36</v>
      </c>
      <c r="I236">
        <f>F236-G236</f>
        <v>-1200</v>
      </c>
      <c r="J236" s="26" t="s">
        <v>26</v>
      </c>
      <c r="K236" s="1" t="s">
        <v>7</v>
      </c>
      <c r="L236" s="1">
        <f>IF(J236=K236,0,1)</f>
        <v>1</v>
      </c>
      <c r="M236" s="1">
        <v>850</v>
      </c>
    </row>
    <row r="237" spans="1:13" ht="12.75">
      <c r="A237">
        <v>523</v>
      </c>
      <c r="B237">
        <v>2026</v>
      </c>
      <c r="C237" s="25">
        <v>45901</v>
      </c>
      <c r="D237" t="s">
        <v>53</v>
      </c>
      <c r="E237" t="s">
        <v>48</v>
      </c>
      <c r="G237">
        <v>1000</v>
      </c>
      <c r="H237">
        <v>8265.1</v>
      </c>
      <c r="I237">
        <f>F237-G237</f>
        <v>-1000</v>
      </c>
      <c r="J237" s="26" t="s">
        <v>26</v>
      </c>
      <c r="K237" s="1" t="s">
        <v>7</v>
      </c>
      <c r="L237" s="1">
        <f>IF(J237=K237,0,1)</f>
        <v>1</v>
      </c>
      <c r="M237" s="1">
        <v>-8.8000000000000007</v>
      </c>
    </row>
    <row r="238" spans="1:13" ht="12.75" hidden="1">
      <c r="A238">
        <v>357</v>
      </c>
      <c r="B238">
        <v>2026</v>
      </c>
      <c r="C238" s="25">
        <v>45814</v>
      </c>
      <c r="D238" t="s">
        <v>174</v>
      </c>
      <c r="E238" t="s">
        <v>44</v>
      </c>
      <c r="F238">
        <v>850</v>
      </c>
      <c r="H238">
        <v>22300.5</v>
      </c>
      <c r="I238">
        <f>F238-G238</f>
        <v>850</v>
      </c>
      <c r="J238" t="s">
        <v>14</v>
      </c>
      <c r="K238" s="1" t="s">
        <v>14</v>
      </c>
      <c r="L238" s="1">
        <f>IF(J238=K238,0,1)</f>
        <v>0</v>
      </c>
      <c r="M238" s="1">
        <v>-4.9000000000000004</v>
      </c>
    </row>
    <row r="239" spans="1:13" ht="12.75">
      <c r="A239">
        <v>540</v>
      </c>
      <c r="B239">
        <v>2026</v>
      </c>
      <c r="C239" s="25">
        <v>45915</v>
      </c>
      <c r="D239" t="s">
        <v>53</v>
      </c>
      <c r="E239" t="s">
        <v>48</v>
      </c>
      <c r="G239">
        <v>1100</v>
      </c>
      <c r="H239">
        <v>9288.7000000000007</v>
      </c>
      <c r="I239">
        <f>F239-G239</f>
        <v>-1100</v>
      </c>
      <c r="J239" s="26" t="s">
        <v>26</v>
      </c>
      <c r="K239" s="1" t="s">
        <v>7</v>
      </c>
      <c r="L239" s="1">
        <f>IF(J239=K239,0,1)</f>
        <v>1</v>
      </c>
      <c r="M239" s="1">
        <v>-5.8</v>
      </c>
    </row>
    <row r="240" spans="1:13" ht="12.75">
      <c r="A240">
        <v>548</v>
      </c>
      <c r="B240">
        <v>2026</v>
      </c>
      <c r="C240" s="25">
        <v>45917</v>
      </c>
      <c r="D240" t="s">
        <v>47</v>
      </c>
      <c r="E240" t="s">
        <v>48</v>
      </c>
      <c r="G240">
        <v>500</v>
      </c>
      <c r="H240">
        <v>9523.2900000000009</v>
      </c>
      <c r="I240">
        <f>F240-G240</f>
        <v>-500</v>
      </c>
      <c r="J240" s="26" t="s">
        <v>26</v>
      </c>
      <c r="K240" s="1" t="s">
        <v>7</v>
      </c>
      <c r="L240" s="1">
        <f>IF(J240=K240,0,1)</f>
        <v>1</v>
      </c>
      <c r="M240" s="1">
        <v>-0.9</v>
      </c>
    </row>
    <row r="241" spans="1:13" ht="12.75">
      <c r="A241">
        <v>564</v>
      </c>
      <c r="B241">
        <v>2026</v>
      </c>
      <c r="C241" s="25">
        <v>45926</v>
      </c>
      <c r="D241" t="s">
        <v>53</v>
      </c>
      <c r="E241" t="s">
        <v>48</v>
      </c>
      <c r="G241">
        <v>1500</v>
      </c>
      <c r="H241">
        <v>8607.43</v>
      </c>
      <c r="I241">
        <f>F241-G241</f>
        <v>-1500</v>
      </c>
      <c r="J241" s="26" t="s">
        <v>26</v>
      </c>
      <c r="K241" s="1" t="s">
        <v>7</v>
      </c>
      <c r="L241" s="1">
        <f>IF(J241=K241,0,1)</f>
        <v>1</v>
      </c>
      <c r="M241" s="1">
        <v>-4.9000000000000004</v>
      </c>
    </row>
    <row r="242" spans="1:13" ht="12.75">
      <c r="A242">
        <v>581</v>
      </c>
      <c r="B242">
        <v>2026</v>
      </c>
      <c r="C242" s="25">
        <v>45944</v>
      </c>
      <c r="D242" t="s">
        <v>53</v>
      </c>
      <c r="E242" t="s">
        <v>48</v>
      </c>
      <c r="G242">
        <v>1000</v>
      </c>
      <c r="H242">
        <v>10315.99</v>
      </c>
      <c r="I242">
        <f>F242-G242</f>
        <v>-1000</v>
      </c>
      <c r="J242" s="26" t="s">
        <v>26</v>
      </c>
      <c r="K242" s="1" t="s">
        <v>7</v>
      </c>
      <c r="L242" s="1">
        <f>IF(J242=K242,0,1)</f>
        <v>1</v>
      </c>
      <c r="M242" s="1">
        <v>-5.0999999999999996</v>
      </c>
    </row>
    <row r="243" spans="1:13" ht="12.75">
      <c r="A243">
        <v>583</v>
      </c>
      <c r="B243">
        <v>2026</v>
      </c>
      <c r="C243" s="25">
        <v>45954</v>
      </c>
      <c r="D243" t="s">
        <v>53</v>
      </c>
      <c r="E243" t="s">
        <v>48</v>
      </c>
      <c r="G243">
        <v>1500</v>
      </c>
      <c r="H243">
        <v>6682.93</v>
      </c>
      <c r="I243">
        <f>F243-G243</f>
        <v>-1500</v>
      </c>
      <c r="J243" s="26" t="s">
        <v>26</v>
      </c>
      <c r="K243" s="1" t="s">
        <v>7</v>
      </c>
      <c r="L243" s="1">
        <f>IF(J243=K243,0,1)</f>
        <v>1</v>
      </c>
      <c r="M243" s="1">
        <v>-40.29</v>
      </c>
    </row>
    <row r="244" spans="1:13" ht="12.75" hidden="1">
      <c r="A244">
        <v>363</v>
      </c>
      <c r="B244">
        <v>2026</v>
      </c>
      <c r="C244" s="25">
        <v>45818</v>
      </c>
      <c r="D244" t="s">
        <v>195</v>
      </c>
      <c r="E244" t="s">
        <v>177</v>
      </c>
      <c r="G244">
        <v>9.48</v>
      </c>
      <c r="H244">
        <v>22272.58</v>
      </c>
      <c r="I244">
        <f>F244-G244</f>
        <v>-9.48</v>
      </c>
      <c r="J244" t="s">
        <v>15</v>
      </c>
      <c r="K244" s="1" t="s">
        <v>15</v>
      </c>
      <c r="L244" s="1">
        <f>IF(J244=K244,0,1)</f>
        <v>0</v>
      </c>
      <c r="M244" s="1">
        <v>-49.94</v>
      </c>
    </row>
    <row r="245" spans="1:13" ht="12.75">
      <c r="A245">
        <v>605</v>
      </c>
      <c r="B245">
        <v>2026</v>
      </c>
      <c r="C245" s="25">
        <v>45975</v>
      </c>
      <c r="D245" t="s">
        <v>53</v>
      </c>
      <c r="E245" t="s">
        <v>48</v>
      </c>
      <c r="G245">
        <v>272</v>
      </c>
      <c r="H245">
        <v>8504.0300000000007</v>
      </c>
      <c r="I245">
        <f>F245-G245</f>
        <v>-272</v>
      </c>
      <c r="J245" s="26" t="s">
        <v>26</v>
      </c>
      <c r="K245" s="1" t="s">
        <v>7</v>
      </c>
      <c r="L245" s="1">
        <f>IF(J245=K245,0,1)</f>
        <v>1</v>
      </c>
      <c r="M245" s="1">
        <v>-88</v>
      </c>
    </row>
    <row r="246" spans="1:13" ht="12.75" hidden="1">
      <c r="A246">
        <v>365</v>
      </c>
      <c r="B246">
        <v>2026</v>
      </c>
      <c r="C246" s="25">
        <v>45819</v>
      </c>
      <c r="D246" t="s">
        <v>179</v>
      </c>
      <c r="E246" t="s">
        <v>177</v>
      </c>
      <c r="G246">
        <v>6</v>
      </c>
      <c r="H246">
        <v>24524.35</v>
      </c>
      <c r="I246">
        <f>F246-G246</f>
        <v>-6</v>
      </c>
      <c r="J246" t="s">
        <v>17</v>
      </c>
      <c r="K246" s="1" t="s">
        <v>17</v>
      </c>
      <c r="L246" s="1">
        <f>IF(J246=K246,0,1)</f>
        <v>0</v>
      </c>
      <c r="M246" s="1">
        <v>2450</v>
      </c>
    </row>
    <row r="247" spans="1:13" ht="12.75" hidden="1">
      <c r="A247">
        <v>366</v>
      </c>
      <c r="B247">
        <v>2026</v>
      </c>
      <c r="C247" s="25">
        <v>45819</v>
      </c>
      <c r="D247" t="s">
        <v>192</v>
      </c>
      <c r="E247" t="s">
        <v>177</v>
      </c>
      <c r="G247">
        <v>4.2</v>
      </c>
      <c r="H247">
        <v>24530.35</v>
      </c>
      <c r="I247">
        <f>F247-G247</f>
        <v>-4.2</v>
      </c>
      <c r="J247" t="s">
        <v>15</v>
      </c>
      <c r="K247" s="1" t="s">
        <v>15</v>
      </c>
      <c r="L247" s="1">
        <f>IF(J247=K247,0,1)</f>
        <v>0</v>
      </c>
      <c r="M247" s="1">
        <v>-5.3</v>
      </c>
    </row>
    <row r="248" spans="1:13" ht="12.75" hidden="1">
      <c r="A248">
        <v>367</v>
      </c>
      <c r="B248">
        <v>2026</v>
      </c>
      <c r="C248" s="25">
        <v>45819</v>
      </c>
      <c r="D248" t="s">
        <v>174</v>
      </c>
      <c r="E248" t="s">
        <v>44</v>
      </c>
      <c r="F248">
        <v>2450</v>
      </c>
      <c r="H248">
        <v>24534.55</v>
      </c>
      <c r="I248">
        <f>F248-G248</f>
        <v>2450</v>
      </c>
      <c r="J248" t="s">
        <v>14</v>
      </c>
      <c r="K248" s="1" t="s">
        <v>14</v>
      </c>
      <c r="L248" s="1">
        <f>IF(J248=K248,0,1)</f>
        <v>0</v>
      </c>
      <c r="M248" s="1">
        <v>-6</v>
      </c>
    </row>
    <row r="249" spans="1:13" ht="12.75">
      <c r="A249">
        <v>616</v>
      </c>
      <c r="B249">
        <v>2026</v>
      </c>
      <c r="C249" s="25">
        <v>45981</v>
      </c>
      <c r="D249" t="s">
        <v>53</v>
      </c>
      <c r="E249" t="s">
        <v>48</v>
      </c>
      <c r="G249">
        <v>173</v>
      </c>
      <c r="H249">
        <v>9038.8700000000008</v>
      </c>
      <c r="I249">
        <f>F249-G249</f>
        <v>-173</v>
      </c>
      <c r="J249" s="26" t="s">
        <v>26</v>
      </c>
      <c r="K249" s="1" t="s">
        <v>7</v>
      </c>
      <c r="L249" s="1">
        <f>IF(J249=K249,0,1)</f>
        <v>1</v>
      </c>
      <c r="M249" s="1">
        <v>-2.95</v>
      </c>
    </row>
    <row r="250" spans="1:13" ht="12.75">
      <c r="A250">
        <v>619</v>
      </c>
      <c r="B250">
        <v>2026</v>
      </c>
      <c r="C250" s="25">
        <v>45985</v>
      </c>
      <c r="D250" t="s">
        <v>53</v>
      </c>
      <c r="E250" t="s">
        <v>48</v>
      </c>
      <c r="G250">
        <v>1500</v>
      </c>
      <c r="H250">
        <v>5755.78</v>
      </c>
      <c r="I250">
        <f>F250-G250</f>
        <v>-1500</v>
      </c>
      <c r="J250" s="26" t="s">
        <v>26</v>
      </c>
      <c r="K250" s="1" t="s">
        <v>7</v>
      </c>
      <c r="L250" s="1">
        <f>IF(J250=K250,0,1)</f>
        <v>1</v>
      </c>
      <c r="M250" s="1">
        <v>-23.95</v>
      </c>
    </row>
    <row r="251" spans="1:13" ht="12.75" hidden="1">
      <c r="A251">
        <v>370</v>
      </c>
      <c r="B251">
        <v>2026</v>
      </c>
      <c r="C251" s="25">
        <v>45821</v>
      </c>
      <c r="D251" t="s">
        <v>198</v>
      </c>
      <c r="E251" t="s">
        <v>177</v>
      </c>
      <c r="G251">
        <v>4</v>
      </c>
      <c r="H251">
        <v>25241.15</v>
      </c>
      <c r="I251">
        <f>F251-G251</f>
        <v>-4</v>
      </c>
      <c r="J251" t="s">
        <v>15</v>
      </c>
      <c r="K251" s="1" t="s">
        <v>15</v>
      </c>
      <c r="L251" s="1">
        <f>IF(J251=K251,0,1)</f>
        <v>0</v>
      </c>
      <c r="M251" s="1">
        <v>750</v>
      </c>
    </row>
    <row r="252" spans="1:13" ht="12.75" hidden="1">
      <c r="A252">
        <v>371</v>
      </c>
      <c r="B252">
        <v>2026</v>
      </c>
      <c r="C252" s="25">
        <v>45821</v>
      </c>
      <c r="D252" t="s">
        <v>174</v>
      </c>
      <c r="E252" t="s">
        <v>44</v>
      </c>
      <c r="F252">
        <v>750</v>
      </c>
      <c r="H252">
        <v>25245.15</v>
      </c>
      <c r="I252">
        <f>F252-G252</f>
        <v>750</v>
      </c>
      <c r="J252" t="s">
        <v>14</v>
      </c>
      <c r="K252" s="1" t="s">
        <v>14</v>
      </c>
      <c r="L252" s="1">
        <f>IF(J252=K252,0,1)</f>
        <v>0</v>
      </c>
      <c r="M252" s="1">
        <v>-2.75</v>
      </c>
    </row>
    <row r="253" spans="1:13" ht="12.75">
      <c r="A253">
        <v>640</v>
      </c>
      <c r="B253">
        <v>2026</v>
      </c>
      <c r="C253" s="25">
        <v>46000</v>
      </c>
      <c r="D253" t="s">
        <v>53</v>
      </c>
      <c r="E253" t="s">
        <v>48</v>
      </c>
      <c r="G253">
        <v>400</v>
      </c>
      <c r="H253">
        <v>10098.85</v>
      </c>
      <c r="I253">
        <f>F253-G253</f>
        <v>-400</v>
      </c>
      <c r="J253" s="26" t="s">
        <v>26</v>
      </c>
      <c r="K253" s="1" t="s">
        <v>7</v>
      </c>
      <c r="L253" s="1">
        <f>IF(J253=K253,0,1)</f>
        <v>1</v>
      </c>
      <c r="M253" s="1">
        <v>-5.2</v>
      </c>
    </row>
    <row r="254" spans="1:13" ht="12.75">
      <c r="A254">
        <v>658</v>
      </c>
      <c r="B254">
        <v>2026</v>
      </c>
      <c r="C254" s="25">
        <v>46015</v>
      </c>
      <c r="D254" t="s">
        <v>53</v>
      </c>
      <c r="E254" t="s">
        <v>48</v>
      </c>
      <c r="G254">
        <v>2500</v>
      </c>
      <c r="H254">
        <v>11866.89</v>
      </c>
      <c r="I254">
        <f>F254-G254</f>
        <v>-2500</v>
      </c>
      <c r="J254" s="26" t="s">
        <v>26</v>
      </c>
      <c r="K254" s="1" t="s">
        <v>7</v>
      </c>
      <c r="L254" s="1">
        <f>IF(J254=K254,0,1)</f>
        <v>1</v>
      </c>
      <c r="M254" s="1">
        <v>-140</v>
      </c>
    </row>
    <row r="255" spans="1:13" ht="12.75">
      <c r="A255">
        <v>681</v>
      </c>
      <c r="B255">
        <v>2026</v>
      </c>
      <c r="C255" s="25">
        <v>46036</v>
      </c>
      <c r="D255" t="s">
        <v>53</v>
      </c>
      <c r="E255" t="s">
        <v>48</v>
      </c>
      <c r="G255">
        <v>300</v>
      </c>
      <c r="H255">
        <v>15003.35</v>
      </c>
      <c r="I255">
        <f>F255-G255</f>
        <v>-300</v>
      </c>
      <c r="J255" s="26" t="s">
        <v>26</v>
      </c>
      <c r="K255" s="1" t="s">
        <v>7</v>
      </c>
      <c r="L255" s="1">
        <f>IF(J255=K255,0,1)</f>
        <v>1</v>
      </c>
      <c r="M255" s="1">
        <v>-5.2</v>
      </c>
    </row>
    <row r="256" spans="1:13" ht="12.75">
      <c r="A256">
        <v>690</v>
      </c>
      <c r="B256">
        <v>2026</v>
      </c>
      <c r="C256" s="25">
        <v>46044</v>
      </c>
      <c r="D256" t="s">
        <v>53</v>
      </c>
      <c r="E256" t="s">
        <v>48</v>
      </c>
      <c r="G256">
        <v>200</v>
      </c>
      <c r="H256">
        <v>15534.37</v>
      </c>
      <c r="I256">
        <f>F256-G256</f>
        <v>-200</v>
      </c>
      <c r="J256" s="26" t="s">
        <v>26</v>
      </c>
      <c r="K256" s="1" t="s">
        <v>7</v>
      </c>
      <c r="L256" s="1">
        <f>IF(J256=K256,0,1)</f>
        <v>1</v>
      </c>
      <c r="M256" s="1">
        <v>-5.4</v>
      </c>
    </row>
    <row r="257" spans="1:13" ht="12.75">
      <c r="A257">
        <v>693</v>
      </c>
      <c r="B257">
        <v>2026</v>
      </c>
      <c r="C257" s="25">
        <v>46049</v>
      </c>
      <c r="D257" t="s">
        <v>53</v>
      </c>
      <c r="E257" t="s">
        <v>48</v>
      </c>
      <c r="G257">
        <v>1500</v>
      </c>
      <c r="H257">
        <v>11889.25</v>
      </c>
      <c r="I257">
        <f>F257-G257</f>
        <v>-1500</v>
      </c>
      <c r="J257" s="26" t="s">
        <v>26</v>
      </c>
      <c r="K257" s="1" t="s">
        <v>7</v>
      </c>
      <c r="L257" s="1">
        <f>IF(J257=K257,0,1)</f>
        <v>1</v>
      </c>
      <c r="M257" s="1">
        <v>-5.35</v>
      </c>
    </row>
    <row r="258" spans="1:13" ht="12.75" hidden="1">
      <c r="A258">
        <v>377</v>
      </c>
      <c r="B258">
        <v>2026</v>
      </c>
      <c r="C258" s="25">
        <v>45825</v>
      </c>
      <c r="D258" t="s">
        <v>199</v>
      </c>
      <c r="E258" t="s">
        <v>177</v>
      </c>
      <c r="G258">
        <v>5.25</v>
      </c>
      <c r="H258">
        <v>25084.3</v>
      </c>
      <c r="I258">
        <f>F258-G258</f>
        <v>-5.25</v>
      </c>
      <c r="J258" t="s">
        <v>15</v>
      </c>
      <c r="K258" s="1" t="s">
        <v>15</v>
      </c>
      <c r="L258" s="1">
        <f>IF(J258=K258,0,1)</f>
        <v>0</v>
      </c>
      <c r="M258" s="1">
        <v>-4.95</v>
      </c>
    </row>
    <row r="259" spans="1:13" ht="12.75" hidden="1">
      <c r="A259">
        <v>378</v>
      </c>
      <c r="B259">
        <v>2026</v>
      </c>
      <c r="C259" s="25">
        <v>45825</v>
      </c>
      <c r="D259" t="s">
        <v>192</v>
      </c>
      <c r="E259" t="s">
        <v>177</v>
      </c>
      <c r="G259">
        <v>4.0999999999999996</v>
      </c>
      <c r="H259">
        <v>25089.55</v>
      </c>
      <c r="I259">
        <f>F259-G259</f>
        <v>-4.0999999999999996</v>
      </c>
      <c r="J259" t="s">
        <v>15</v>
      </c>
      <c r="K259" s="1" t="s">
        <v>15</v>
      </c>
      <c r="L259" s="1">
        <f>IF(J259=K259,0,1)</f>
        <v>0</v>
      </c>
      <c r="M259" s="1">
        <v>-23.95</v>
      </c>
    </row>
    <row r="260" spans="1:13" ht="12.75">
      <c r="A260">
        <v>713</v>
      </c>
      <c r="B260">
        <v>2026</v>
      </c>
      <c r="C260" s="25">
        <v>46065</v>
      </c>
      <c r="D260" t="s">
        <v>53</v>
      </c>
      <c r="E260" t="s">
        <v>48</v>
      </c>
      <c r="G260">
        <v>310</v>
      </c>
      <c r="H260">
        <v>11000.94</v>
      </c>
      <c r="I260">
        <f>F260-G260</f>
        <v>-310</v>
      </c>
      <c r="J260" s="26" t="s">
        <v>26</v>
      </c>
      <c r="K260" s="1" t="s">
        <v>7</v>
      </c>
      <c r="L260" s="1">
        <f>IF(J260=K260,0,1)</f>
        <v>1</v>
      </c>
      <c r="M260" s="1">
        <v>-52.48</v>
      </c>
    </row>
    <row r="261" spans="1:13" ht="12.75">
      <c r="A261">
        <v>714</v>
      </c>
      <c r="B261">
        <v>2026</v>
      </c>
      <c r="C261" s="25">
        <v>46070</v>
      </c>
      <c r="D261" t="s">
        <v>53</v>
      </c>
      <c r="E261" t="s">
        <v>48</v>
      </c>
      <c r="G261">
        <v>300</v>
      </c>
      <c r="H261">
        <v>10633.85</v>
      </c>
      <c r="I261">
        <f>F261-G261</f>
        <v>-300</v>
      </c>
      <c r="J261" s="26" t="s">
        <v>26</v>
      </c>
      <c r="K261" s="1" t="s">
        <v>7</v>
      </c>
      <c r="L261" s="1">
        <f>IF(J261=K261,0,1)</f>
        <v>1</v>
      </c>
      <c r="M261" s="1">
        <v>-8.19</v>
      </c>
    </row>
    <row r="262" spans="1:13" ht="12.75">
      <c r="A262">
        <v>729</v>
      </c>
      <c r="B262">
        <v>2026</v>
      </c>
      <c r="C262" s="25">
        <v>46079</v>
      </c>
      <c r="D262" t="s">
        <v>53</v>
      </c>
      <c r="E262" t="s">
        <v>48</v>
      </c>
      <c r="G262">
        <v>2500</v>
      </c>
      <c r="H262">
        <v>17158.240000000002</v>
      </c>
      <c r="I262">
        <f>F262-G262</f>
        <v>-2500</v>
      </c>
      <c r="J262" s="26" t="s">
        <v>26</v>
      </c>
      <c r="K262" s="1" t="s">
        <v>7</v>
      </c>
      <c r="L262" s="1">
        <f>IF(J262=K262,0,1)</f>
        <v>1</v>
      </c>
      <c r="M262" s="1">
        <v>-6</v>
      </c>
    </row>
    <row r="263" spans="1:13" ht="12.75">
      <c r="A263">
        <v>737</v>
      </c>
      <c r="B263">
        <v>2026</v>
      </c>
      <c r="C263" s="25">
        <v>46086</v>
      </c>
      <c r="D263" t="s">
        <v>53</v>
      </c>
      <c r="E263" t="s">
        <v>48</v>
      </c>
      <c r="G263">
        <v>400</v>
      </c>
      <c r="H263">
        <v>17476.72</v>
      </c>
      <c r="I263">
        <f>F263-G263</f>
        <v>-400</v>
      </c>
      <c r="J263" s="26" t="s">
        <v>26</v>
      </c>
      <c r="K263" s="1" t="s">
        <v>7</v>
      </c>
      <c r="L263" s="1">
        <f>IF(J263=K263,0,1)</f>
        <v>1</v>
      </c>
      <c r="M263" s="1">
        <v>-5.5</v>
      </c>
    </row>
    <row r="264" spans="1:13" ht="12.75">
      <c r="A264">
        <v>762</v>
      </c>
      <c r="B264">
        <v>2026</v>
      </c>
      <c r="C264" s="25">
        <v>46108</v>
      </c>
      <c r="D264" t="s">
        <v>53</v>
      </c>
      <c r="E264" t="s">
        <v>48</v>
      </c>
      <c r="G264">
        <v>2500</v>
      </c>
      <c r="H264">
        <v>16664.240000000002</v>
      </c>
      <c r="I264">
        <f>F264-G264</f>
        <v>-2500</v>
      </c>
      <c r="J264" s="26" t="s">
        <v>26</v>
      </c>
      <c r="K264" s="1" t="s">
        <v>7</v>
      </c>
      <c r="L264" s="1">
        <f>IF(J264=K264,0,1)</f>
        <v>1</v>
      </c>
      <c r="M264" s="1">
        <v>-4.2</v>
      </c>
    </row>
    <row r="265" spans="1:13" ht="12.75">
      <c r="A265">
        <v>704</v>
      </c>
      <c r="B265">
        <v>2026</v>
      </c>
      <c r="C265" s="25">
        <v>46051</v>
      </c>
      <c r="D265" t="s">
        <v>251</v>
      </c>
      <c r="E265" t="s">
        <v>177</v>
      </c>
      <c r="G265">
        <v>319</v>
      </c>
      <c r="H265">
        <v>8452.6</v>
      </c>
      <c r="I265">
        <f>F265-G265</f>
        <v>-319</v>
      </c>
      <c r="J265" t="s">
        <v>5</v>
      </c>
      <c r="K265" s="1" t="s">
        <v>265</v>
      </c>
      <c r="L265" s="1">
        <f>IF(J265=K265,0,1)</f>
        <v>1</v>
      </c>
      <c r="M265" s="1">
        <v>-23.95</v>
      </c>
    </row>
    <row r="266" spans="1:13" ht="12.75" hidden="1">
      <c r="A266">
        <v>385</v>
      </c>
      <c r="B266">
        <v>2026</v>
      </c>
      <c r="C266" s="25">
        <v>45827</v>
      </c>
      <c r="D266" t="s">
        <v>192</v>
      </c>
      <c r="E266" t="s">
        <v>177</v>
      </c>
      <c r="G266">
        <v>4</v>
      </c>
      <c r="H266">
        <v>24988.17</v>
      </c>
      <c r="I266">
        <f>F266-G266</f>
        <v>-4</v>
      </c>
      <c r="J266" t="s">
        <v>15</v>
      </c>
      <c r="K266" s="1" t="s">
        <v>15</v>
      </c>
      <c r="L266" s="1">
        <f>IF(J266=K266,0,1)</f>
        <v>0</v>
      </c>
      <c r="M266" s="1">
        <v>-400</v>
      </c>
    </row>
    <row r="267" spans="1:13" ht="12.75">
      <c r="A267">
        <v>359</v>
      </c>
      <c r="B267">
        <v>2026</v>
      </c>
      <c r="C267" s="25">
        <v>45818</v>
      </c>
      <c r="D267" t="s">
        <v>194</v>
      </c>
      <c r="E267" t="s">
        <v>177</v>
      </c>
      <c r="G267">
        <v>88</v>
      </c>
      <c r="H267">
        <v>22084.55</v>
      </c>
      <c r="I267">
        <f>F267-G267</f>
        <v>-88</v>
      </c>
      <c r="J267" t="s">
        <v>6</v>
      </c>
      <c r="K267" s="1" t="s">
        <v>261</v>
      </c>
      <c r="L267" s="1">
        <f>IF(J267=K267,0,1)</f>
        <v>1</v>
      </c>
      <c r="M267" s="1">
        <v>350</v>
      </c>
    </row>
    <row r="268" spans="1:13" ht="12.75">
      <c r="A268">
        <v>415</v>
      </c>
      <c r="B268">
        <v>2026</v>
      </c>
      <c r="C268" s="25">
        <v>45838</v>
      </c>
      <c r="D268" t="s">
        <v>204</v>
      </c>
      <c r="E268" t="s">
        <v>177</v>
      </c>
      <c r="G268">
        <v>699</v>
      </c>
      <c r="H268">
        <v>22813.52</v>
      </c>
      <c r="I268">
        <f>F268-G268</f>
        <v>-699</v>
      </c>
      <c r="J268" s="26" t="s">
        <v>9</v>
      </c>
      <c r="K268" s="1" t="s">
        <v>262</v>
      </c>
      <c r="L268" s="1">
        <f>IF(J268=K268,0,1)</f>
        <v>1</v>
      </c>
      <c r="M268" s="1">
        <v>-4.0999999999999996</v>
      </c>
    </row>
    <row r="269" spans="1:13" ht="12.75">
      <c r="A269">
        <v>521</v>
      </c>
      <c r="B269">
        <v>2026</v>
      </c>
      <c r="C269" s="25">
        <v>45898</v>
      </c>
      <c r="D269" t="s">
        <v>225</v>
      </c>
      <c r="E269" t="s">
        <v>48</v>
      </c>
      <c r="G269">
        <v>14833.12</v>
      </c>
      <c r="H269">
        <v>9268.6</v>
      </c>
      <c r="I269">
        <f>F269-G269</f>
        <v>-14833.12</v>
      </c>
      <c r="J269" s="26" t="s">
        <v>10</v>
      </c>
      <c r="K269" s="1" t="s">
        <v>11</v>
      </c>
      <c r="L269" s="1">
        <f>IF(J269=K269,0,1)</f>
        <v>1</v>
      </c>
      <c r="M269" s="1">
        <v>-5.7</v>
      </c>
    </row>
    <row r="270" spans="1:13" ht="12.75" hidden="1">
      <c r="A270">
        <v>389</v>
      </c>
      <c r="B270">
        <v>2026</v>
      </c>
      <c r="C270" s="25">
        <v>45828</v>
      </c>
      <c r="D270" t="s">
        <v>174</v>
      </c>
      <c r="E270" t="s">
        <v>44</v>
      </c>
      <c r="F270">
        <v>350</v>
      </c>
      <c r="H270">
        <v>24909.119999999999</v>
      </c>
      <c r="I270">
        <f>F270-G270</f>
        <v>350</v>
      </c>
      <c r="J270" t="s">
        <v>14</v>
      </c>
      <c r="K270" s="1" t="s">
        <v>14</v>
      </c>
      <c r="L270" s="1">
        <f>IF(J270=K270,0,1)</f>
        <v>0</v>
      </c>
      <c r="M270" s="1">
        <v>-150</v>
      </c>
    </row>
    <row r="271" spans="1:13" ht="12.75" hidden="1">
      <c r="A271">
        <v>390</v>
      </c>
      <c r="B271">
        <v>2026</v>
      </c>
      <c r="C271" s="25">
        <v>45831</v>
      </c>
      <c r="D271" t="s">
        <v>201</v>
      </c>
      <c r="E271" t="s">
        <v>177</v>
      </c>
      <c r="G271">
        <v>49.73</v>
      </c>
      <c r="H271">
        <v>24682.54</v>
      </c>
      <c r="I271">
        <f>F271-G271</f>
        <v>-49.73</v>
      </c>
      <c r="J271" t="s">
        <v>18</v>
      </c>
      <c r="K271" s="1" t="s">
        <v>18</v>
      </c>
      <c r="L271" s="1">
        <f>IF(J271=K271,0,1)</f>
        <v>0</v>
      </c>
      <c r="M271" s="1">
        <v>-4</v>
      </c>
    </row>
    <row r="272" spans="1:13" ht="12.75">
      <c r="A272">
        <v>306</v>
      </c>
      <c r="B272">
        <v>2026</v>
      </c>
      <c r="C272" s="25">
        <v>45761</v>
      </c>
      <c r="D272" t="s">
        <v>52</v>
      </c>
      <c r="E272" t="s">
        <v>48</v>
      </c>
      <c r="G272">
        <v>313.82</v>
      </c>
      <c r="H272">
        <v>17389.97</v>
      </c>
      <c r="I272">
        <f>F272-G272</f>
        <v>-313.82</v>
      </c>
      <c r="J272" s="26" t="s">
        <v>10</v>
      </c>
      <c r="K272" s="1" t="s">
        <v>12</v>
      </c>
      <c r="L272" s="1">
        <f>IF(J272=K272,0,1)</f>
        <v>1</v>
      </c>
      <c r="M272" s="1">
        <v>-4</v>
      </c>
    </row>
    <row r="273" spans="1:13" ht="12.75">
      <c r="A273">
        <v>438</v>
      </c>
      <c r="B273">
        <v>2026</v>
      </c>
      <c r="C273" s="25">
        <v>45848</v>
      </c>
      <c r="D273" t="s">
        <v>131</v>
      </c>
      <c r="E273" t="s">
        <v>48</v>
      </c>
      <c r="G273">
        <v>3072.23</v>
      </c>
      <c r="H273">
        <v>21411.51</v>
      </c>
      <c r="I273">
        <f>F273-G273</f>
        <v>-3072.23</v>
      </c>
      <c r="J273" s="26" t="s">
        <v>10</v>
      </c>
      <c r="K273" s="1" t="s">
        <v>13</v>
      </c>
      <c r="L273" s="1">
        <f>IF(J273=K273,0,1)</f>
        <v>1</v>
      </c>
      <c r="M273" s="1">
        <v>-49.73</v>
      </c>
    </row>
    <row r="274" spans="1:13" ht="12.75">
      <c r="A274">
        <v>692</v>
      </c>
      <c r="B274">
        <v>2026</v>
      </c>
      <c r="C274" s="25">
        <v>46049</v>
      </c>
      <c r="D274" t="s">
        <v>131</v>
      </c>
      <c r="E274" t="s">
        <v>48</v>
      </c>
      <c r="G274">
        <v>6017.4</v>
      </c>
      <c r="H274">
        <v>5871.85</v>
      </c>
      <c r="I274">
        <f>F274-G274</f>
        <v>-6017.4</v>
      </c>
      <c r="J274" s="26" t="s">
        <v>10</v>
      </c>
      <c r="K274" s="1" t="s">
        <v>13</v>
      </c>
      <c r="L274" s="1">
        <f>IF(J274=K274,0,1)</f>
        <v>1</v>
      </c>
      <c r="M274" s="1">
        <v>-3.45</v>
      </c>
    </row>
    <row r="275" spans="1:13" ht="12.75">
      <c r="A275">
        <v>327</v>
      </c>
      <c r="B275">
        <v>2026</v>
      </c>
      <c r="C275" s="25">
        <v>45800</v>
      </c>
      <c r="D275" t="s">
        <v>182</v>
      </c>
      <c r="E275" t="s">
        <v>183</v>
      </c>
      <c r="F275">
        <v>350</v>
      </c>
      <c r="H275">
        <v>20203.810000000001</v>
      </c>
      <c r="I275">
        <f>F275-G275</f>
        <v>350</v>
      </c>
      <c r="J275" s="26" t="s">
        <v>26</v>
      </c>
      <c r="K275" s="1" t="s">
        <v>14</v>
      </c>
      <c r="L275" s="1">
        <f>IF(J275=K275,0,1)</f>
        <v>1</v>
      </c>
      <c r="M275" s="1">
        <v>-5.65</v>
      </c>
    </row>
    <row r="276" spans="1:13" ht="12.75" hidden="1">
      <c r="A276">
        <v>395</v>
      </c>
      <c r="B276">
        <v>2026</v>
      </c>
      <c r="C276" s="25">
        <v>45832</v>
      </c>
      <c r="D276" t="s">
        <v>192</v>
      </c>
      <c r="E276" t="s">
        <v>177</v>
      </c>
      <c r="G276">
        <v>5.65</v>
      </c>
      <c r="H276">
        <v>24661.34</v>
      </c>
      <c r="I276">
        <f>F276-G276</f>
        <v>-5.65</v>
      </c>
      <c r="J276" t="s">
        <v>15</v>
      </c>
      <c r="K276" s="1" t="s">
        <v>15</v>
      </c>
      <c r="L276" s="1">
        <f>IF(J276=K276,0,1)</f>
        <v>0</v>
      </c>
      <c r="M276" s="1">
        <v>-3.4</v>
      </c>
    </row>
    <row r="277" spans="1:13" ht="12.75">
      <c r="A277">
        <v>483</v>
      </c>
      <c r="B277">
        <v>2026</v>
      </c>
      <c r="C277" s="25">
        <v>45880</v>
      </c>
      <c r="D277" t="s">
        <v>208</v>
      </c>
      <c r="E277" t="s">
        <v>108</v>
      </c>
      <c r="F277">
        <v>1475</v>
      </c>
      <c r="H277">
        <v>22102.81</v>
      </c>
      <c r="I277">
        <f>F277-G277</f>
        <v>1475</v>
      </c>
      <c r="J277" s="26" t="s">
        <v>24</v>
      </c>
      <c r="K277" s="1" t="s">
        <v>14</v>
      </c>
      <c r="L277" s="1">
        <f>IF(J277=K277,0,1)</f>
        <v>1</v>
      </c>
      <c r="M277" s="1">
        <v>-4.2</v>
      </c>
    </row>
    <row r="278" spans="1:13" ht="12.75">
      <c r="A278">
        <v>337</v>
      </c>
      <c r="B278">
        <v>2026</v>
      </c>
      <c r="C278" s="25">
        <v>45804</v>
      </c>
      <c r="D278" t="s">
        <v>187</v>
      </c>
      <c r="E278" t="s">
        <v>177</v>
      </c>
      <c r="G278">
        <v>7</v>
      </c>
      <c r="H278">
        <v>20196.810000000001</v>
      </c>
      <c r="I278">
        <f>F278-G278</f>
        <v>-7</v>
      </c>
      <c r="J278" t="s">
        <v>9</v>
      </c>
      <c r="K278" s="1" t="s">
        <v>15</v>
      </c>
      <c r="L278" s="1">
        <f>IF(J278=K278,0,1)</f>
        <v>1</v>
      </c>
      <c r="M278" s="1">
        <v>-4.0999999999999996</v>
      </c>
    </row>
    <row r="279" spans="1:13" ht="12.75" hidden="1">
      <c r="A279">
        <v>398</v>
      </c>
      <c r="B279">
        <v>2026</v>
      </c>
      <c r="C279" s="25">
        <v>45832</v>
      </c>
      <c r="D279" t="s">
        <v>192</v>
      </c>
      <c r="E279" t="s">
        <v>177</v>
      </c>
      <c r="G279">
        <v>3.45</v>
      </c>
      <c r="H279">
        <v>24677.39</v>
      </c>
      <c r="I279">
        <f>F279-G279</f>
        <v>-3.45</v>
      </c>
      <c r="J279" t="s">
        <v>15</v>
      </c>
      <c r="K279" s="1" t="s">
        <v>15</v>
      </c>
      <c r="L279" s="1">
        <f>IF(J279=K279,0,1)</f>
        <v>0</v>
      </c>
      <c r="M279" s="1">
        <v>-2</v>
      </c>
    </row>
    <row r="280" spans="1:13" ht="12.75">
      <c r="A280">
        <v>341</v>
      </c>
      <c r="B280">
        <v>2026</v>
      </c>
      <c r="C280" s="25">
        <v>45806</v>
      </c>
      <c r="D280" t="s">
        <v>190</v>
      </c>
      <c r="E280" t="s">
        <v>177</v>
      </c>
      <c r="G280">
        <v>4.8</v>
      </c>
      <c r="H280">
        <v>20144.93</v>
      </c>
      <c r="I280">
        <f>F280-G280</f>
        <v>-4.8</v>
      </c>
      <c r="J280" s="26" t="s">
        <v>18</v>
      </c>
      <c r="K280" s="1" t="s">
        <v>15</v>
      </c>
      <c r="L280" s="1">
        <f>IF(J280=K280,0,1)</f>
        <v>1</v>
      </c>
      <c r="M280" s="1">
        <v>-23.95</v>
      </c>
    </row>
    <row r="281" spans="1:13" ht="12.75" hidden="1">
      <c r="A281">
        <v>400</v>
      </c>
      <c r="B281">
        <v>2026</v>
      </c>
      <c r="C281" s="25">
        <v>45833</v>
      </c>
      <c r="D281" t="s">
        <v>179</v>
      </c>
      <c r="E281" t="s">
        <v>177</v>
      </c>
      <c r="G281">
        <v>6</v>
      </c>
      <c r="H281">
        <v>26662.89</v>
      </c>
      <c r="I281">
        <f>F281-G281</f>
        <v>-6</v>
      </c>
      <c r="J281" t="s">
        <v>17</v>
      </c>
      <c r="K281" s="1" t="s">
        <v>17</v>
      </c>
      <c r="L281" s="1">
        <f>IF(J281=K281,0,1)</f>
        <v>0</v>
      </c>
      <c r="M281" s="1">
        <v>2050</v>
      </c>
    </row>
    <row r="282" spans="1:13" ht="12.75">
      <c r="A282">
        <v>343</v>
      </c>
      <c r="B282">
        <v>2026</v>
      </c>
      <c r="C282" s="25">
        <v>45807</v>
      </c>
      <c r="D282" t="s">
        <v>187</v>
      </c>
      <c r="E282" t="s">
        <v>177</v>
      </c>
      <c r="G282">
        <v>3.75</v>
      </c>
      <c r="H282">
        <v>21218.7</v>
      </c>
      <c r="I282">
        <f>F282-G282</f>
        <v>-3.75</v>
      </c>
      <c r="J282" t="s">
        <v>9</v>
      </c>
      <c r="K282" s="1" t="s">
        <v>15</v>
      </c>
      <c r="L282" s="1">
        <f>IF(J282=K282,0,1)</f>
        <v>1</v>
      </c>
      <c r="M282" s="1">
        <v>-4.0999999999999996</v>
      </c>
    </row>
    <row r="283" spans="1:13" ht="12.75" hidden="1">
      <c r="A283">
        <v>402</v>
      </c>
      <c r="B283">
        <v>2026</v>
      </c>
      <c r="C283" s="25">
        <v>45833</v>
      </c>
      <c r="D283" t="s">
        <v>192</v>
      </c>
      <c r="E283" t="s">
        <v>177</v>
      </c>
      <c r="G283">
        <v>3.4</v>
      </c>
      <c r="H283">
        <v>26674.04</v>
      </c>
      <c r="I283">
        <f>F283-G283</f>
        <v>-3.4</v>
      </c>
      <c r="J283" t="s">
        <v>15</v>
      </c>
      <c r="K283" s="1" t="s">
        <v>15</v>
      </c>
      <c r="L283" s="1">
        <f>IF(J283=K283,0,1)</f>
        <v>0</v>
      </c>
      <c r="M283" s="1">
        <v>-3.4</v>
      </c>
    </row>
    <row r="284" spans="1:13" ht="12.75" hidden="1">
      <c r="A284">
        <v>403</v>
      </c>
      <c r="B284">
        <v>2026</v>
      </c>
      <c r="C284" s="25">
        <v>45833</v>
      </c>
      <c r="D284" t="s">
        <v>174</v>
      </c>
      <c r="E284" t="s">
        <v>44</v>
      </c>
      <c r="F284">
        <v>2050</v>
      </c>
      <c r="H284">
        <v>26677.439999999999</v>
      </c>
      <c r="I284">
        <f>F284-G284</f>
        <v>2050</v>
      </c>
      <c r="J284" t="s">
        <v>14</v>
      </c>
      <c r="K284" s="1" t="s">
        <v>14</v>
      </c>
      <c r="L284" s="1">
        <f>IF(J284=K284,0,1)</f>
        <v>0</v>
      </c>
      <c r="M284" s="1">
        <v>-6</v>
      </c>
    </row>
    <row r="285" spans="1:13" ht="12.75" hidden="1">
      <c r="A285">
        <v>404</v>
      </c>
      <c r="B285">
        <v>2026</v>
      </c>
      <c r="C285" s="25">
        <v>45834</v>
      </c>
      <c r="D285" t="s">
        <v>185</v>
      </c>
      <c r="E285" t="s">
        <v>108</v>
      </c>
      <c r="F285">
        <v>700</v>
      </c>
      <c r="H285">
        <v>27362.89</v>
      </c>
      <c r="I285">
        <f>F285-G285</f>
        <v>700</v>
      </c>
      <c r="J285" t="s">
        <v>14</v>
      </c>
      <c r="K285" s="1" t="s">
        <v>14</v>
      </c>
      <c r="L285" s="1">
        <f>IF(J285=K285,0,1)</f>
        <v>0</v>
      </c>
      <c r="M285" s="1">
        <v>700</v>
      </c>
    </row>
    <row r="286" spans="1:13" ht="12.75">
      <c r="A286">
        <v>345</v>
      </c>
      <c r="B286">
        <v>2026</v>
      </c>
      <c r="C286" s="25">
        <v>45810</v>
      </c>
      <c r="D286" t="s">
        <v>187</v>
      </c>
      <c r="E286" t="s">
        <v>177</v>
      </c>
      <c r="G286">
        <v>3.75</v>
      </c>
      <c r="H286">
        <v>21564.95</v>
      </c>
      <c r="I286">
        <f>F286-G286</f>
        <v>-3.75</v>
      </c>
      <c r="J286" t="s">
        <v>9</v>
      </c>
      <c r="K286" s="1" t="s">
        <v>15</v>
      </c>
      <c r="L286" s="1">
        <f>IF(J286=K286,0,1)</f>
        <v>1</v>
      </c>
      <c r="M286" s="1">
        <v>725</v>
      </c>
    </row>
    <row r="287" spans="1:13" ht="12.75">
      <c r="A287">
        <v>356</v>
      </c>
      <c r="B287">
        <v>2026</v>
      </c>
      <c r="C287" s="25">
        <v>45814</v>
      </c>
      <c r="D287" t="s">
        <v>187</v>
      </c>
      <c r="E287" t="s">
        <v>177</v>
      </c>
      <c r="G287">
        <v>3.75</v>
      </c>
      <c r="H287">
        <v>22296.75</v>
      </c>
      <c r="I287">
        <f>F287-G287</f>
        <v>-3.75</v>
      </c>
      <c r="J287" t="s">
        <v>9</v>
      </c>
      <c r="K287" s="1" t="s">
        <v>15</v>
      </c>
      <c r="L287" s="1">
        <f>IF(J287=K287,0,1)</f>
        <v>1</v>
      </c>
      <c r="M287" s="1">
        <v>-2.15</v>
      </c>
    </row>
    <row r="288" spans="1:13" ht="12.75">
      <c r="A288">
        <v>358</v>
      </c>
      <c r="B288">
        <v>2026</v>
      </c>
      <c r="C288" s="25">
        <v>45817</v>
      </c>
      <c r="D288" t="s">
        <v>187</v>
      </c>
      <c r="E288" t="s">
        <v>177</v>
      </c>
      <c r="G288">
        <v>3.75</v>
      </c>
      <c r="H288">
        <v>22282.959999999999</v>
      </c>
      <c r="I288">
        <f>F288-G288</f>
        <v>-3.75</v>
      </c>
      <c r="J288" t="s">
        <v>9</v>
      </c>
      <c r="K288" s="1" t="s">
        <v>15</v>
      </c>
      <c r="L288" s="1">
        <f>IF(J288=K288,0,1)</f>
        <v>1</v>
      </c>
      <c r="M288" s="1">
        <v>-4.0999999999999996</v>
      </c>
    </row>
    <row r="289" spans="1:13" ht="12.75">
      <c r="A289">
        <v>362</v>
      </c>
      <c r="B289">
        <v>2026</v>
      </c>
      <c r="C289" s="25">
        <v>45818</v>
      </c>
      <c r="D289" t="s">
        <v>187</v>
      </c>
      <c r="E289" t="s">
        <v>177</v>
      </c>
      <c r="G289">
        <v>9.8000000000000007</v>
      </c>
      <c r="H289">
        <v>22262.78</v>
      </c>
      <c r="I289">
        <f>F289-G289</f>
        <v>-9.8000000000000007</v>
      </c>
      <c r="J289" t="s">
        <v>9</v>
      </c>
      <c r="K289" s="1" t="s">
        <v>15</v>
      </c>
      <c r="L289" s="1">
        <f>IF(J289=K289,0,1)</f>
        <v>1</v>
      </c>
      <c r="M289" s="1">
        <v>-23.95</v>
      </c>
    </row>
    <row r="290" spans="1:13" ht="12.75">
      <c r="A290">
        <v>364</v>
      </c>
      <c r="B290">
        <v>2026</v>
      </c>
      <c r="C290" s="25">
        <v>45818</v>
      </c>
      <c r="D290" t="s">
        <v>196</v>
      </c>
      <c r="E290" t="s">
        <v>177</v>
      </c>
      <c r="G290">
        <v>0.9</v>
      </c>
      <c r="H290">
        <v>22282.06</v>
      </c>
      <c r="I290">
        <f>F290-G290</f>
        <v>-0.9</v>
      </c>
      <c r="J290" s="26" t="s">
        <v>24</v>
      </c>
      <c r="K290" s="1" t="s">
        <v>15</v>
      </c>
      <c r="L290" s="1">
        <f>IF(J290=K290,0,1)</f>
        <v>1</v>
      </c>
      <c r="M290" s="1">
        <v>-1047.5</v>
      </c>
    </row>
    <row r="291" spans="1:13" ht="12.75">
      <c r="A291">
        <v>369</v>
      </c>
      <c r="B291">
        <v>2026</v>
      </c>
      <c r="C291" s="25">
        <v>45820</v>
      </c>
      <c r="D291" t="s">
        <v>197</v>
      </c>
      <c r="E291" t="s">
        <v>177</v>
      </c>
      <c r="G291">
        <v>5.25</v>
      </c>
      <c r="H291">
        <v>24519.1</v>
      </c>
      <c r="I291">
        <f>F291-G291</f>
        <v>-5.25</v>
      </c>
      <c r="J291" t="s">
        <v>9</v>
      </c>
      <c r="K291" s="1" t="s">
        <v>15</v>
      </c>
      <c r="L291" s="1">
        <f>IF(J291=K291,0,1)</f>
        <v>1</v>
      </c>
      <c r="M291" s="1">
        <v>-833.33</v>
      </c>
    </row>
    <row r="292" spans="1:13" ht="12.75">
      <c r="A292">
        <v>373</v>
      </c>
      <c r="B292">
        <v>2026</v>
      </c>
      <c r="C292" s="25">
        <v>45824</v>
      </c>
      <c r="D292" t="s">
        <v>187</v>
      </c>
      <c r="E292" t="s">
        <v>177</v>
      </c>
      <c r="G292">
        <v>3.75</v>
      </c>
      <c r="H292">
        <v>25237.4</v>
      </c>
      <c r="I292">
        <f>F292-G292</f>
        <v>-3.75</v>
      </c>
      <c r="J292" t="s">
        <v>9</v>
      </c>
      <c r="K292" s="1" t="s">
        <v>15</v>
      </c>
      <c r="L292" s="1">
        <f>IF(J292=K292,0,1)</f>
        <v>1</v>
      </c>
      <c r="M292" s="1">
        <v>-1000</v>
      </c>
    </row>
    <row r="293" spans="1:13" ht="12.75" hidden="1">
      <c r="A293">
        <v>412</v>
      </c>
      <c r="B293">
        <v>2026</v>
      </c>
      <c r="C293" s="25">
        <v>45835</v>
      </c>
      <c r="D293" t="s">
        <v>203</v>
      </c>
      <c r="E293" t="s">
        <v>177</v>
      </c>
      <c r="G293">
        <v>5.99</v>
      </c>
      <c r="H293">
        <v>28081.9</v>
      </c>
      <c r="I293">
        <f>F293-G293</f>
        <v>-5.99</v>
      </c>
      <c r="J293" t="s">
        <v>15</v>
      </c>
      <c r="K293" s="1" t="s">
        <v>15</v>
      </c>
      <c r="L293" s="1">
        <f>IF(J293=K293,0,1)</f>
        <v>0</v>
      </c>
      <c r="M293" s="1">
        <v>-500</v>
      </c>
    </row>
    <row r="294" spans="1:13" ht="12.75" hidden="1">
      <c r="A294">
        <v>413</v>
      </c>
      <c r="B294">
        <v>2026</v>
      </c>
      <c r="C294" s="25">
        <v>45835</v>
      </c>
      <c r="D294" t="s">
        <v>174</v>
      </c>
      <c r="E294" t="s">
        <v>44</v>
      </c>
      <c r="F294">
        <v>725</v>
      </c>
      <c r="H294">
        <v>28087.89</v>
      </c>
      <c r="I294">
        <f>F294-G294</f>
        <v>725</v>
      </c>
      <c r="J294" t="s">
        <v>14</v>
      </c>
      <c r="K294" s="1" t="s">
        <v>14</v>
      </c>
      <c r="L294" s="1">
        <f>IF(J294=K294,0,1)</f>
        <v>0</v>
      </c>
      <c r="M294" s="1">
        <v>-1100</v>
      </c>
    </row>
    <row r="295" spans="1:13" ht="12.75">
      <c r="A295">
        <v>376</v>
      </c>
      <c r="B295">
        <v>2026</v>
      </c>
      <c r="C295" s="25">
        <v>45825</v>
      </c>
      <c r="D295" t="s">
        <v>192</v>
      </c>
      <c r="E295" t="s">
        <v>177</v>
      </c>
      <c r="G295">
        <v>5.7</v>
      </c>
      <c r="H295">
        <v>25078.6</v>
      </c>
      <c r="I295">
        <f>F295-G295</f>
        <v>-5.7</v>
      </c>
      <c r="J295" s="26" t="s">
        <v>17</v>
      </c>
      <c r="K295" s="1" t="s">
        <v>15</v>
      </c>
      <c r="L295" s="1">
        <f>IF(J295=K295,0,1)</f>
        <v>1</v>
      </c>
      <c r="M295" s="1">
        <v>-3.35</v>
      </c>
    </row>
    <row r="296" spans="1:13" ht="12.75">
      <c r="A296">
        <v>379</v>
      </c>
      <c r="B296">
        <v>2026</v>
      </c>
      <c r="C296" s="25">
        <v>45825</v>
      </c>
      <c r="D296" t="s">
        <v>187</v>
      </c>
      <c r="E296" t="s">
        <v>177</v>
      </c>
      <c r="G296">
        <v>3.75</v>
      </c>
      <c r="H296">
        <v>25093.65</v>
      </c>
      <c r="I296">
        <f>F296-G296</f>
        <v>-3.75</v>
      </c>
      <c r="J296" t="s">
        <v>9</v>
      </c>
      <c r="K296" s="1" t="s">
        <v>15</v>
      </c>
      <c r="L296" s="1">
        <f>IF(J296=K296,0,1)</f>
        <v>1</v>
      </c>
      <c r="M296" s="1">
        <v>-48</v>
      </c>
    </row>
    <row r="297" spans="1:13" ht="12.75" hidden="1">
      <c r="A297">
        <v>416</v>
      </c>
      <c r="B297">
        <v>2026</v>
      </c>
      <c r="C297" s="25">
        <v>45838</v>
      </c>
      <c r="D297" t="s">
        <v>201</v>
      </c>
      <c r="E297" t="s">
        <v>177</v>
      </c>
      <c r="G297">
        <v>48</v>
      </c>
      <c r="H297">
        <v>23512.52</v>
      </c>
      <c r="I297">
        <f>F297-G297</f>
        <v>-48</v>
      </c>
      <c r="J297" t="s">
        <v>18</v>
      </c>
      <c r="K297" s="1" t="s">
        <v>18</v>
      </c>
      <c r="L297" s="1">
        <f>IF(J297=K297,0,1)</f>
        <v>0</v>
      </c>
      <c r="M297" s="1">
        <v>-699</v>
      </c>
    </row>
    <row r="298" spans="1:13" ht="12.75">
      <c r="A298">
        <v>381</v>
      </c>
      <c r="B298">
        <v>2026</v>
      </c>
      <c r="C298" s="25">
        <v>45826</v>
      </c>
      <c r="D298" t="s">
        <v>192</v>
      </c>
      <c r="E298" t="s">
        <v>177</v>
      </c>
      <c r="G298">
        <v>4</v>
      </c>
      <c r="H298">
        <v>24998.17</v>
      </c>
      <c r="I298">
        <f>F298-G298</f>
        <v>-4</v>
      </c>
      <c r="J298" s="26" t="s">
        <v>17</v>
      </c>
      <c r="K298" s="1" t="s">
        <v>15</v>
      </c>
      <c r="L298" s="1">
        <f>IF(J298=K298,0,1)</f>
        <v>1</v>
      </c>
      <c r="M298" s="1">
        <v>-1180</v>
      </c>
    </row>
    <row r="299" spans="1:13" ht="12.75">
      <c r="A299">
        <v>384</v>
      </c>
      <c r="B299">
        <v>2026</v>
      </c>
      <c r="C299" s="25">
        <v>45827</v>
      </c>
      <c r="D299" t="s">
        <v>200</v>
      </c>
      <c r="E299" t="s">
        <v>177</v>
      </c>
      <c r="G299">
        <v>5.0999999999999996</v>
      </c>
      <c r="H299">
        <v>24983.07</v>
      </c>
      <c r="I299">
        <f>F299-G299</f>
        <v>-5.0999999999999996</v>
      </c>
      <c r="J299" s="26" t="s">
        <v>17</v>
      </c>
      <c r="K299" s="1" t="s">
        <v>15</v>
      </c>
      <c r="L299" s="1">
        <f>IF(J299=K299,0,1)</f>
        <v>1</v>
      </c>
      <c r="M299" s="1">
        <v>-3.3</v>
      </c>
    </row>
    <row r="300" spans="1:13" ht="12.75" hidden="1">
      <c r="A300">
        <v>419</v>
      </c>
      <c r="B300">
        <v>2026</v>
      </c>
      <c r="C300" s="25">
        <v>45839</v>
      </c>
      <c r="D300" t="s">
        <v>205</v>
      </c>
      <c r="E300" t="s">
        <v>177</v>
      </c>
      <c r="G300">
        <v>4.95</v>
      </c>
      <c r="H300">
        <v>21628.57</v>
      </c>
      <c r="I300">
        <f>F300-G300</f>
        <v>-4.95</v>
      </c>
      <c r="J300" t="s">
        <v>15</v>
      </c>
      <c r="K300" s="1" t="s">
        <v>15</v>
      </c>
      <c r="L300" s="1">
        <f>IF(J300=K300,0,1)</f>
        <v>0</v>
      </c>
      <c r="M300" s="1">
        <v>-23.95</v>
      </c>
    </row>
    <row r="301" spans="1:13" ht="12.75" hidden="1">
      <c r="A301">
        <v>420</v>
      </c>
      <c r="B301">
        <v>2026</v>
      </c>
      <c r="C301" s="25">
        <v>45840</v>
      </c>
      <c r="D301" t="s">
        <v>206</v>
      </c>
      <c r="E301" t="s">
        <v>177</v>
      </c>
      <c r="G301">
        <v>1.75</v>
      </c>
      <c r="H301">
        <v>22002.87</v>
      </c>
      <c r="I301">
        <f>F301-G301</f>
        <v>-1.75</v>
      </c>
      <c r="J301" t="s">
        <v>27</v>
      </c>
      <c r="K301" s="1" t="s">
        <v>27</v>
      </c>
      <c r="L301" s="1">
        <f>IF(J301=K301,0,1)</f>
        <v>0</v>
      </c>
      <c r="M301" s="1">
        <v>400</v>
      </c>
    </row>
    <row r="302" spans="1:13" ht="12.75" hidden="1">
      <c r="A302">
        <v>421</v>
      </c>
      <c r="B302">
        <v>2026</v>
      </c>
      <c r="C302" s="25">
        <v>45840</v>
      </c>
      <c r="D302" t="s">
        <v>174</v>
      </c>
      <c r="E302" t="s">
        <v>44</v>
      </c>
      <c r="F302">
        <v>400</v>
      </c>
      <c r="H302">
        <v>22004.62</v>
      </c>
      <c r="I302">
        <f>F302-G302</f>
        <v>400</v>
      </c>
      <c r="J302" t="s">
        <v>14</v>
      </c>
      <c r="K302" s="1" t="s">
        <v>14</v>
      </c>
      <c r="L302" s="1">
        <f>IF(J302=K302,0,1)</f>
        <v>0</v>
      </c>
      <c r="M302" s="1">
        <v>-1.75</v>
      </c>
    </row>
    <row r="303" spans="1:13" ht="12.75">
      <c r="A303">
        <v>387</v>
      </c>
      <c r="B303">
        <v>2026</v>
      </c>
      <c r="C303" s="25">
        <v>45828</v>
      </c>
      <c r="D303" t="s">
        <v>187</v>
      </c>
      <c r="E303" t="s">
        <v>177</v>
      </c>
      <c r="G303">
        <v>7.8</v>
      </c>
      <c r="H303">
        <v>24897.37</v>
      </c>
      <c r="I303">
        <f>F303-G303</f>
        <v>-7.8</v>
      </c>
      <c r="J303" t="s">
        <v>9</v>
      </c>
      <c r="K303" s="1" t="s">
        <v>15</v>
      </c>
      <c r="L303" s="1">
        <f>IF(J303=K303,0,1)</f>
        <v>1</v>
      </c>
      <c r="M303" s="1">
        <v>-1.64</v>
      </c>
    </row>
    <row r="304" spans="1:13" ht="12.75">
      <c r="A304">
        <v>388</v>
      </c>
      <c r="B304">
        <v>2026</v>
      </c>
      <c r="C304" s="25">
        <v>45828</v>
      </c>
      <c r="D304" t="s">
        <v>187</v>
      </c>
      <c r="E304" t="s">
        <v>177</v>
      </c>
      <c r="G304">
        <v>3.95</v>
      </c>
      <c r="H304">
        <v>24905.17</v>
      </c>
      <c r="I304">
        <f>F304-G304</f>
        <v>-3.95</v>
      </c>
      <c r="J304" t="s">
        <v>9</v>
      </c>
      <c r="K304" s="1" t="s">
        <v>15</v>
      </c>
      <c r="L304" s="1">
        <f>IF(J304=K304,0,1)</f>
        <v>1</v>
      </c>
      <c r="M304" s="1">
        <v>-1.54</v>
      </c>
    </row>
    <row r="305" spans="1:13" ht="12.75">
      <c r="A305">
        <v>391</v>
      </c>
      <c r="B305">
        <v>2026</v>
      </c>
      <c r="C305" s="25">
        <v>45831</v>
      </c>
      <c r="D305" t="s">
        <v>187</v>
      </c>
      <c r="E305" t="s">
        <v>177</v>
      </c>
      <c r="G305">
        <v>9.9499999999999993</v>
      </c>
      <c r="H305">
        <v>24732.27</v>
      </c>
      <c r="I305">
        <f>F305-G305</f>
        <v>-9.9499999999999993</v>
      </c>
      <c r="J305" t="s">
        <v>9</v>
      </c>
      <c r="K305" s="1" t="s">
        <v>15</v>
      </c>
      <c r="L305" s="1">
        <f>IF(J305=K305,0,1)</f>
        <v>1</v>
      </c>
      <c r="M305" s="1">
        <v>-24.05</v>
      </c>
    </row>
    <row r="306" spans="1:13" ht="12.75" hidden="1">
      <c r="A306">
        <v>425</v>
      </c>
      <c r="B306">
        <v>2026</v>
      </c>
      <c r="C306" s="25">
        <v>45842</v>
      </c>
      <c r="D306" t="s">
        <v>208</v>
      </c>
      <c r="E306" t="s">
        <v>108</v>
      </c>
      <c r="F306">
        <v>1825</v>
      </c>
      <c r="H306">
        <v>23797.47</v>
      </c>
      <c r="I306">
        <f>F306-G306</f>
        <v>1825</v>
      </c>
      <c r="J306" t="s">
        <v>14</v>
      </c>
      <c r="K306" s="1" t="s">
        <v>14</v>
      </c>
      <c r="L306" s="1">
        <f>IF(J306=K306,0,1)</f>
        <v>0</v>
      </c>
      <c r="M306" s="1">
        <v>1825</v>
      </c>
    </row>
    <row r="307" spans="1:13" ht="12.75">
      <c r="A307">
        <v>394</v>
      </c>
      <c r="B307">
        <v>2026</v>
      </c>
      <c r="C307" s="25">
        <v>45832</v>
      </c>
      <c r="D307" t="s">
        <v>187</v>
      </c>
      <c r="E307" t="s">
        <v>177</v>
      </c>
      <c r="G307">
        <v>9.9499999999999993</v>
      </c>
      <c r="H307">
        <v>24651.39</v>
      </c>
      <c r="I307">
        <f>F307-G307</f>
        <v>-9.9499999999999993</v>
      </c>
      <c r="J307" t="s">
        <v>9</v>
      </c>
      <c r="K307" s="1" t="s">
        <v>15</v>
      </c>
      <c r="L307" s="1">
        <f>IF(J307=K307,0,1)</f>
        <v>1</v>
      </c>
      <c r="M307" s="1">
        <v>-10.8</v>
      </c>
    </row>
    <row r="308" spans="1:13" ht="12.75">
      <c r="A308">
        <v>396</v>
      </c>
      <c r="B308">
        <v>2026</v>
      </c>
      <c r="C308" s="25">
        <v>45832</v>
      </c>
      <c r="D308" t="s">
        <v>200</v>
      </c>
      <c r="E308" t="s">
        <v>177</v>
      </c>
      <c r="G308">
        <v>5.3</v>
      </c>
      <c r="H308">
        <v>24666.99</v>
      </c>
      <c r="I308">
        <f>F308-G308</f>
        <v>-5.3</v>
      </c>
      <c r="J308" t="s">
        <v>9</v>
      </c>
      <c r="K308" s="1" t="s">
        <v>15</v>
      </c>
      <c r="L308" s="1">
        <f>IF(J308=K308,0,1)</f>
        <v>1</v>
      </c>
      <c r="M308" s="1">
        <v>-11.65</v>
      </c>
    </row>
    <row r="309" spans="1:13" ht="12.75">
      <c r="A309">
        <v>397</v>
      </c>
      <c r="B309">
        <v>2026</v>
      </c>
      <c r="C309" s="25">
        <v>45832</v>
      </c>
      <c r="D309" t="s">
        <v>200</v>
      </c>
      <c r="E309" t="s">
        <v>177</v>
      </c>
      <c r="G309">
        <v>5.0999999999999996</v>
      </c>
      <c r="H309">
        <v>24672.29</v>
      </c>
      <c r="I309">
        <f>F309-G309</f>
        <v>-5.0999999999999996</v>
      </c>
      <c r="J309" t="s">
        <v>9</v>
      </c>
      <c r="K309" s="1" t="s">
        <v>15</v>
      </c>
      <c r="L309" s="1">
        <f>IF(J309=K309,0,1)</f>
        <v>1</v>
      </c>
      <c r="M309" s="1">
        <v>-10.8</v>
      </c>
    </row>
    <row r="310" spans="1:13" ht="12.75">
      <c r="A310">
        <v>399</v>
      </c>
      <c r="B310">
        <v>2026</v>
      </c>
      <c r="C310" s="25">
        <v>45832</v>
      </c>
      <c r="D310" t="s">
        <v>202</v>
      </c>
      <c r="E310" t="s">
        <v>177</v>
      </c>
      <c r="G310">
        <v>1.7</v>
      </c>
      <c r="H310">
        <v>24680.84</v>
      </c>
      <c r="I310">
        <f>F310-G310</f>
        <v>-1.7</v>
      </c>
      <c r="J310" t="s">
        <v>9</v>
      </c>
      <c r="K310" s="1" t="s">
        <v>15</v>
      </c>
      <c r="L310" s="1">
        <f>IF(J310=K310,0,1)</f>
        <v>1</v>
      </c>
      <c r="M310" s="1">
        <v>-1.7</v>
      </c>
    </row>
    <row r="311" spans="1:13" ht="12.75" hidden="1">
      <c r="A311">
        <v>430</v>
      </c>
      <c r="B311">
        <v>2026</v>
      </c>
      <c r="C311" s="25">
        <v>45846</v>
      </c>
      <c r="D311" t="s">
        <v>178</v>
      </c>
      <c r="E311" t="s">
        <v>177</v>
      </c>
      <c r="G311">
        <v>11.95</v>
      </c>
      <c r="H311">
        <v>23758.37</v>
      </c>
      <c r="I311">
        <f>F311-G311</f>
        <v>-11.95</v>
      </c>
      <c r="J311" t="s">
        <v>17</v>
      </c>
      <c r="K311" s="1" t="s">
        <v>17</v>
      </c>
      <c r="L311" s="1">
        <f>IF(J311=K311,0,1)</f>
        <v>0</v>
      </c>
      <c r="M311" s="1">
        <v>-6.65</v>
      </c>
    </row>
    <row r="312" spans="1:13" ht="12.75">
      <c r="A312">
        <v>411</v>
      </c>
      <c r="B312">
        <v>2026</v>
      </c>
      <c r="C312" s="25">
        <v>45835</v>
      </c>
      <c r="D312" t="s">
        <v>202</v>
      </c>
      <c r="E312" t="s">
        <v>177</v>
      </c>
      <c r="G312">
        <v>6.65</v>
      </c>
      <c r="H312">
        <v>28075.25</v>
      </c>
      <c r="I312">
        <f>F312-G312</f>
        <v>-6.65</v>
      </c>
      <c r="J312" t="s">
        <v>9</v>
      </c>
      <c r="K312" s="1" t="s">
        <v>15</v>
      </c>
      <c r="L312" s="1">
        <f>IF(J312=K312,0,1)</f>
        <v>1</v>
      </c>
      <c r="M312" s="1">
        <v>-4.9000000000000004</v>
      </c>
    </row>
    <row r="313" spans="1:13" ht="12.75">
      <c r="A313">
        <v>417</v>
      </c>
      <c r="B313">
        <v>2026</v>
      </c>
      <c r="C313" s="25">
        <v>45838</v>
      </c>
      <c r="D313" t="s">
        <v>187</v>
      </c>
      <c r="E313" t="s">
        <v>177</v>
      </c>
      <c r="G313">
        <v>9.9499999999999993</v>
      </c>
      <c r="H313">
        <v>23560.52</v>
      </c>
      <c r="I313">
        <f>F313-G313</f>
        <v>-9.9499999999999993</v>
      </c>
      <c r="J313" t="s">
        <v>9</v>
      </c>
      <c r="K313" s="1" t="s">
        <v>15</v>
      </c>
      <c r="L313" s="1">
        <f>IF(J313=K313,0,1)</f>
        <v>1</v>
      </c>
      <c r="M313" s="1">
        <v>-11.95</v>
      </c>
    </row>
    <row r="314" spans="1:13" ht="12.75">
      <c r="A314">
        <v>423</v>
      </c>
      <c r="B314">
        <v>2026</v>
      </c>
      <c r="C314" s="25">
        <v>45841</v>
      </c>
      <c r="D314" t="s">
        <v>207</v>
      </c>
      <c r="E314" t="s">
        <v>177</v>
      </c>
      <c r="G314">
        <v>3.6</v>
      </c>
      <c r="H314">
        <v>21996.52</v>
      </c>
      <c r="I314">
        <f>F314-G314</f>
        <v>-3.6</v>
      </c>
      <c r="J314" t="s">
        <v>9</v>
      </c>
      <c r="K314" s="1" t="s">
        <v>15</v>
      </c>
      <c r="L314" s="1">
        <f>IF(J314=K314,0,1)</f>
        <v>1</v>
      </c>
      <c r="M314" s="1">
        <v>-24.05</v>
      </c>
    </row>
    <row r="315" spans="1:13" ht="12.75" hidden="1">
      <c r="A315">
        <v>434</v>
      </c>
      <c r="B315">
        <v>2026</v>
      </c>
      <c r="C315" s="25">
        <v>45846</v>
      </c>
      <c r="D315" t="s">
        <v>210</v>
      </c>
      <c r="E315" t="s">
        <v>177</v>
      </c>
      <c r="G315">
        <v>2.75</v>
      </c>
      <c r="H315">
        <v>23785.62</v>
      </c>
      <c r="I315">
        <f>F315-G315</f>
        <v>-2.75</v>
      </c>
      <c r="J315" t="s">
        <v>15</v>
      </c>
      <c r="K315" s="1" t="s">
        <v>15</v>
      </c>
      <c r="L315" s="1">
        <f>IF(J315=K315,0,1)</f>
        <v>0</v>
      </c>
      <c r="M315" s="1">
        <v>-35.229999999999997</v>
      </c>
    </row>
    <row r="316" spans="1:13" ht="12.75" hidden="1">
      <c r="A316">
        <v>435</v>
      </c>
      <c r="B316">
        <v>2026</v>
      </c>
      <c r="C316" s="25">
        <v>45847</v>
      </c>
      <c r="D316" t="s">
        <v>179</v>
      </c>
      <c r="E316" t="s">
        <v>177</v>
      </c>
      <c r="G316">
        <v>6</v>
      </c>
      <c r="H316">
        <v>24513.89</v>
      </c>
      <c r="I316">
        <f>F316-G316</f>
        <v>-6</v>
      </c>
      <c r="J316" t="s">
        <v>17</v>
      </c>
      <c r="K316" s="1" t="s">
        <v>17</v>
      </c>
      <c r="L316" s="1">
        <f>IF(J316=K316,0,1)</f>
        <v>0</v>
      </c>
      <c r="M316" s="1">
        <v>825</v>
      </c>
    </row>
    <row r="317" spans="1:13" ht="12.75" hidden="1">
      <c r="A317">
        <v>436</v>
      </c>
      <c r="B317">
        <v>2026</v>
      </c>
      <c r="C317" s="25">
        <v>45847</v>
      </c>
      <c r="D317" t="s">
        <v>192</v>
      </c>
      <c r="E317" t="s">
        <v>177</v>
      </c>
      <c r="G317">
        <v>4.2</v>
      </c>
      <c r="H317">
        <v>24519.89</v>
      </c>
      <c r="I317">
        <f>F317-G317</f>
        <v>-4.2</v>
      </c>
      <c r="J317" t="s">
        <v>15</v>
      </c>
      <c r="K317" s="1" t="s">
        <v>15</v>
      </c>
      <c r="L317" s="1">
        <f>IF(J317=K317,0,1)</f>
        <v>0</v>
      </c>
      <c r="M317" s="1">
        <v>-3.92</v>
      </c>
    </row>
    <row r="318" spans="1:13" ht="12.75" hidden="1">
      <c r="A318">
        <v>437</v>
      </c>
      <c r="B318">
        <v>2026</v>
      </c>
      <c r="C318" s="25">
        <v>45847</v>
      </c>
      <c r="D318" t="s">
        <v>174</v>
      </c>
      <c r="E318" t="s">
        <v>44</v>
      </c>
      <c r="F318">
        <v>825</v>
      </c>
      <c r="H318">
        <v>24524.09</v>
      </c>
      <c r="I318">
        <f>F318-G318</f>
        <v>825</v>
      </c>
      <c r="J318" t="s">
        <v>14</v>
      </c>
      <c r="K318" s="1" t="s">
        <v>14</v>
      </c>
      <c r="L318" s="1">
        <f>IF(J318=K318,0,1)</f>
        <v>0</v>
      </c>
      <c r="M318" s="1">
        <v>-6</v>
      </c>
    </row>
    <row r="319" spans="1:13" ht="12.75">
      <c r="A319">
        <v>424</v>
      </c>
      <c r="B319">
        <v>2026</v>
      </c>
      <c r="C319" s="25">
        <v>45841</v>
      </c>
      <c r="D319" t="s">
        <v>207</v>
      </c>
      <c r="E319" t="s">
        <v>177</v>
      </c>
      <c r="G319">
        <v>2.75</v>
      </c>
      <c r="H319">
        <v>22000.12</v>
      </c>
      <c r="I319">
        <f>F319-G319</f>
        <v>-2.75</v>
      </c>
      <c r="J319" t="s">
        <v>9</v>
      </c>
      <c r="K319" s="1" t="s">
        <v>15</v>
      </c>
      <c r="L319" s="1">
        <f>IF(J319=K319,0,1)</f>
        <v>1</v>
      </c>
      <c r="M319" s="1">
        <v>-2.61</v>
      </c>
    </row>
    <row r="320" spans="1:13" ht="12.75">
      <c r="A320">
        <v>427</v>
      </c>
      <c r="B320">
        <v>2026</v>
      </c>
      <c r="C320" s="25">
        <v>45845</v>
      </c>
      <c r="D320" t="s">
        <v>187</v>
      </c>
      <c r="E320" t="s">
        <v>177</v>
      </c>
      <c r="G320">
        <v>3.95</v>
      </c>
      <c r="H320">
        <v>23793.52</v>
      </c>
      <c r="I320">
        <f>F320-G320</f>
        <v>-3.95</v>
      </c>
      <c r="J320" t="s">
        <v>9</v>
      </c>
      <c r="K320" s="1" t="s">
        <v>15</v>
      </c>
      <c r="L320" s="1">
        <f>IF(J320=K320,0,1)</f>
        <v>1</v>
      </c>
      <c r="M320" s="1">
        <v>-24.05</v>
      </c>
    </row>
    <row r="321" spans="1:13" ht="12.75">
      <c r="A321">
        <v>431</v>
      </c>
      <c r="B321">
        <v>2026</v>
      </c>
      <c r="C321" s="25">
        <v>45846</v>
      </c>
      <c r="D321" t="s">
        <v>207</v>
      </c>
      <c r="E321" t="s">
        <v>177</v>
      </c>
      <c r="G321">
        <v>6.45</v>
      </c>
      <c r="H321">
        <v>23770.32</v>
      </c>
      <c r="I321">
        <f>F321-G321</f>
        <v>-6.45</v>
      </c>
      <c r="J321" t="s">
        <v>9</v>
      </c>
      <c r="K321" s="1" t="s">
        <v>15</v>
      </c>
      <c r="L321" s="1">
        <f>IF(J321=K321,0,1)</f>
        <v>1</v>
      </c>
      <c r="M321" s="1">
        <v>-3072.23</v>
      </c>
    </row>
    <row r="322" spans="1:13" ht="12.75">
      <c r="A322">
        <v>432</v>
      </c>
      <c r="B322">
        <v>2026</v>
      </c>
      <c r="C322" s="25">
        <v>45846</v>
      </c>
      <c r="D322" t="s">
        <v>207</v>
      </c>
      <c r="E322" t="s">
        <v>177</v>
      </c>
      <c r="G322">
        <v>6.1</v>
      </c>
      <c r="H322">
        <v>23776.77</v>
      </c>
      <c r="I322">
        <f>F322-G322</f>
        <v>-6.1</v>
      </c>
      <c r="J322" t="s">
        <v>9</v>
      </c>
      <c r="K322" s="1" t="s">
        <v>15</v>
      </c>
      <c r="L322" s="1">
        <f>IF(J322=K322,0,1)</f>
        <v>1</v>
      </c>
      <c r="M322" s="1">
        <v>1825</v>
      </c>
    </row>
    <row r="323" spans="1:13" ht="12.75" hidden="1">
      <c r="A323">
        <v>442</v>
      </c>
      <c r="B323">
        <v>2026</v>
      </c>
      <c r="C323" s="25">
        <v>45849</v>
      </c>
      <c r="D323" t="s">
        <v>208</v>
      </c>
      <c r="E323" t="s">
        <v>108</v>
      </c>
      <c r="F323">
        <v>1825</v>
      </c>
      <c r="H323">
        <v>23236.51</v>
      </c>
      <c r="I323">
        <f>F323-G323</f>
        <v>1825</v>
      </c>
      <c r="J323" t="s">
        <v>14</v>
      </c>
      <c r="K323" s="1" t="s">
        <v>14</v>
      </c>
      <c r="L323" s="1">
        <f>IF(J323=K323,0,1)</f>
        <v>0</v>
      </c>
      <c r="M323" s="1">
        <v>-194</v>
      </c>
    </row>
    <row r="324" spans="1:13" ht="12.75">
      <c r="A324">
        <v>433</v>
      </c>
      <c r="B324">
        <v>2026</v>
      </c>
      <c r="C324" s="25">
        <v>45846</v>
      </c>
      <c r="D324" t="s">
        <v>207</v>
      </c>
      <c r="E324" t="s">
        <v>177</v>
      </c>
      <c r="G324">
        <v>2.75</v>
      </c>
      <c r="H324">
        <v>23782.87</v>
      </c>
      <c r="I324">
        <f>F324-G324</f>
        <v>-2.75</v>
      </c>
      <c r="J324" t="s">
        <v>9</v>
      </c>
      <c r="K324" s="1" t="s">
        <v>15</v>
      </c>
      <c r="L324" s="1">
        <f>IF(J324=K324,0,1)</f>
        <v>1</v>
      </c>
      <c r="M324" s="1">
        <v>-15.8</v>
      </c>
    </row>
    <row r="325" spans="1:13" ht="12.75">
      <c r="A325">
        <v>440</v>
      </c>
      <c r="B325">
        <v>2026</v>
      </c>
      <c r="C325" s="25">
        <v>45848</v>
      </c>
      <c r="D325" t="s">
        <v>207</v>
      </c>
      <c r="E325" t="s">
        <v>177</v>
      </c>
      <c r="G325">
        <v>6.1</v>
      </c>
      <c r="H325">
        <v>24507.79</v>
      </c>
      <c r="I325">
        <f>F325-G325</f>
        <v>-6.1</v>
      </c>
      <c r="J325" t="s">
        <v>9</v>
      </c>
      <c r="K325" s="1" t="s">
        <v>15</v>
      </c>
      <c r="L325" s="1">
        <f>IF(J325=K325,0,1)</f>
        <v>1</v>
      </c>
      <c r="M325" s="1">
        <v>-20</v>
      </c>
    </row>
    <row r="326" spans="1:13" ht="12.75">
      <c r="A326">
        <v>447</v>
      </c>
      <c r="B326">
        <v>2026</v>
      </c>
      <c r="C326" s="25">
        <v>45853</v>
      </c>
      <c r="D326" t="s">
        <v>187</v>
      </c>
      <c r="E326" t="s">
        <v>177</v>
      </c>
      <c r="G326">
        <v>9.9499999999999993</v>
      </c>
      <c r="H326">
        <v>22990.66</v>
      </c>
      <c r="I326">
        <f>F326-G326</f>
        <v>-9.9499999999999993</v>
      </c>
      <c r="J326" t="s">
        <v>9</v>
      </c>
      <c r="K326" s="1" t="s">
        <v>15</v>
      </c>
      <c r="L326" s="1">
        <f>IF(J326=K326,0,1)</f>
        <v>1</v>
      </c>
      <c r="M326" s="1">
        <v>-4.41</v>
      </c>
    </row>
    <row r="327" spans="1:13" ht="12.75" hidden="1">
      <c r="A327">
        <v>446</v>
      </c>
      <c r="B327">
        <v>2026</v>
      </c>
      <c r="C327" s="25">
        <v>45853</v>
      </c>
      <c r="D327" t="s">
        <v>201</v>
      </c>
      <c r="E327" t="s">
        <v>177</v>
      </c>
      <c r="G327">
        <v>49.57</v>
      </c>
      <c r="H327">
        <v>22941.09</v>
      </c>
      <c r="I327">
        <f>F327-G327</f>
        <v>-49.57</v>
      </c>
      <c r="J327" t="s">
        <v>18</v>
      </c>
      <c r="K327" s="1" t="s">
        <v>18</v>
      </c>
      <c r="L327" s="1">
        <f>IF(J327=K327,0,1)</f>
        <v>0</v>
      </c>
      <c r="M327" s="1">
        <v>-4.41</v>
      </c>
    </row>
    <row r="328" spans="1:13" ht="12.75">
      <c r="A328">
        <v>448</v>
      </c>
      <c r="B328">
        <v>2026</v>
      </c>
      <c r="C328" s="25">
        <v>45853</v>
      </c>
      <c r="D328" t="s">
        <v>207</v>
      </c>
      <c r="E328" t="s">
        <v>177</v>
      </c>
      <c r="G328">
        <v>6.1</v>
      </c>
      <c r="H328">
        <v>23000.61</v>
      </c>
      <c r="I328">
        <f>F328-G328</f>
        <v>-6.1</v>
      </c>
      <c r="J328" t="s">
        <v>9</v>
      </c>
      <c r="K328" s="1" t="s">
        <v>15</v>
      </c>
      <c r="L328" s="1">
        <f>IF(J328=K328,0,1)</f>
        <v>1</v>
      </c>
      <c r="M328" s="1">
        <v>-49.57</v>
      </c>
    </row>
    <row r="329" spans="1:13" ht="12.75">
      <c r="A329">
        <v>458</v>
      </c>
      <c r="B329">
        <v>2026</v>
      </c>
      <c r="C329" s="25">
        <v>45862</v>
      </c>
      <c r="D329" t="s">
        <v>207</v>
      </c>
      <c r="E329" t="s">
        <v>177</v>
      </c>
      <c r="G329">
        <v>6.1</v>
      </c>
      <c r="H329">
        <v>18962.68</v>
      </c>
      <c r="I329">
        <f>F329-G329</f>
        <v>-6.1</v>
      </c>
      <c r="J329" t="s">
        <v>9</v>
      </c>
      <c r="K329" s="1" t="s">
        <v>15</v>
      </c>
      <c r="L329" s="1">
        <f>IF(J329=K329,0,1)</f>
        <v>1</v>
      </c>
      <c r="M329" s="1">
        <v>-500</v>
      </c>
    </row>
    <row r="330" spans="1:13" ht="12.75">
      <c r="A330">
        <v>460</v>
      </c>
      <c r="B330">
        <v>2026</v>
      </c>
      <c r="C330" s="25">
        <v>45866</v>
      </c>
      <c r="D330" t="s">
        <v>187</v>
      </c>
      <c r="E330" t="s">
        <v>177</v>
      </c>
      <c r="G330">
        <v>3.5</v>
      </c>
      <c r="H330">
        <v>18935.13</v>
      </c>
      <c r="I330">
        <f>F330-G330</f>
        <v>-3.5</v>
      </c>
      <c r="J330" t="s">
        <v>9</v>
      </c>
      <c r="K330" s="1" t="s">
        <v>15</v>
      </c>
      <c r="L330" s="1">
        <f>IF(J330=K330,0,1)</f>
        <v>1</v>
      </c>
      <c r="M330" s="1">
        <v>350</v>
      </c>
    </row>
    <row r="331" spans="1:13" ht="12.75" hidden="1">
      <c r="A331">
        <v>450</v>
      </c>
      <c r="B331">
        <v>2026</v>
      </c>
      <c r="C331" s="25">
        <v>45856</v>
      </c>
      <c r="D331" t="s">
        <v>174</v>
      </c>
      <c r="E331" t="s">
        <v>44</v>
      </c>
      <c r="F331">
        <v>350</v>
      </c>
      <c r="H331">
        <v>22791.09</v>
      </c>
      <c r="I331">
        <f>F331-G331</f>
        <v>350</v>
      </c>
      <c r="J331" t="s">
        <v>14</v>
      </c>
      <c r="K331" s="1" t="s">
        <v>14</v>
      </c>
      <c r="L331" s="1">
        <f>IF(J331=K331,0,1)</f>
        <v>0</v>
      </c>
      <c r="M331" s="1">
        <v>-500</v>
      </c>
    </row>
    <row r="332" spans="1:13" ht="12.75">
      <c r="A332">
        <v>465</v>
      </c>
      <c r="B332">
        <v>2026</v>
      </c>
      <c r="C332" s="25">
        <v>45867</v>
      </c>
      <c r="D332" t="s">
        <v>207</v>
      </c>
      <c r="E332" t="s">
        <v>177</v>
      </c>
      <c r="G332">
        <v>6.1</v>
      </c>
      <c r="H332">
        <v>18907.419999999998</v>
      </c>
      <c r="I332">
        <f>F332-G332</f>
        <v>-6.1</v>
      </c>
      <c r="J332" t="s">
        <v>9</v>
      </c>
      <c r="K332" s="1" t="s">
        <v>15</v>
      </c>
      <c r="L332" s="1">
        <f>IF(J332=K332,0,1)</f>
        <v>1</v>
      </c>
      <c r="M332" s="1">
        <v>425</v>
      </c>
    </row>
    <row r="333" spans="1:13" ht="12.75">
      <c r="A333">
        <v>466</v>
      </c>
      <c r="B333">
        <v>2026</v>
      </c>
      <c r="C333" s="25">
        <v>45867</v>
      </c>
      <c r="D333" t="s">
        <v>207</v>
      </c>
      <c r="E333" t="s">
        <v>177</v>
      </c>
      <c r="G333">
        <v>6.1</v>
      </c>
      <c r="H333">
        <v>18913.52</v>
      </c>
      <c r="I333">
        <f>F333-G333</f>
        <v>-6.1</v>
      </c>
      <c r="J333" t="s">
        <v>9</v>
      </c>
      <c r="K333" s="1" t="s">
        <v>15</v>
      </c>
      <c r="L333" s="1">
        <f>IF(J333=K333,0,1)</f>
        <v>1</v>
      </c>
      <c r="M333" s="1">
        <v>-6.93</v>
      </c>
    </row>
    <row r="334" spans="1:13" ht="12.75">
      <c r="A334">
        <v>471</v>
      </c>
      <c r="B334">
        <v>2026</v>
      </c>
      <c r="C334" s="25">
        <v>45873</v>
      </c>
      <c r="D334" t="s">
        <v>187</v>
      </c>
      <c r="E334" t="s">
        <v>177</v>
      </c>
      <c r="G334">
        <v>3.5</v>
      </c>
      <c r="H334">
        <v>20339.900000000001</v>
      </c>
      <c r="I334">
        <f>F334-G334</f>
        <v>-3.5</v>
      </c>
      <c r="J334" t="s">
        <v>9</v>
      </c>
      <c r="K334" s="1" t="s">
        <v>15</v>
      </c>
      <c r="L334" s="1">
        <f>IF(J334=K334,0,1)</f>
        <v>1</v>
      </c>
      <c r="M334" s="1">
        <v>-6</v>
      </c>
    </row>
    <row r="335" spans="1:13" ht="12.75" hidden="1">
      <c r="A335">
        <v>454</v>
      </c>
      <c r="B335">
        <v>2026</v>
      </c>
      <c r="C335" s="25">
        <v>45861</v>
      </c>
      <c r="D335" t="s">
        <v>179</v>
      </c>
      <c r="E335" t="s">
        <v>177</v>
      </c>
      <c r="G335">
        <v>6</v>
      </c>
      <c r="H335">
        <v>22706.29</v>
      </c>
      <c r="I335">
        <f>F335-G335</f>
        <v>-6</v>
      </c>
      <c r="J335" t="s">
        <v>17</v>
      </c>
      <c r="K335" s="1" t="s">
        <v>17</v>
      </c>
      <c r="L335" s="1">
        <f>IF(J335=K335,0,1)</f>
        <v>0</v>
      </c>
      <c r="M335" s="1">
        <v>-1047.5</v>
      </c>
    </row>
    <row r="336" spans="1:13" ht="12.75">
      <c r="A336">
        <v>475</v>
      </c>
      <c r="B336">
        <v>2026</v>
      </c>
      <c r="C336" s="25">
        <v>45874</v>
      </c>
      <c r="D336" t="s">
        <v>216</v>
      </c>
      <c r="E336" t="s">
        <v>177</v>
      </c>
      <c r="G336">
        <v>3.3</v>
      </c>
      <c r="H336">
        <v>20334</v>
      </c>
      <c r="I336">
        <f>F336-G336</f>
        <v>-3.3</v>
      </c>
      <c r="J336" s="26" t="s">
        <v>17</v>
      </c>
      <c r="K336" s="1" t="s">
        <v>15</v>
      </c>
      <c r="L336" s="1">
        <f>IF(J336=K336,0,1)</f>
        <v>1</v>
      </c>
      <c r="M336" s="1">
        <v>-1690.01</v>
      </c>
    </row>
    <row r="337" spans="1:13" ht="12.75" hidden="1">
      <c r="A337">
        <v>456</v>
      </c>
      <c r="B337">
        <v>2026</v>
      </c>
      <c r="C337" s="25">
        <v>45861</v>
      </c>
      <c r="D337" t="s">
        <v>174</v>
      </c>
      <c r="E337" t="s">
        <v>44</v>
      </c>
      <c r="F337">
        <v>425</v>
      </c>
      <c r="H337">
        <v>22716.09</v>
      </c>
      <c r="I337">
        <f>F337-G337</f>
        <v>425</v>
      </c>
      <c r="J337" t="s">
        <v>14</v>
      </c>
      <c r="K337" s="1" t="s">
        <v>14</v>
      </c>
      <c r="L337" s="1">
        <f>IF(J337=K337,0,1)</f>
        <v>0</v>
      </c>
      <c r="M337" s="1">
        <v>-1000</v>
      </c>
    </row>
    <row r="338" spans="1:13" ht="12.75">
      <c r="A338">
        <v>478</v>
      </c>
      <c r="B338">
        <v>2026</v>
      </c>
      <c r="C338" s="25">
        <v>45875</v>
      </c>
      <c r="D338" t="s">
        <v>217</v>
      </c>
      <c r="E338" t="s">
        <v>177</v>
      </c>
      <c r="G338">
        <v>2</v>
      </c>
      <c r="H338">
        <v>20669.39</v>
      </c>
      <c r="I338">
        <f>F338-G338</f>
        <v>-2</v>
      </c>
      <c r="J338" s="26" t="s">
        <v>20</v>
      </c>
      <c r="K338" s="1" t="s">
        <v>15</v>
      </c>
      <c r="L338" s="1">
        <f>IF(J338=K338,0,1)</f>
        <v>1</v>
      </c>
      <c r="M338" s="1">
        <v>-6.21</v>
      </c>
    </row>
    <row r="339" spans="1:13" ht="12.75">
      <c r="A339">
        <v>490</v>
      </c>
      <c r="B339">
        <v>2026</v>
      </c>
      <c r="C339" s="25">
        <v>45881</v>
      </c>
      <c r="D339" t="s">
        <v>187</v>
      </c>
      <c r="E339" t="s">
        <v>177</v>
      </c>
      <c r="G339">
        <v>3.95</v>
      </c>
      <c r="H339">
        <v>22098.86</v>
      </c>
      <c r="I339">
        <f>F339-G339</f>
        <v>-3.95</v>
      </c>
      <c r="J339" t="s">
        <v>9</v>
      </c>
      <c r="K339" s="1" t="s">
        <v>15</v>
      </c>
      <c r="L339" s="1">
        <f>IF(J339=K339,0,1)</f>
        <v>1</v>
      </c>
      <c r="M339" s="1">
        <v>-24.05</v>
      </c>
    </row>
    <row r="340" spans="1:13" ht="12.75" hidden="1">
      <c r="A340">
        <v>459</v>
      </c>
      <c r="B340">
        <v>2026</v>
      </c>
      <c r="C340" s="25">
        <v>45866</v>
      </c>
      <c r="D340" t="s">
        <v>213</v>
      </c>
      <c r="G340">
        <v>12.9</v>
      </c>
      <c r="H340">
        <v>18922.23</v>
      </c>
      <c r="I340">
        <f>F340-G340</f>
        <v>-12.9</v>
      </c>
      <c r="J340" t="s">
        <v>4</v>
      </c>
      <c r="K340" s="1" t="s">
        <v>4</v>
      </c>
      <c r="L340" s="1">
        <f>IF(J340=K340,0,1)</f>
        <v>0</v>
      </c>
      <c r="M340" s="1">
        <v>-3.19</v>
      </c>
    </row>
    <row r="341" spans="1:13" ht="12.75">
      <c r="A341">
        <v>496</v>
      </c>
      <c r="B341">
        <v>2026</v>
      </c>
      <c r="C341" s="25">
        <v>45883</v>
      </c>
      <c r="D341" t="s">
        <v>196</v>
      </c>
      <c r="E341" t="s">
        <v>177</v>
      </c>
      <c r="G341">
        <v>0.8</v>
      </c>
      <c r="H341">
        <v>23249.88</v>
      </c>
      <c r="I341">
        <f>F341-G341</f>
        <v>-0.8</v>
      </c>
      <c r="J341" t="s">
        <v>24</v>
      </c>
      <c r="K341" s="1" t="s">
        <v>15</v>
      </c>
      <c r="L341" s="1">
        <f>IF(J341=K341,0,1)</f>
        <v>1</v>
      </c>
      <c r="M341" s="1">
        <v>-12.9</v>
      </c>
    </row>
    <row r="342" spans="1:13" ht="12.75" hidden="1">
      <c r="A342">
        <v>461</v>
      </c>
      <c r="B342">
        <v>2026</v>
      </c>
      <c r="C342" s="25">
        <v>45867</v>
      </c>
      <c r="D342" t="s">
        <v>214</v>
      </c>
      <c r="E342" t="s">
        <v>177</v>
      </c>
      <c r="G342">
        <v>35.119999999999997</v>
      </c>
      <c r="H342">
        <v>18822.5</v>
      </c>
      <c r="I342">
        <f>F342-G342</f>
        <v>-35.119999999999997</v>
      </c>
      <c r="J342" t="s">
        <v>18</v>
      </c>
      <c r="K342" s="1" t="s">
        <v>18</v>
      </c>
      <c r="L342" s="1">
        <f>IF(J342=K342,0,1)</f>
        <v>0</v>
      </c>
      <c r="M342" s="1">
        <v>-5.55</v>
      </c>
    </row>
    <row r="343" spans="1:13" ht="12.75">
      <c r="A343">
        <v>501</v>
      </c>
      <c r="B343">
        <v>2026</v>
      </c>
      <c r="C343" s="25">
        <v>45888</v>
      </c>
      <c r="D343" t="s">
        <v>187</v>
      </c>
      <c r="E343" t="s">
        <v>177</v>
      </c>
      <c r="G343">
        <v>3.95</v>
      </c>
      <c r="H343">
        <v>22996.59</v>
      </c>
      <c r="I343">
        <f>F343-G343</f>
        <v>-3.95</v>
      </c>
      <c r="J343" t="s">
        <v>9</v>
      </c>
      <c r="K343" s="1" t="s">
        <v>15</v>
      </c>
      <c r="L343" s="1">
        <f>IF(J343=K343,0,1)</f>
        <v>1</v>
      </c>
      <c r="M343" s="1">
        <v>-3.49</v>
      </c>
    </row>
    <row r="344" spans="1:13" ht="12.75">
      <c r="A344">
        <v>503</v>
      </c>
      <c r="B344">
        <v>2026</v>
      </c>
      <c r="C344" s="25">
        <v>45889</v>
      </c>
      <c r="D344" t="s">
        <v>222</v>
      </c>
      <c r="E344" t="s">
        <v>177</v>
      </c>
      <c r="G344">
        <v>5.3</v>
      </c>
      <c r="H344">
        <v>23766.35</v>
      </c>
      <c r="I344">
        <f>F344-G344</f>
        <v>-5.3</v>
      </c>
      <c r="J344" t="s">
        <v>9</v>
      </c>
      <c r="K344" s="1" t="s">
        <v>15</v>
      </c>
      <c r="L344" s="1">
        <f>IF(J344=K344,0,1)</f>
        <v>1</v>
      </c>
      <c r="M344" s="1">
        <v>-3.49</v>
      </c>
    </row>
    <row r="345" spans="1:13" ht="12.75" hidden="1">
      <c r="A345">
        <v>464</v>
      </c>
      <c r="B345">
        <v>2026</v>
      </c>
      <c r="C345" s="25">
        <v>45867</v>
      </c>
      <c r="D345" t="s">
        <v>178</v>
      </c>
      <c r="E345" t="s">
        <v>177</v>
      </c>
      <c r="G345">
        <v>11.95</v>
      </c>
      <c r="H345">
        <v>18895.47</v>
      </c>
      <c r="I345">
        <f>F345-G345</f>
        <v>-11.95</v>
      </c>
      <c r="J345" t="s">
        <v>17</v>
      </c>
      <c r="K345" s="1" t="s">
        <v>17</v>
      </c>
      <c r="L345" s="1">
        <f>IF(J345=K345,0,1)</f>
        <v>0</v>
      </c>
      <c r="M345" s="1">
        <v>-11.95</v>
      </c>
    </row>
    <row r="346" spans="1:13" ht="12.75">
      <c r="A346">
        <v>511</v>
      </c>
      <c r="B346">
        <v>2026</v>
      </c>
      <c r="C346" s="25">
        <v>45895</v>
      </c>
      <c r="D346" t="s">
        <v>187</v>
      </c>
      <c r="E346" t="s">
        <v>177</v>
      </c>
      <c r="G346">
        <v>3.5</v>
      </c>
      <c r="H346">
        <v>21794.67</v>
      </c>
      <c r="I346">
        <f>F346-G346</f>
        <v>-3.5</v>
      </c>
      <c r="J346" t="s">
        <v>9</v>
      </c>
      <c r="K346" s="1" t="s">
        <v>15</v>
      </c>
      <c r="L346" s="1">
        <f>IF(J346=K346,0,1)</f>
        <v>1</v>
      </c>
      <c r="M346" s="1">
        <v>-13.8</v>
      </c>
    </row>
    <row r="347" spans="1:13" ht="12.75">
      <c r="A347">
        <v>524</v>
      </c>
      <c r="B347">
        <v>2026</v>
      </c>
      <c r="C347" s="25">
        <v>45901</v>
      </c>
      <c r="D347" t="s">
        <v>187</v>
      </c>
      <c r="E347" t="s">
        <v>177</v>
      </c>
      <c r="G347">
        <v>3.5</v>
      </c>
      <c r="H347">
        <v>9265.1</v>
      </c>
      <c r="I347">
        <f>F347-G347</f>
        <v>-3.5</v>
      </c>
      <c r="J347" t="s">
        <v>9</v>
      </c>
      <c r="K347" s="1" t="s">
        <v>15</v>
      </c>
      <c r="L347" s="1">
        <f>IF(J347=K347,0,1)</f>
        <v>1</v>
      </c>
      <c r="M347" s="1">
        <v>-24.05</v>
      </c>
    </row>
    <row r="348" spans="1:13" ht="12.75" hidden="1">
      <c r="A348">
        <v>467</v>
      </c>
      <c r="B348">
        <v>2026</v>
      </c>
      <c r="C348" s="25">
        <v>45867</v>
      </c>
      <c r="D348" t="s">
        <v>180</v>
      </c>
      <c r="E348" t="s">
        <v>177</v>
      </c>
      <c r="G348">
        <v>2.61</v>
      </c>
      <c r="H348">
        <v>18919.62</v>
      </c>
      <c r="I348">
        <f>F348-G348</f>
        <v>-2.61</v>
      </c>
      <c r="J348" t="s">
        <v>15</v>
      </c>
      <c r="K348" s="1" t="s">
        <v>15</v>
      </c>
      <c r="L348" s="1">
        <f>IF(J348=K348,0,1)</f>
        <v>0</v>
      </c>
      <c r="M348" s="1">
        <v>-35.119999999999997</v>
      </c>
    </row>
    <row r="349" spans="1:13" ht="12.75" hidden="1">
      <c r="A349">
        <v>468</v>
      </c>
      <c r="B349">
        <v>2026</v>
      </c>
      <c r="C349" s="25">
        <v>45868</v>
      </c>
      <c r="D349" t="s">
        <v>192</v>
      </c>
      <c r="E349" t="s">
        <v>177</v>
      </c>
      <c r="G349">
        <v>4.0999999999999996</v>
      </c>
      <c r="H349">
        <v>19643.400000000001</v>
      </c>
      <c r="I349">
        <f>F349-G349</f>
        <v>-4.0999999999999996</v>
      </c>
      <c r="J349" t="s">
        <v>15</v>
      </c>
      <c r="K349" s="1" t="s">
        <v>15</v>
      </c>
      <c r="L349" s="1">
        <f>IF(J349=K349,0,1)</f>
        <v>0</v>
      </c>
      <c r="M349" s="1">
        <v>825</v>
      </c>
    </row>
    <row r="350" spans="1:13" ht="12.75" hidden="1">
      <c r="A350">
        <v>469</v>
      </c>
      <c r="B350">
        <v>2026</v>
      </c>
      <c r="C350" s="25">
        <v>45868</v>
      </c>
      <c r="D350" t="s">
        <v>174</v>
      </c>
      <c r="E350" t="s">
        <v>44</v>
      </c>
      <c r="F350">
        <v>825</v>
      </c>
      <c r="H350">
        <v>19647.5</v>
      </c>
      <c r="I350">
        <f>F350-G350</f>
        <v>825</v>
      </c>
      <c r="J350" t="s">
        <v>14</v>
      </c>
      <c r="K350" s="1" t="s">
        <v>14</v>
      </c>
      <c r="L350" s="1">
        <f>IF(J350=K350,0,1)</f>
        <v>0</v>
      </c>
      <c r="M350" s="1">
        <v>-4</v>
      </c>
    </row>
    <row r="351" spans="1:13" ht="12.75" hidden="1">
      <c r="A351">
        <v>470</v>
      </c>
      <c r="B351">
        <v>2026</v>
      </c>
      <c r="C351" s="25">
        <v>45870</v>
      </c>
      <c r="D351" t="s">
        <v>174</v>
      </c>
      <c r="E351" t="s">
        <v>44</v>
      </c>
      <c r="F351">
        <v>700</v>
      </c>
      <c r="H351">
        <v>20343.400000000001</v>
      </c>
      <c r="I351">
        <f>F351-G351</f>
        <v>700</v>
      </c>
      <c r="J351" t="s">
        <v>14</v>
      </c>
      <c r="K351" s="1" t="s">
        <v>14</v>
      </c>
      <c r="L351" s="1">
        <f>IF(J351=K351,0,1)</f>
        <v>0</v>
      </c>
      <c r="M351" s="1">
        <v>700</v>
      </c>
    </row>
    <row r="352" spans="1:13" ht="12.75">
      <c r="A352">
        <v>531</v>
      </c>
      <c r="B352">
        <v>2026</v>
      </c>
      <c r="C352" s="25">
        <v>45908</v>
      </c>
      <c r="D352" t="s">
        <v>187</v>
      </c>
      <c r="E352" t="s">
        <v>177</v>
      </c>
      <c r="G352">
        <v>3.5</v>
      </c>
      <c r="H352">
        <v>8972.2900000000009</v>
      </c>
      <c r="I352">
        <f>F352-G352</f>
        <v>-3.5</v>
      </c>
      <c r="J352" t="s">
        <v>9</v>
      </c>
      <c r="K352" s="1" t="s">
        <v>15</v>
      </c>
      <c r="L352" s="1">
        <f>IF(J352=K352,0,1)</f>
        <v>1</v>
      </c>
      <c r="M352" s="1">
        <v>-5.25</v>
      </c>
    </row>
    <row r="353" spans="1:13" ht="12.75">
      <c r="A353">
        <v>569</v>
      </c>
      <c r="B353">
        <v>2026</v>
      </c>
      <c r="C353" s="25">
        <v>45929</v>
      </c>
      <c r="D353" t="s">
        <v>187</v>
      </c>
      <c r="E353" t="s">
        <v>177</v>
      </c>
      <c r="G353">
        <v>6</v>
      </c>
      <c r="H353">
        <v>9020.1299999999992</v>
      </c>
      <c r="I353">
        <f>F353-G353</f>
        <v>-6</v>
      </c>
      <c r="J353" t="s">
        <v>9</v>
      </c>
      <c r="K353" s="1" t="s">
        <v>15</v>
      </c>
      <c r="L353" s="1">
        <f>IF(J353=K353,0,1)</f>
        <v>1</v>
      </c>
      <c r="M353" s="1">
        <v>-2.6</v>
      </c>
    </row>
    <row r="354" spans="1:13" ht="12.75" hidden="1">
      <c r="A354">
        <v>473</v>
      </c>
      <c r="B354">
        <v>2026</v>
      </c>
      <c r="C354" s="25">
        <v>45874</v>
      </c>
      <c r="D354" t="s">
        <v>178</v>
      </c>
      <c r="E354" t="s">
        <v>177</v>
      </c>
      <c r="G354">
        <v>11.95</v>
      </c>
      <c r="H354">
        <v>20316.95</v>
      </c>
      <c r="I354">
        <f>F354-G354</f>
        <v>-11.95</v>
      </c>
      <c r="J354" t="s">
        <v>17</v>
      </c>
      <c r="K354" s="1" t="s">
        <v>17</v>
      </c>
      <c r="L354" s="1">
        <f>IF(J354=K354,0,1)</f>
        <v>0</v>
      </c>
      <c r="M354" s="1">
        <v>-5.15</v>
      </c>
    </row>
    <row r="355" spans="1:13" ht="12.75" hidden="1">
      <c r="A355">
        <v>474</v>
      </c>
      <c r="B355">
        <v>2026</v>
      </c>
      <c r="C355" s="25">
        <v>45874</v>
      </c>
      <c r="D355" t="s">
        <v>215</v>
      </c>
      <c r="E355" t="s">
        <v>177</v>
      </c>
      <c r="G355">
        <v>5.0999999999999996</v>
      </c>
      <c r="H355">
        <v>20328.900000000001</v>
      </c>
      <c r="I355">
        <f>F355-G355</f>
        <v>-5.0999999999999996</v>
      </c>
      <c r="J355" t="s">
        <v>17</v>
      </c>
      <c r="K355" s="1" t="s">
        <v>17</v>
      </c>
      <c r="L355" s="1">
        <f>IF(J355=K355,0,1)</f>
        <v>0</v>
      </c>
      <c r="M355" s="1">
        <v>-5.0999999999999996</v>
      </c>
    </row>
    <row r="356" spans="1:13" ht="12.75">
      <c r="A356">
        <v>571</v>
      </c>
      <c r="B356">
        <v>2026</v>
      </c>
      <c r="C356" s="25">
        <v>45930</v>
      </c>
      <c r="D356" t="s">
        <v>187</v>
      </c>
      <c r="E356" t="s">
        <v>177</v>
      </c>
      <c r="G356">
        <v>3.95</v>
      </c>
      <c r="H356">
        <v>9016.18</v>
      </c>
      <c r="I356">
        <f>F356-G356</f>
        <v>-3.95</v>
      </c>
      <c r="J356" t="s">
        <v>9</v>
      </c>
      <c r="K356" s="1" t="s">
        <v>15</v>
      </c>
      <c r="L356" s="1">
        <f>IF(J356=K356,0,1)</f>
        <v>1</v>
      </c>
      <c r="M356" s="1">
        <v>-11.95</v>
      </c>
    </row>
    <row r="357" spans="1:13" ht="12.75" hidden="1">
      <c r="A357">
        <v>476</v>
      </c>
      <c r="B357">
        <v>2026</v>
      </c>
      <c r="C357" s="25">
        <v>45874</v>
      </c>
      <c r="D357" t="s">
        <v>215</v>
      </c>
      <c r="E357" t="s">
        <v>177</v>
      </c>
      <c r="G357">
        <v>2.6</v>
      </c>
      <c r="H357">
        <v>20337.3</v>
      </c>
      <c r="I357">
        <f>F357-G357</f>
        <v>-2.6</v>
      </c>
      <c r="J357" t="s">
        <v>17</v>
      </c>
      <c r="K357" s="1" t="s">
        <v>17</v>
      </c>
      <c r="L357" s="1">
        <f>IF(J357=K357,0,1)</f>
        <v>0</v>
      </c>
      <c r="M357" s="1">
        <v>-40.71</v>
      </c>
    </row>
    <row r="358" spans="1:13" ht="12.75">
      <c r="A358">
        <v>599</v>
      </c>
      <c r="B358">
        <v>2026</v>
      </c>
      <c r="C358" s="25">
        <v>45971</v>
      </c>
      <c r="D358" t="s">
        <v>187</v>
      </c>
      <c r="E358" t="s">
        <v>177</v>
      </c>
      <c r="G358">
        <v>3.95</v>
      </c>
      <c r="H358">
        <v>6869.61</v>
      </c>
      <c r="I358">
        <f>F358-G358</f>
        <v>-3.95</v>
      </c>
      <c r="J358" t="s">
        <v>9</v>
      </c>
      <c r="K358" s="1" t="s">
        <v>15</v>
      </c>
      <c r="L358" s="1">
        <f>IF(J358=K358,0,1)</f>
        <v>1</v>
      </c>
      <c r="M358" s="1">
        <v>400</v>
      </c>
    </row>
    <row r="359" spans="1:13" ht="12.75">
      <c r="A359">
        <v>608</v>
      </c>
      <c r="B359">
        <v>2026</v>
      </c>
      <c r="C359" s="25">
        <v>45978</v>
      </c>
      <c r="D359" t="s">
        <v>187</v>
      </c>
      <c r="E359" t="s">
        <v>177</v>
      </c>
      <c r="G359">
        <v>3.95</v>
      </c>
      <c r="H359">
        <v>8500.08</v>
      </c>
      <c r="I359">
        <f>F359-G359</f>
        <v>-3.95</v>
      </c>
      <c r="J359" t="s">
        <v>9</v>
      </c>
      <c r="K359" s="1" t="s">
        <v>15</v>
      </c>
      <c r="L359" s="1">
        <f>IF(J359=K359,0,1)</f>
        <v>1</v>
      </c>
      <c r="M359" s="1">
        <v>-10.039999999999999</v>
      </c>
    </row>
    <row r="360" spans="1:13" ht="12.75">
      <c r="A360">
        <v>622</v>
      </c>
      <c r="B360">
        <v>2026</v>
      </c>
      <c r="C360" s="25">
        <v>45985</v>
      </c>
      <c r="D360" t="s">
        <v>187</v>
      </c>
      <c r="E360" t="s">
        <v>177</v>
      </c>
      <c r="G360">
        <v>3.95</v>
      </c>
      <c r="H360">
        <v>9350.7800000000007</v>
      </c>
      <c r="I360">
        <f>F360-G360</f>
        <v>-3.95</v>
      </c>
      <c r="J360" t="s">
        <v>9</v>
      </c>
      <c r="K360" s="1" t="s">
        <v>15</v>
      </c>
      <c r="L360" s="1">
        <f>IF(J360=K360,0,1)</f>
        <v>1</v>
      </c>
      <c r="M360" s="1">
        <v>-5.15</v>
      </c>
    </row>
    <row r="361" spans="1:13" ht="12.75" hidden="1">
      <c r="A361">
        <v>480</v>
      </c>
      <c r="B361">
        <v>2026</v>
      </c>
      <c r="C361" s="25">
        <v>45875</v>
      </c>
      <c r="D361" t="s">
        <v>174</v>
      </c>
      <c r="E361" t="s">
        <v>44</v>
      </c>
      <c r="F361">
        <v>400</v>
      </c>
      <c r="H361">
        <v>20676.240000000002</v>
      </c>
      <c r="I361">
        <f>F361-G361</f>
        <v>400</v>
      </c>
      <c r="J361" t="s">
        <v>14</v>
      </c>
      <c r="K361" s="1" t="s">
        <v>14</v>
      </c>
      <c r="L361" s="1">
        <f>IF(J361=K361,0,1)</f>
        <v>0</v>
      </c>
      <c r="M361" s="1">
        <v>-7.5</v>
      </c>
    </row>
    <row r="362" spans="1:13" ht="12.75">
      <c r="A362">
        <v>631</v>
      </c>
      <c r="B362">
        <v>2026</v>
      </c>
      <c r="C362" s="25">
        <v>45992</v>
      </c>
      <c r="D362" t="s">
        <v>187</v>
      </c>
      <c r="E362" t="s">
        <v>177</v>
      </c>
      <c r="G362">
        <v>3.9</v>
      </c>
      <c r="H362">
        <v>8700.69</v>
      </c>
      <c r="I362">
        <f>F362-G362</f>
        <v>-3.9</v>
      </c>
      <c r="J362" t="s">
        <v>9</v>
      </c>
      <c r="K362" s="1" t="s">
        <v>15</v>
      </c>
      <c r="L362" s="1">
        <f>IF(J362=K362,0,1)</f>
        <v>1</v>
      </c>
      <c r="M362" s="1">
        <v>400</v>
      </c>
    </row>
    <row r="363" spans="1:13" ht="12.75" hidden="1">
      <c r="A363">
        <v>482</v>
      </c>
      <c r="B363">
        <v>2026</v>
      </c>
      <c r="C363" s="25">
        <v>45877</v>
      </c>
      <c r="D363" t="s">
        <v>174</v>
      </c>
      <c r="E363" t="s">
        <v>44</v>
      </c>
      <c r="F363">
        <v>400</v>
      </c>
      <c r="H363">
        <v>21061.89</v>
      </c>
      <c r="I363">
        <f>F363-G363</f>
        <v>400</v>
      </c>
      <c r="J363" t="s">
        <v>14</v>
      </c>
      <c r="K363" s="1" t="s">
        <v>14</v>
      </c>
      <c r="L363" s="1">
        <f>IF(J363=K363,0,1)</f>
        <v>0</v>
      </c>
      <c r="M363" s="1">
        <v>-400</v>
      </c>
    </row>
    <row r="364" spans="1:13" ht="12.75">
      <c r="A364">
        <v>645</v>
      </c>
      <c r="B364">
        <v>2026</v>
      </c>
      <c r="C364" s="25">
        <v>46003</v>
      </c>
      <c r="D364" t="s">
        <v>242</v>
      </c>
      <c r="E364" t="s">
        <v>177</v>
      </c>
      <c r="G364">
        <v>1.55</v>
      </c>
      <c r="H364">
        <v>10049.73</v>
      </c>
      <c r="I364">
        <f>F364-G364</f>
        <v>-1.55</v>
      </c>
      <c r="J364" s="26" t="s">
        <v>24</v>
      </c>
      <c r="K364" s="1" t="s">
        <v>15</v>
      </c>
      <c r="L364" s="1">
        <f>IF(J364=K364,0,1)</f>
        <v>1</v>
      </c>
      <c r="M364" s="1">
        <v>-34.08</v>
      </c>
    </row>
    <row r="365" spans="1:13" ht="12.75">
      <c r="A365">
        <v>649</v>
      </c>
      <c r="B365">
        <v>2026</v>
      </c>
      <c r="C365" s="25">
        <v>46007</v>
      </c>
      <c r="D365" t="s">
        <v>243</v>
      </c>
      <c r="E365" t="s">
        <v>177</v>
      </c>
      <c r="G365">
        <v>1.45</v>
      </c>
      <c r="H365">
        <v>10031.89</v>
      </c>
      <c r="I365">
        <f>F365-G365</f>
        <v>-1.45</v>
      </c>
      <c r="J365" s="26" t="s">
        <v>18</v>
      </c>
      <c r="K365" s="1" t="s">
        <v>15</v>
      </c>
      <c r="L365" s="1">
        <f>IF(J365=K365,0,1)</f>
        <v>1</v>
      </c>
      <c r="M365" s="1">
        <v>1475</v>
      </c>
    </row>
    <row r="366" spans="1:13" ht="12.75">
      <c r="A366">
        <v>654</v>
      </c>
      <c r="B366">
        <v>2026</v>
      </c>
      <c r="C366" s="25">
        <v>46014</v>
      </c>
      <c r="D366" t="s">
        <v>187</v>
      </c>
      <c r="E366" t="s">
        <v>177</v>
      </c>
      <c r="G366">
        <v>3.95</v>
      </c>
      <c r="H366">
        <v>9938.68</v>
      </c>
      <c r="I366">
        <f>F366-G366</f>
        <v>-3.95</v>
      </c>
      <c r="J366" t="s">
        <v>9</v>
      </c>
      <c r="K366" s="1" t="s">
        <v>15</v>
      </c>
      <c r="L366" s="1">
        <f>IF(J366=K366,0,1)</f>
        <v>1</v>
      </c>
      <c r="M366" s="1">
        <v>-5.15</v>
      </c>
    </row>
    <row r="367" spans="1:13" ht="12.75">
      <c r="A367">
        <v>664</v>
      </c>
      <c r="B367">
        <v>2026</v>
      </c>
      <c r="C367" s="25">
        <v>46020</v>
      </c>
      <c r="D367" t="s">
        <v>187</v>
      </c>
      <c r="E367" t="s">
        <v>177</v>
      </c>
      <c r="G367">
        <v>3.95</v>
      </c>
      <c r="H367">
        <v>11094.4</v>
      </c>
      <c r="I367">
        <f>F367-G367</f>
        <v>-3.95</v>
      </c>
      <c r="J367" t="s">
        <v>9</v>
      </c>
      <c r="K367" s="1" t="s">
        <v>15</v>
      </c>
      <c r="L367" s="1">
        <f>IF(J367=K367,0,1)</f>
        <v>1</v>
      </c>
      <c r="M367" s="1">
        <v>-5.9</v>
      </c>
    </row>
    <row r="368" spans="1:13" ht="12.75">
      <c r="A368">
        <v>665</v>
      </c>
      <c r="B368">
        <v>2026</v>
      </c>
      <c r="C368" s="25">
        <v>46020</v>
      </c>
      <c r="D368" t="s">
        <v>246</v>
      </c>
      <c r="E368" t="s">
        <v>177</v>
      </c>
      <c r="G368">
        <v>1.64</v>
      </c>
      <c r="H368">
        <v>11098.35</v>
      </c>
      <c r="I368">
        <f>F368-G368</f>
        <v>-1.64</v>
      </c>
      <c r="J368" s="26" t="s">
        <v>24</v>
      </c>
      <c r="K368" s="1" t="s">
        <v>15</v>
      </c>
      <c r="L368" s="1">
        <f>IF(J368=K368,0,1)</f>
        <v>1</v>
      </c>
      <c r="M368" s="1">
        <v>-12.59</v>
      </c>
    </row>
    <row r="369" spans="1:13" ht="12.75">
      <c r="A369">
        <v>676</v>
      </c>
      <c r="B369">
        <v>2026</v>
      </c>
      <c r="C369" s="25">
        <v>46034</v>
      </c>
      <c r="D369" t="s">
        <v>187</v>
      </c>
      <c r="E369" t="s">
        <v>177</v>
      </c>
      <c r="G369">
        <v>3.95</v>
      </c>
      <c r="H369">
        <v>14149.94</v>
      </c>
      <c r="I369">
        <f>F369-G369</f>
        <v>-3.95</v>
      </c>
      <c r="J369" s="26" t="s">
        <v>9</v>
      </c>
      <c r="K369" s="1" t="s">
        <v>15</v>
      </c>
      <c r="L369" s="1">
        <f>IF(J369=K369,0,1)</f>
        <v>1</v>
      </c>
      <c r="M369" s="1">
        <v>-13.8</v>
      </c>
    </row>
    <row r="370" spans="1:13" ht="12.75" hidden="1">
      <c r="A370">
        <v>489</v>
      </c>
      <c r="B370">
        <v>2026</v>
      </c>
      <c r="C370" s="25">
        <v>45881</v>
      </c>
      <c r="D370" t="s">
        <v>219</v>
      </c>
      <c r="E370" t="s">
        <v>177</v>
      </c>
      <c r="G370">
        <v>5.9</v>
      </c>
      <c r="H370">
        <v>22092.959999999999</v>
      </c>
      <c r="I370">
        <f>F370-G370</f>
        <v>-5.9</v>
      </c>
      <c r="J370" t="s">
        <v>17</v>
      </c>
      <c r="K370" s="1" t="s">
        <v>17</v>
      </c>
      <c r="L370" s="1">
        <f>IF(J370=K370,0,1)</f>
        <v>0</v>
      </c>
      <c r="M370" s="1">
        <v>-15.96</v>
      </c>
    </row>
    <row r="371" spans="1:13" ht="12.75">
      <c r="A371">
        <v>680</v>
      </c>
      <c r="B371">
        <v>2026</v>
      </c>
      <c r="C371" s="25">
        <v>46035</v>
      </c>
      <c r="D371" t="s">
        <v>246</v>
      </c>
      <c r="E371" t="s">
        <v>177</v>
      </c>
      <c r="G371">
        <v>1.54</v>
      </c>
      <c r="H371">
        <v>14108.29</v>
      </c>
      <c r="I371">
        <f>F371-G371</f>
        <v>-1.54</v>
      </c>
      <c r="J371" s="26" t="s">
        <v>8</v>
      </c>
      <c r="K371" s="1" t="s">
        <v>15</v>
      </c>
      <c r="L371" s="1">
        <f>IF(J371=K371,0,1)</f>
        <v>1</v>
      </c>
      <c r="M371" s="1">
        <v>-43.93</v>
      </c>
    </row>
    <row r="372" spans="1:13" ht="12.75" hidden="1">
      <c r="A372">
        <v>491</v>
      </c>
      <c r="B372">
        <v>2026</v>
      </c>
      <c r="C372" s="25">
        <v>45882</v>
      </c>
      <c r="D372" t="s">
        <v>179</v>
      </c>
      <c r="E372" t="s">
        <v>177</v>
      </c>
      <c r="G372">
        <v>6</v>
      </c>
      <c r="H372">
        <v>23250.68</v>
      </c>
      <c r="I372">
        <f>F372-G372</f>
        <v>-6</v>
      </c>
      <c r="J372" t="s">
        <v>17</v>
      </c>
      <c r="K372" s="1" t="s">
        <v>17</v>
      </c>
      <c r="L372" s="1">
        <f>IF(J372=K372,0,1)</f>
        <v>0</v>
      </c>
      <c r="M372" s="1">
        <v>1250</v>
      </c>
    </row>
    <row r="373" spans="1:13" ht="12.75" hidden="1">
      <c r="A373">
        <v>492</v>
      </c>
      <c r="B373">
        <v>2026</v>
      </c>
      <c r="C373" s="25">
        <v>45882</v>
      </c>
      <c r="D373" t="s">
        <v>174</v>
      </c>
      <c r="E373" t="s">
        <v>44</v>
      </c>
      <c r="F373">
        <v>1250</v>
      </c>
      <c r="H373">
        <v>23256.68</v>
      </c>
      <c r="I373">
        <f>F373-G373</f>
        <v>1250</v>
      </c>
      <c r="J373" t="s">
        <v>14</v>
      </c>
      <c r="K373" s="1" t="s">
        <v>14</v>
      </c>
      <c r="L373" s="1">
        <f>IF(J373=K373,0,1)</f>
        <v>0</v>
      </c>
      <c r="M373" s="1">
        <v>-6</v>
      </c>
    </row>
    <row r="374" spans="1:13" ht="12.75">
      <c r="A374">
        <v>686</v>
      </c>
      <c r="B374">
        <v>2026</v>
      </c>
      <c r="C374" s="25">
        <v>46042</v>
      </c>
      <c r="D374" t="s">
        <v>249</v>
      </c>
      <c r="E374" t="s">
        <v>177</v>
      </c>
      <c r="G374">
        <v>10.8</v>
      </c>
      <c r="H374">
        <v>14940.41</v>
      </c>
      <c r="I374">
        <f>F374-G374</f>
        <v>-10.8</v>
      </c>
      <c r="J374" s="26" t="s">
        <v>23</v>
      </c>
      <c r="K374" s="1" t="s">
        <v>15</v>
      </c>
      <c r="L374" s="1">
        <f>IF(J374=K374,0,1)</f>
        <v>1</v>
      </c>
      <c r="M374" s="1">
        <v>-0.8</v>
      </c>
    </row>
    <row r="375" spans="1:13" ht="12.75">
      <c r="A375">
        <v>687</v>
      </c>
      <c r="B375">
        <v>2026</v>
      </c>
      <c r="C375" s="25">
        <v>46042</v>
      </c>
      <c r="D375" t="s">
        <v>187</v>
      </c>
      <c r="E375" t="s">
        <v>177</v>
      </c>
      <c r="G375">
        <v>3.95</v>
      </c>
      <c r="H375">
        <v>14951.21</v>
      </c>
      <c r="I375">
        <f>F375-G375</f>
        <v>-3.95</v>
      </c>
      <c r="J375" t="s">
        <v>9</v>
      </c>
      <c r="K375" s="1" t="s">
        <v>15</v>
      </c>
      <c r="L375" s="1">
        <f>IF(J375=K375,0,1)</f>
        <v>1</v>
      </c>
      <c r="M375" s="1">
        <v>-26.09</v>
      </c>
    </row>
    <row r="376" spans="1:13" ht="12.75">
      <c r="A376">
        <v>691</v>
      </c>
      <c r="B376">
        <v>2026</v>
      </c>
      <c r="C376" s="25">
        <v>46048</v>
      </c>
      <c r="D376" t="s">
        <v>187</v>
      </c>
      <c r="E376" t="s">
        <v>177</v>
      </c>
      <c r="G376">
        <v>7.5</v>
      </c>
      <c r="H376">
        <v>15526.87</v>
      </c>
      <c r="I376">
        <f>F376-G376</f>
        <v>-7.5</v>
      </c>
      <c r="J376" t="s">
        <v>9</v>
      </c>
      <c r="K376" s="1" t="s">
        <v>15</v>
      </c>
      <c r="L376" s="1">
        <f>IF(J376=K376,0,1)</f>
        <v>1</v>
      </c>
      <c r="M376" s="1">
        <v>-26.25</v>
      </c>
    </row>
    <row r="377" spans="1:13" ht="12.75">
      <c r="A377">
        <v>706</v>
      </c>
      <c r="B377">
        <v>2026</v>
      </c>
      <c r="C377" s="25">
        <v>46056</v>
      </c>
      <c r="D377" t="s">
        <v>187</v>
      </c>
      <c r="E377" t="s">
        <v>177</v>
      </c>
      <c r="G377">
        <v>3.95</v>
      </c>
      <c r="H377">
        <v>8440.5499999999993</v>
      </c>
      <c r="I377">
        <f>F377-G377</f>
        <v>-3.95</v>
      </c>
      <c r="J377" t="s">
        <v>9</v>
      </c>
      <c r="K377" s="1" t="s">
        <v>15</v>
      </c>
      <c r="L377" s="1">
        <f>IF(J377=K377,0,1)</f>
        <v>1</v>
      </c>
      <c r="M377" s="1">
        <v>-197</v>
      </c>
    </row>
    <row r="378" spans="1:13" ht="12.75">
      <c r="A378">
        <v>711</v>
      </c>
      <c r="B378">
        <v>2026</v>
      </c>
      <c r="C378" s="25">
        <v>46063</v>
      </c>
      <c r="D378" t="s">
        <v>187</v>
      </c>
      <c r="E378" t="s">
        <v>177</v>
      </c>
      <c r="G378">
        <v>3.95</v>
      </c>
      <c r="H378">
        <v>10092.14</v>
      </c>
      <c r="I378">
        <f>F378-G378</f>
        <v>-3.95</v>
      </c>
      <c r="J378" t="s">
        <v>9</v>
      </c>
      <c r="K378" s="1" t="s">
        <v>15</v>
      </c>
      <c r="L378" s="1">
        <f>IF(J378=K378,0,1)</f>
        <v>1</v>
      </c>
      <c r="M378" s="1">
        <v>350</v>
      </c>
    </row>
    <row r="379" spans="1:13" ht="12.75" hidden="1">
      <c r="A379">
        <v>498</v>
      </c>
      <c r="B379">
        <v>2026</v>
      </c>
      <c r="C379" s="25">
        <v>45884</v>
      </c>
      <c r="D379" t="s">
        <v>174</v>
      </c>
      <c r="E379" t="s">
        <v>44</v>
      </c>
      <c r="F379">
        <v>350</v>
      </c>
      <c r="H379">
        <v>23350.54</v>
      </c>
      <c r="I379">
        <f>F379-G379</f>
        <v>350</v>
      </c>
      <c r="J379" t="s">
        <v>14</v>
      </c>
      <c r="K379" s="1" t="s">
        <v>14</v>
      </c>
      <c r="L379" s="1">
        <f>IF(J379=K379,0,1)</f>
        <v>0</v>
      </c>
      <c r="M379" s="1">
        <v>-350</v>
      </c>
    </row>
    <row r="380" spans="1:13" ht="12.75">
      <c r="A380">
        <v>716</v>
      </c>
      <c r="B380">
        <v>2026</v>
      </c>
      <c r="C380" s="25">
        <v>46070</v>
      </c>
      <c r="D380" t="s">
        <v>249</v>
      </c>
      <c r="E380" t="s">
        <v>177</v>
      </c>
      <c r="G380">
        <v>11.65</v>
      </c>
      <c r="H380">
        <v>10979.29</v>
      </c>
      <c r="I380">
        <f>F380-G380</f>
        <v>-11.65</v>
      </c>
      <c r="J380" s="26" t="s">
        <v>23</v>
      </c>
      <c r="K380" s="1" t="s">
        <v>15</v>
      </c>
      <c r="L380" s="1">
        <f>IF(J380=K380,0,1)</f>
        <v>1</v>
      </c>
      <c r="M380" s="1">
        <v>-5.15</v>
      </c>
    </row>
    <row r="381" spans="1:13" ht="12.75">
      <c r="A381">
        <v>746</v>
      </c>
      <c r="B381">
        <v>2026</v>
      </c>
      <c r="C381" s="25">
        <v>46097</v>
      </c>
      <c r="D381" t="s">
        <v>187</v>
      </c>
      <c r="E381" t="s">
        <v>177</v>
      </c>
      <c r="G381">
        <v>3.65</v>
      </c>
      <c r="H381">
        <v>18921.740000000002</v>
      </c>
      <c r="I381">
        <f>F381-G381</f>
        <v>-3.65</v>
      </c>
      <c r="J381" t="s">
        <v>9</v>
      </c>
      <c r="K381" s="1" t="s">
        <v>15</v>
      </c>
      <c r="L381" s="1">
        <f>IF(J381=K381,0,1)</f>
        <v>1</v>
      </c>
      <c r="M381" s="1">
        <v>-14</v>
      </c>
    </row>
    <row r="382" spans="1:13" ht="12.75">
      <c r="A382">
        <v>765</v>
      </c>
      <c r="B382">
        <v>2026</v>
      </c>
      <c r="C382" s="25">
        <v>46108</v>
      </c>
      <c r="D382" t="s">
        <v>249</v>
      </c>
      <c r="E382" t="s">
        <v>177</v>
      </c>
      <c r="G382">
        <v>10.8</v>
      </c>
      <c r="H382">
        <v>21259.24</v>
      </c>
      <c r="I382">
        <f>F382-G382</f>
        <v>-10.8</v>
      </c>
      <c r="J382" s="26" t="s">
        <v>23</v>
      </c>
      <c r="K382" s="1" t="s">
        <v>15</v>
      </c>
      <c r="L382" s="1">
        <f>IF(J382=K382,0,1)</f>
        <v>1</v>
      </c>
      <c r="M382" s="1">
        <v>-31.94</v>
      </c>
    </row>
    <row r="383" spans="1:13" ht="12.75" hidden="1">
      <c r="A383">
        <v>502</v>
      </c>
      <c r="B383">
        <v>2026</v>
      </c>
      <c r="C383" s="25">
        <v>45889</v>
      </c>
      <c r="D383" t="s">
        <v>179</v>
      </c>
      <c r="E383" t="s">
        <v>177</v>
      </c>
      <c r="G383">
        <v>6.99</v>
      </c>
      <c r="H383">
        <v>23759.360000000001</v>
      </c>
      <c r="I383">
        <f>F383-G383</f>
        <v>-6.99</v>
      </c>
      <c r="J383" t="s">
        <v>17</v>
      </c>
      <c r="K383" s="1" t="s">
        <v>17</v>
      </c>
      <c r="L383" s="1">
        <f>IF(J383=K383,0,1)</f>
        <v>0</v>
      </c>
      <c r="M383" s="1">
        <v>821</v>
      </c>
    </row>
    <row r="384" spans="1:13" ht="12.75">
      <c r="A384">
        <v>769</v>
      </c>
      <c r="B384">
        <v>2026</v>
      </c>
      <c r="C384" s="25">
        <v>46112</v>
      </c>
      <c r="D384" t="s">
        <v>187</v>
      </c>
      <c r="E384" t="s">
        <v>177</v>
      </c>
      <c r="G384">
        <v>3.95</v>
      </c>
      <c r="H384">
        <v>16651.89</v>
      </c>
      <c r="I384">
        <f>F384-G384</f>
        <v>-3.95</v>
      </c>
      <c r="J384" s="26" t="s">
        <v>9</v>
      </c>
      <c r="K384" s="1" t="s">
        <v>15</v>
      </c>
      <c r="L384" s="1">
        <f>IF(J384=K384,0,1)</f>
        <v>1</v>
      </c>
      <c r="M384" s="1">
        <v>-3.8</v>
      </c>
    </row>
    <row r="385" spans="1:13" ht="12.75" hidden="1">
      <c r="A385">
        <v>504</v>
      </c>
      <c r="B385">
        <v>2026</v>
      </c>
      <c r="C385" s="25">
        <v>45889</v>
      </c>
      <c r="D385" t="s">
        <v>174</v>
      </c>
      <c r="E385" t="s">
        <v>44</v>
      </c>
      <c r="F385">
        <v>821</v>
      </c>
      <c r="H385">
        <v>23771.65</v>
      </c>
      <c r="I385">
        <f>F385-G385</f>
        <v>821</v>
      </c>
      <c r="J385" t="s">
        <v>14</v>
      </c>
      <c r="K385" s="1" t="s">
        <v>14</v>
      </c>
      <c r="L385" s="1">
        <f>IF(J385=K385,0,1)</f>
        <v>0</v>
      </c>
      <c r="M385" s="1">
        <v>-6.99</v>
      </c>
    </row>
    <row r="386" spans="1:13" ht="12.75">
      <c r="A386">
        <v>380</v>
      </c>
      <c r="B386">
        <v>2026</v>
      </c>
      <c r="C386" s="25">
        <v>45826</v>
      </c>
      <c r="D386" t="s">
        <v>179</v>
      </c>
      <c r="E386" t="s">
        <v>177</v>
      </c>
      <c r="G386">
        <v>6</v>
      </c>
      <c r="H386">
        <v>24992.17</v>
      </c>
      <c r="I386">
        <f>F386-G386</f>
        <v>-6</v>
      </c>
      <c r="J386" s="26" t="s">
        <v>15</v>
      </c>
      <c r="K386" s="1" t="s">
        <v>17</v>
      </c>
      <c r="L386" s="1">
        <f>IF(J386=K386,0,1)</f>
        <v>1</v>
      </c>
      <c r="M386" s="1">
        <v>-140</v>
      </c>
    </row>
    <row r="387" spans="1:13" ht="12.75">
      <c r="A387">
        <v>477</v>
      </c>
      <c r="B387">
        <v>2026</v>
      </c>
      <c r="C387" s="25">
        <v>45875</v>
      </c>
      <c r="D387" t="s">
        <v>179</v>
      </c>
      <c r="E387" t="s">
        <v>177</v>
      </c>
      <c r="G387">
        <v>7.5</v>
      </c>
      <c r="H387">
        <v>20661.89</v>
      </c>
      <c r="I387">
        <f>F387-G387</f>
        <v>-7.5</v>
      </c>
      <c r="J387" s="26" t="s">
        <v>9</v>
      </c>
      <c r="K387" s="1" t="s">
        <v>17</v>
      </c>
      <c r="L387" s="1">
        <f>IF(J387=K387,0,1)</f>
        <v>1</v>
      </c>
      <c r="M387" s="1">
        <v>1550</v>
      </c>
    </row>
    <row r="388" spans="1:13" ht="12.75">
      <c r="A388">
        <v>544</v>
      </c>
      <c r="B388">
        <v>2026</v>
      </c>
      <c r="C388" s="25">
        <v>45916</v>
      </c>
      <c r="D388" t="s">
        <v>229</v>
      </c>
      <c r="E388" t="s">
        <v>177</v>
      </c>
      <c r="G388">
        <v>8</v>
      </c>
      <c r="H388">
        <v>9268.34</v>
      </c>
      <c r="I388">
        <f>F388-G388</f>
        <v>-8</v>
      </c>
      <c r="J388" s="26" t="s">
        <v>24</v>
      </c>
      <c r="K388" s="1" t="s">
        <v>17</v>
      </c>
      <c r="L388" s="1">
        <f>IF(J388=K388,0,1)</f>
        <v>1</v>
      </c>
      <c r="M388" s="1">
        <v>-1047.5</v>
      </c>
    </row>
    <row r="389" spans="1:13" ht="12.75">
      <c r="A389">
        <v>326</v>
      </c>
      <c r="B389">
        <v>2026</v>
      </c>
      <c r="C389" s="25">
        <v>45799</v>
      </c>
      <c r="D389" t="s">
        <v>181</v>
      </c>
      <c r="E389" t="s">
        <v>177</v>
      </c>
      <c r="G389">
        <v>23.95</v>
      </c>
      <c r="H389">
        <v>22634.639999999999</v>
      </c>
      <c r="I389">
        <f>F389-G389</f>
        <v>-23.95</v>
      </c>
      <c r="J389" t="s">
        <v>17</v>
      </c>
      <c r="K389" s="1" t="s">
        <v>260</v>
      </c>
      <c r="L389" s="1">
        <f>IF(J389=K389,0,1)</f>
        <v>1</v>
      </c>
      <c r="M389" s="1">
        <v>-1047.5</v>
      </c>
    </row>
    <row r="390" spans="1:13" ht="12.75" hidden="1">
      <c r="A390">
        <v>509</v>
      </c>
      <c r="B390">
        <v>2026</v>
      </c>
      <c r="C390" s="25">
        <v>45891</v>
      </c>
      <c r="D390" t="s">
        <v>208</v>
      </c>
      <c r="E390" t="s">
        <v>108</v>
      </c>
      <c r="F390">
        <v>1550</v>
      </c>
      <c r="H390">
        <v>25169.360000000001</v>
      </c>
      <c r="I390">
        <f>F390-G390</f>
        <v>1550</v>
      </c>
      <c r="J390" t="s">
        <v>14</v>
      </c>
      <c r="K390" s="1" t="s">
        <v>14</v>
      </c>
      <c r="L390" s="1">
        <f>IF(J390=K390,0,1)</f>
        <v>0</v>
      </c>
      <c r="M390" s="1">
        <v>-1200</v>
      </c>
    </row>
    <row r="391" spans="1:13" ht="12.75">
      <c r="A391">
        <v>339</v>
      </c>
      <c r="B391">
        <v>2026</v>
      </c>
      <c r="C391" s="25">
        <v>45806</v>
      </c>
      <c r="D391" t="s">
        <v>181</v>
      </c>
      <c r="E391" t="s">
        <v>177</v>
      </c>
      <c r="G391">
        <v>23.95</v>
      </c>
      <c r="H391">
        <v>20112.79</v>
      </c>
      <c r="I391">
        <f>F391-G391</f>
        <v>-23.95</v>
      </c>
      <c r="J391" t="s">
        <v>17</v>
      </c>
      <c r="K391" s="1" t="s">
        <v>260</v>
      </c>
      <c r="L391" s="1">
        <f>IF(J391=K391,0,1)</f>
        <v>1</v>
      </c>
      <c r="M391" s="1">
        <v>-4.8499999999999996</v>
      </c>
    </row>
    <row r="392" spans="1:13" ht="12.75">
      <c r="A392">
        <v>353</v>
      </c>
      <c r="B392">
        <v>2026</v>
      </c>
      <c r="C392" s="25">
        <v>45813</v>
      </c>
      <c r="D392" t="s">
        <v>181</v>
      </c>
      <c r="E392" t="s">
        <v>177</v>
      </c>
      <c r="G392">
        <v>23.95</v>
      </c>
      <c r="H392">
        <v>21450.5</v>
      </c>
      <c r="I392">
        <f>F392-G392</f>
        <v>-23.95</v>
      </c>
      <c r="J392" t="s">
        <v>17</v>
      </c>
      <c r="K392" s="1" t="s">
        <v>260</v>
      </c>
      <c r="L392" s="1">
        <f>IF(J392=K392,0,1)</f>
        <v>1</v>
      </c>
      <c r="M392" s="1">
        <v>-10.7</v>
      </c>
    </row>
    <row r="393" spans="1:13" ht="12.75">
      <c r="A393">
        <v>368</v>
      </c>
      <c r="B393">
        <v>2026</v>
      </c>
      <c r="C393" s="25">
        <v>45820</v>
      </c>
      <c r="D393" t="s">
        <v>181</v>
      </c>
      <c r="E393" t="s">
        <v>177</v>
      </c>
      <c r="G393">
        <v>23.95</v>
      </c>
      <c r="H393">
        <v>24495.15</v>
      </c>
      <c r="I393">
        <f>F393-G393</f>
        <v>-23.95</v>
      </c>
      <c r="J393" t="s">
        <v>17</v>
      </c>
      <c r="K393" s="1" t="s">
        <v>260</v>
      </c>
      <c r="L393" s="1">
        <f>IF(J393=K393,0,1)</f>
        <v>1</v>
      </c>
      <c r="M393" s="1">
        <v>-11.95</v>
      </c>
    </row>
    <row r="394" spans="1:13" ht="12.75">
      <c r="A394">
        <v>375</v>
      </c>
      <c r="B394">
        <v>2026</v>
      </c>
      <c r="C394" s="25">
        <v>45825</v>
      </c>
      <c r="D394" t="s">
        <v>181</v>
      </c>
      <c r="E394" t="s">
        <v>177</v>
      </c>
      <c r="G394">
        <v>23.95</v>
      </c>
      <c r="H394">
        <v>25054.65</v>
      </c>
      <c r="I394">
        <f>F394-G394</f>
        <v>-23.95</v>
      </c>
      <c r="J394" s="26" t="s">
        <v>8</v>
      </c>
      <c r="K394" s="1" t="s">
        <v>260</v>
      </c>
      <c r="L394" s="1">
        <f>IF(J394=K394,0,1)</f>
        <v>1</v>
      </c>
      <c r="M394" s="1">
        <v>-14</v>
      </c>
    </row>
    <row r="395" spans="1:13" ht="12.75" hidden="1">
      <c r="A395">
        <v>514</v>
      </c>
      <c r="B395">
        <v>2026</v>
      </c>
      <c r="C395" s="25">
        <v>45895</v>
      </c>
      <c r="D395" t="s">
        <v>178</v>
      </c>
      <c r="E395" t="s">
        <v>177</v>
      </c>
      <c r="G395">
        <v>11.95</v>
      </c>
      <c r="H395">
        <v>21846.61</v>
      </c>
      <c r="I395">
        <f>F395-G395</f>
        <v>-11.95</v>
      </c>
      <c r="J395" t="s">
        <v>17</v>
      </c>
      <c r="K395" s="1" t="s">
        <v>17</v>
      </c>
      <c r="L395" s="1">
        <f>IF(J395=K395,0,1)</f>
        <v>0</v>
      </c>
      <c r="M395" s="1">
        <v>-34.44</v>
      </c>
    </row>
    <row r="396" spans="1:13" ht="12.75" hidden="1">
      <c r="A396">
        <v>515</v>
      </c>
      <c r="B396">
        <v>2026</v>
      </c>
      <c r="C396" s="25">
        <v>45895</v>
      </c>
      <c r="D396" t="s">
        <v>219</v>
      </c>
      <c r="E396" t="s">
        <v>177</v>
      </c>
      <c r="G396">
        <v>10.7</v>
      </c>
      <c r="H396">
        <v>21858.560000000001</v>
      </c>
      <c r="I396">
        <f>F396-G396</f>
        <v>-10.7</v>
      </c>
      <c r="J396" t="s">
        <v>17</v>
      </c>
      <c r="K396" s="1" t="s">
        <v>17</v>
      </c>
      <c r="L396" s="1">
        <f>IF(J396=K396,0,1)</f>
        <v>0</v>
      </c>
      <c r="M396" s="1">
        <v>-4</v>
      </c>
    </row>
    <row r="397" spans="1:13" ht="12.75" hidden="1">
      <c r="A397">
        <v>516</v>
      </c>
      <c r="B397">
        <v>2026</v>
      </c>
      <c r="C397" s="25">
        <v>45895</v>
      </c>
      <c r="D397" t="s">
        <v>223</v>
      </c>
      <c r="E397" t="s">
        <v>177</v>
      </c>
      <c r="G397">
        <v>5.0999999999999996</v>
      </c>
      <c r="H397">
        <v>21869.26</v>
      </c>
      <c r="I397">
        <f>F397-G397</f>
        <v>-5.0999999999999996</v>
      </c>
      <c r="J397" t="s">
        <v>15</v>
      </c>
      <c r="K397" s="1" t="s">
        <v>15</v>
      </c>
      <c r="L397" s="1">
        <f>IF(J397=K397,0,1)</f>
        <v>0</v>
      </c>
      <c r="M397" s="1">
        <v>-15.05</v>
      </c>
    </row>
    <row r="398" spans="1:13" ht="12.75" hidden="1">
      <c r="A398">
        <v>517</v>
      </c>
      <c r="B398">
        <v>2026</v>
      </c>
      <c r="C398" s="25">
        <v>45896</v>
      </c>
      <c r="D398" t="s">
        <v>224</v>
      </c>
      <c r="E398" t="s">
        <v>177</v>
      </c>
      <c r="G398">
        <v>33.71</v>
      </c>
      <c r="H398">
        <v>21745.91</v>
      </c>
      <c r="I398">
        <f>F398-G398</f>
        <v>-33.71</v>
      </c>
      <c r="J398" t="s">
        <v>18</v>
      </c>
      <c r="K398" s="1" t="s">
        <v>18</v>
      </c>
      <c r="L398" s="1">
        <f>IF(J398=K398,0,1)</f>
        <v>0</v>
      </c>
      <c r="M398" s="1">
        <v>-33.71</v>
      </c>
    </row>
    <row r="399" spans="1:13" ht="12.75" hidden="1">
      <c r="A399">
        <v>518</v>
      </c>
      <c r="B399">
        <v>2026</v>
      </c>
      <c r="C399" s="25">
        <v>45897</v>
      </c>
      <c r="D399" t="s">
        <v>213</v>
      </c>
      <c r="G399">
        <v>6</v>
      </c>
      <c r="H399">
        <v>21718.720000000001</v>
      </c>
      <c r="I399">
        <f>F399-G399</f>
        <v>-6</v>
      </c>
      <c r="J399" t="s">
        <v>4</v>
      </c>
      <c r="K399" s="1" t="s">
        <v>4</v>
      </c>
      <c r="L399" s="1">
        <f>IF(J399=K399,0,1)</f>
        <v>0</v>
      </c>
      <c r="M399" s="1">
        <v>-7.19</v>
      </c>
    </row>
    <row r="400" spans="1:13" ht="12.75">
      <c r="A400">
        <v>383</v>
      </c>
      <c r="B400">
        <v>2026</v>
      </c>
      <c r="C400" s="25">
        <v>45827</v>
      </c>
      <c r="D400" t="s">
        <v>181</v>
      </c>
      <c r="E400" t="s">
        <v>177</v>
      </c>
      <c r="G400">
        <v>23.95</v>
      </c>
      <c r="H400">
        <v>24959.119999999999</v>
      </c>
      <c r="I400">
        <f>F400-G400</f>
        <v>-23.95</v>
      </c>
      <c r="J400" s="26" t="s">
        <v>15</v>
      </c>
      <c r="K400" s="1" t="s">
        <v>260</v>
      </c>
      <c r="L400" s="1">
        <f>IF(J400=K400,0,1)</f>
        <v>1</v>
      </c>
      <c r="M400" s="1">
        <v>-14</v>
      </c>
    </row>
    <row r="401" spans="1:13" ht="12.75" hidden="1">
      <c r="A401">
        <v>520</v>
      </c>
      <c r="B401">
        <v>2026</v>
      </c>
      <c r="C401" s="25">
        <v>45897</v>
      </c>
      <c r="D401" t="s">
        <v>179</v>
      </c>
      <c r="E401" t="s">
        <v>177</v>
      </c>
      <c r="G401">
        <v>7.19</v>
      </c>
      <c r="H401">
        <v>21738.720000000001</v>
      </c>
      <c r="I401">
        <f>F401-G401</f>
        <v>-7.19</v>
      </c>
      <c r="J401" t="s">
        <v>17</v>
      </c>
      <c r="K401" s="1" t="s">
        <v>17</v>
      </c>
      <c r="L401" s="1">
        <f>IF(J401=K401,0,1)</f>
        <v>0</v>
      </c>
      <c r="M401" s="1">
        <v>-6</v>
      </c>
    </row>
    <row r="402" spans="1:13" ht="12.75">
      <c r="A402">
        <v>393</v>
      </c>
      <c r="B402">
        <v>2026</v>
      </c>
      <c r="C402" s="25">
        <v>45832</v>
      </c>
      <c r="D402" t="s">
        <v>181</v>
      </c>
      <c r="E402" t="s">
        <v>177</v>
      </c>
      <c r="G402">
        <v>23.95</v>
      </c>
      <c r="H402">
        <v>24627.439999999999</v>
      </c>
      <c r="I402">
        <f>F402-G402</f>
        <v>-23.95</v>
      </c>
      <c r="J402" s="26" t="s">
        <v>15</v>
      </c>
      <c r="K402" s="1" t="s">
        <v>260</v>
      </c>
      <c r="L402" s="1">
        <f>IF(J402=K402,0,1)</f>
        <v>1</v>
      </c>
      <c r="M402" s="1">
        <v>2383</v>
      </c>
    </row>
    <row r="403" spans="1:13" ht="12.75" hidden="1">
      <c r="A403">
        <v>522</v>
      </c>
      <c r="B403">
        <v>2026</v>
      </c>
      <c r="C403" s="25">
        <v>45898</v>
      </c>
      <c r="D403" t="s">
        <v>174</v>
      </c>
      <c r="E403" t="s">
        <v>44</v>
      </c>
      <c r="F403">
        <v>2383</v>
      </c>
      <c r="H403">
        <v>24101.72</v>
      </c>
      <c r="I403">
        <f>F403-G403</f>
        <v>2383</v>
      </c>
      <c r="J403" t="s">
        <v>14</v>
      </c>
      <c r="K403" s="1" t="s">
        <v>14</v>
      </c>
      <c r="L403" s="1">
        <f>IF(J403=K403,0,1)</f>
        <v>0</v>
      </c>
      <c r="M403" s="1">
        <v>-14833.12</v>
      </c>
    </row>
    <row r="404" spans="1:13" ht="12.75">
      <c r="A404">
        <v>410</v>
      </c>
      <c r="B404">
        <v>2026</v>
      </c>
      <c r="C404" s="25">
        <v>45835</v>
      </c>
      <c r="D404" t="s">
        <v>181</v>
      </c>
      <c r="E404" t="s">
        <v>177</v>
      </c>
      <c r="G404">
        <v>23.95</v>
      </c>
      <c r="H404">
        <v>28051.3</v>
      </c>
      <c r="I404">
        <f>F404-G404</f>
        <v>-23.95</v>
      </c>
      <c r="J404" t="s">
        <v>17</v>
      </c>
      <c r="K404" s="1" t="s">
        <v>260</v>
      </c>
      <c r="L404" s="1">
        <f>IF(J404=K404,0,1)</f>
        <v>1</v>
      </c>
      <c r="M404" s="1">
        <v>-4</v>
      </c>
    </row>
    <row r="405" spans="1:13" ht="12.75">
      <c r="A405">
        <v>418</v>
      </c>
      <c r="B405">
        <v>2026</v>
      </c>
      <c r="C405" s="25">
        <v>45839</v>
      </c>
      <c r="D405" t="s">
        <v>181</v>
      </c>
      <c r="E405" t="s">
        <v>177</v>
      </c>
      <c r="G405">
        <v>23.95</v>
      </c>
      <c r="H405">
        <v>21604.62</v>
      </c>
      <c r="I405">
        <f>F405-G405</f>
        <v>-23.95</v>
      </c>
      <c r="J405" t="s">
        <v>17</v>
      </c>
      <c r="K405" s="1" t="s">
        <v>260</v>
      </c>
      <c r="L405" s="1">
        <f>IF(J405=K405,0,1)</f>
        <v>1</v>
      </c>
      <c r="M405" s="1">
        <v>-1000</v>
      </c>
    </row>
    <row r="406" spans="1:13" ht="12.75">
      <c r="A406">
        <v>422</v>
      </c>
      <c r="B406">
        <v>2026</v>
      </c>
      <c r="C406" s="25">
        <v>45841</v>
      </c>
      <c r="D406" t="s">
        <v>181</v>
      </c>
      <c r="E406" t="s">
        <v>177</v>
      </c>
      <c r="G406">
        <v>24.05</v>
      </c>
      <c r="H406">
        <v>21972.47</v>
      </c>
      <c r="I406">
        <f>F406-G406</f>
        <v>-24.05</v>
      </c>
      <c r="J406" t="s">
        <v>17</v>
      </c>
      <c r="K406" s="1" t="s">
        <v>260</v>
      </c>
      <c r="L406" s="1">
        <f>IF(J406=K406,0,1)</f>
        <v>1</v>
      </c>
      <c r="M406" s="1">
        <v>-10.7</v>
      </c>
    </row>
    <row r="407" spans="1:13" ht="12.75">
      <c r="A407">
        <v>429</v>
      </c>
      <c r="B407">
        <v>2026</v>
      </c>
      <c r="C407" s="25">
        <v>45846</v>
      </c>
      <c r="D407" t="s">
        <v>181</v>
      </c>
      <c r="E407" t="s">
        <v>177</v>
      </c>
      <c r="G407">
        <v>24.05</v>
      </c>
      <c r="H407">
        <v>23734.32</v>
      </c>
      <c r="I407">
        <f>F407-G407</f>
        <v>-24.05</v>
      </c>
      <c r="J407" t="s">
        <v>17</v>
      </c>
      <c r="K407" s="1" t="s">
        <v>260</v>
      </c>
      <c r="L407" s="1">
        <f>IF(J407=K407,0,1)</f>
        <v>1</v>
      </c>
      <c r="M407" s="1">
        <v>-14</v>
      </c>
    </row>
    <row r="408" spans="1:13" ht="12.75" hidden="1">
      <c r="A408">
        <v>527</v>
      </c>
      <c r="B408">
        <v>2026</v>
      </c>
      <c r="C408" s="25">
        <v>45902</v>
      </c>
      <c r="D408" t="s">
        <v>219</v>
      </c>
      <c r="E408" t="s">
        <v>177</v>
      </c>
      <c r="G408">
        <v>10.7</v>
      </c>
      <c r="H408">
        <v>8254.4</v>
      </c>
      <c r="I408">
        <f>F408-G408</f>
        <v>-10.7</v>
      </c>
      <c r="J408" t="s">
        <v>17</v>
      </c>
      <c r="K408" s="1" t="s">
        <v>17</v>
      </c>
      <c r="L408" s="1">
        <f>IF(J408=K408,0,1)</f>
        <v>0</v>
      </c>
      <c r="M408" s="1">
        <v>-39.61</v>
      </c>
    </row>
    <row r="409" spans="1:13" ht="12.75" hidden="1">
      <c r="A409">
        <v>528</v>
      </c>
      <c r="B409">
        <v>2026</v>
      </c>
      <c r="C409" s="25">
        <v>45903</v>
      </c>
      <c r="D409" t="s">
        <v>174</v>
      </c>
      <c r="E409" t="s">
        <v>44</v>
      </c>
      <c r="F409">
        <v>425</v>
      </c>
      <c r="H409">
        <v>8625.7900000000009</v>
      </c>
      <c r="I409">
        <f>F409-G409</f>
        <v>425</v>
      </c>
      <c r="J409" t="s">
        <v>14</v>
      </c>
      <c r="K409" s="1" t="s">
        <v>14</v>
      </c>
      <c r="L409" s="1">
        <f>IF(J409=K409,0,1)</f>
        <v>0</v>
      </c>
      <c r="M409" s="1">
        <v>425</v>
      </c>
    </row>
    <row r="410" spans="1:13" ht="12.75" hidden="1">
      <c r="A410">
        <v>529</v>
      </c>
      <c r="B410">
        <v>2026</v>
      </c>
      <c r="C410" s="25">
        <v>45905</v>
      </c>
      <c r="D410" t="s">
        <v>174</v>
      </c>
      <c r="E410" t="s">
        <v>44</v>
      </c>
      <c r="F410">
        <v>350</v>
      </c>
      <c r="H410">
        <v>8975.7900000000009</v>
      </c>
      <c r="I410">
        <f>F410-G410</f>
        <v>350</v>
      </c>
      <c r="J410" t="s">
        <v>14</v>
      </c>
      <c r="K410" s="1" t="s">
        <v>14</v>
      </c>
      <c r="L410" s="1">
        <f>IF(J410=K410,0,1)</f>
        <v>0</v>
      </c>
      <c r="M410" s="1">
        <v>350</v>
      </c>
    </row>
    <row r="411" spans="1:13" ht="12.75">
      <c r="A411">
        <v>439</v>
      </c>
      <c r="B411">
        <v>2026</v>
      </c>
      <c r="C411" s="25">
        <v>45848</v>
      </c>
      <c r="D411" t="s">
        <v>181</v>
      </c>
      <c r="E411" t="s">
        <v>177</v>
      </c>
      <c r="G411">
        <v>24.05</v>
      </c>
      <c r="H411">
        <v>24483.74</v>
      </c>
      <c r="I411">
        <f>F411-G411</f>
        <v>-24.05</v>
      </c>
      <c r="J411" t="s">
        <v>17</v>
      </c>
      <c r="K411" s="1" t="s">
        <v>260</v>
      </c>
      <c r="L411" s="1">
        <f>IF(J411=K411,0,1)</f>
        <v>1</v>
      </c>
      <c r="M411" s="1">
        <v>-5.05</v>
      </c>
    </row>
    <row r="412" spans="1:13" ht="12.75">
      <c r="A412">
        <v>457</v>
      </c>
      <c r="B412">
        <v>2026</v>
      </c>
      <c r="C412" s="25">
        <v>45862</v>
      </c>
      <c r="D412" t="s">
        <v>181</v>
      </c>
      <c r="E412" t="s">
        <v>177</v>
      </c>
      <c r="G412">
        <v>24.05</v>
      </c>
      <c r="H412">
        <v>18938.63</v>
      </c>
      <c r="I412">
        <f>F412-G412</f>
        <v>-24.05</v>
      </c>
      <c r="J412" t="s">
        <v>17</v>
      </c>
      <c r="K412" s="1" t="s">
        <v>260</v>
      </c>
      <c r="L412" s="1">
        <f>IF(J412=K412,0,1)</f>
        <v>1</v>
      </c>
      <c r="M412" s="1">
        <v>-41.14</v>
      </c>
    </row>
    <row r="413" spans="1:13" ht="12.75" hidden="1">
      <c r="A413">
        <v>532</v>
      </c>
      <c r="B413">
        <v>2026</v>
      </c>
      <c r="C413" s="25">
        <v>45909</v>
      </c>
      <c r="D413" t="s">
        <v>201</v>
      </c>
      <c r="E413" t="s">
        <v>177</v>
      </c>
      <c r="G413">
        <v>50</v>
      </c>
      <c r="H413">
        <v>8865</v>
      </c>
      <c r="I413">
        <f>F413-G413</f>
        <v>-50</v>
      </c>
      <c r="J413" t="s">
        <v>18</v>
      </c>
      <c r="K413" s="1" t="s">
        <v>18</v>
      </c>
      <c r="L413" s="1">
        <f>IF(J413=K413,0,1)</f>
        <v>0</v>
      </c>
      <c r="M413" s="1">
        <v>-4</v>
      </c>
    </row>
    <row r="414" spans="1:13" ht="12.75" hidden="1">
      <c r="A414">
        <v>533</v>
      </c>
      <c r="B414">
        <v>2026</v>
      </c>
      <c r="C414" s="25">
        <v>45909</v>
      </c>
      <c r="D414" t="s">
        <v>227</v>
      </c>
      <c r="E414" t="s">
        <v>177</v>
      </c>
      <c r="G414">
        <v>6.8</v>
      </c>
      <c r="H414">
        <v>8915</v>
      </c>
      <c r="I414">
        <f>F414-G414</f>
        <v>-6.8</v>
      </c>
      <c r="J414" t="s">
        <v>17</v>
      </c>
      <c r="K414" s="1" t="s">
        <v>17</v>
      </c>
      <c r="L414" s="1">
        <f>IF(J414=K414,0,1)</f>
        <v>0</v>
      </c>
      <c r="M414" s="1">
        <v>-5.05</v>
      </c>
    </row>
    <row r="415" spans="1:13" ht="12.75" hidden="1">
      <c r="A415">
        <v>534</v>
      </c>
      <c r="B415">
        <v>2026</v>
      </c>
      <c r="C415" s="25">
        <v>45909</v>
      </c>
      <c r="D415" t="s">
        <v>228</v>
      </c>
      <c r="E415" t="s">
        <v>177</v>
      </c>
      <c r="G415">
        <v>5.35</v>
      </c>
      <c r="H415">
        <v>8921.7999999999993</v>
      </c>
      <c r="I415">
        <f>F415-G415</f>
        <v>-5.35</v>
      </c>
      <c r="J415" t="s">
        <v>15</v>
      </c>
      <c r="K415" s="1" t="s">
        <v>15</v>
      </c>
      <c r="L415" s="1">
        <f>IF(J415=K415,0,1)</f>
        <v>0</v>
      </c>
      <c r="M415" s="1">
        <v>-6.8</v>
      </c>
    </row>
    <row r="416" spans="1:13" ht="12.75">
      <c r="A416">
        <v>462</v>
      </c>
      <c r="B416">
        <v>2026</v>
      </c>
      <c r="C416" s="25">
        <v>45867</v>
      </c>
      <c r="D416" t="s">
        <v>181</v>
      </c>
      <c r="E416" t="s">
        <v>177</v>
      </c>
      <c r="G416">
        <v>24.05</v>
      </c>
      <c r="H416">
        <v>18857.62</v>
      </c>
      <c r="I416">
        <f>F416-G416</f>
        <v>-24.05</v>
      </c>
      <c r="J416" t="s">
        <v>17</v>
      </c>
      <c r="K416" s="1" t="s">
        <v>260</v>
      </c>
      <c r="L416" s="1">
        <f>IF(J416=K416,0,1)</f>
        <v>1</v>
      </c>
      <c r="M416" s="1">
        <v>-50</v>
      </c>
    </row>
    <row r="417" spans="1:13" ht="12.75" hidden="1">
      <c r="A417">
        <v>536</v>
      </c>
      <c r="B417">
        <v>2026</v>
      </c>
      <c r="C417" s="25">
        <v>45910</v>
      </c>
      <c r="D417" t="s">
        <v>179</v>
      </c>
      <c r="E417" t="s">
        <v>177</v>
      </c>
      <c r="G417">
        <v>6.99</v>
      </c>
      <c r="H417">
        <v>10017.700000000001</v>
      </c>
      <c r="I417">
        <f>F417-G417</f>
        <v>-6.99</v>
      </c>
      <c r="J417" t="s">
        <v>17</v>
      </c>
      <c r="K417" s="1" t="s">
        <v>17</v>
      </c>
      <c r="L417" s="1">
        <f>IF(J417=K417,0,1)</f>
        <v>0</v>
      </c>
      <c r="M417" s="1">
        <v>1161.69</v>
      </c>
    </row>
    <row r="418" spans="1:13" ht="12.75" hidden="1">
      <c r="A418">
        <v>537</v>
      </c>
      <c r="B418">
        <v>2026</v>
      </c>
      <c r="C418" s="25">
        <v>45910</v>
      </c>
      <c r="D418" t="s">
        <v>192</v>
      </c>
      <c r="E418" t="s">
        <v>177</v>
      </c>
      <c r="G418">
        <v>2</v>
      </c>
      <c r="H418">
        <v>10024.69</v>
      </c>
      <c r="I418">
        <f>F418-G418</f>
        <v>-2</v>
      </c>
      <c r="J418" t="s">
        <v>15</v>
      </c>
      <c r="K418" s="1" t="s">
        <v>15</v>
      </c>
      <c r="L418" s="1">
        <f>IF(J418=K418,0,1)</f>
        <v>0</v>
      </c>
      <c r="M418" s="1">
        <v>-4</v>
      </c>
    </row>
    <row r="419" spans="1:13" ht="12.75" hidden="1">
      <c r="A419">
        <v>538</v>
      </c>
      <c r="B419">
        <v>2026</v>
      </c>
      <c r="C419" s="25">
        <v>45910</v>
      </c>
      <c r="D419" t="s">
        <v>174</v>
      </c>
      <c r="E419" t="s">
        <v>44</v>
      </c>
      <c r="F419">
        <v>1161.69</v>
      </c>
      <c r="H419">
        <v>10026.69</v>
      </c>
      <c r="I419">
        <f>F419-G419</f>
        <v>1161.69</v>
      </c>
      <c r="J419" t="s">
        <v>14</v>
      </c>
      <c r="K419" s="1" t="s">
        <v>14</v>
      </c>
      <c r="L419" s="1">
        <f>IF(J419=K419,0,1)</f>
        <v>0</v>
      </c>
      <c r="M419" s="1">
        <v>-6.99</v>
      </c>
    </row>
    <row r="420" spans="1:13" ht="12.75" hidden="1">
      <c r="A420">
        <v>539</v>
      </c>
      <c r="B420">
        <v>2026</v>
      </c>
      <c r="C420" s="25">
        <v>45912</v>
      </c>
      <c r="D420" t="s">
        <v>185</v>
      </c>
      <c r="E420" t="s">
        <v>108</v>
      </c>
      <c r="F420">
        <v>375</v>
      </c>
      <c r="H420">
        <v>10392.700000000001</v>
      </c>
      <c r="I420">
        <f>F420-G420</f>
        <v>375</v>
      </c>
      <c r="J420" t="s">
        <v>14</v>
      </c>
      <c r="K420" s="1" t="s">
        <v>14</v>
      </c>
      <c r="L420" s="1">
        <f>IF(J420=K420,0,1)</f>
        <v>0</v>
      </c>
      <c r="M420" s="1">
        <v>375</v>
      </c>
    </row>
    <row r="421" spans="1:13" ht="12.75">
      <c r="A421">
        <v>494</v>
      </c>
      <c r="B421">
        <v>2026</v>
      </c>
      <c r="C421" s="25">
        <v>45883</v>
      </c>
      <c r="D421" t="s">
        <v>220</v>
      </c>
      <c r="E421" t="s">
        <v>177</v>
      </c>
      <c r="G421">
        <v>26.25</v>
      </c>
      <c r="H421">
        <v>23197.54</v>
      </c>
      <c r="I421">
        <f>F421-G421</f>
        <v>-26.25</v>
      </c>
      <c r="J421" t="s">
        <v>17</v>
      </c>
      <c r="K421" s="1" t="s">
        <v>260</v>
      </c>
      <c r="L421" s="1">
        <f>IF(J421=K421,0,1)</f>
        <v>1</v>
      </c>
      <c r="M421" s="1">
        <v>-4</v>
      </c>
    </row>
    <row r="422" spans="1:13" ht="12.75">
      <c r="A422">
        <v>495</v>
      </c>
      <c r="B422">
        <v>2026</v>
      </c>
      <c r="C422" s="25">
        <v>45883</v>
      </c>
      <c r="D422" t="s">
        <v>220</v>
      </c>
      <c r="E422" t="s">
        <v>177</v>
      </c>
      <c r="G422">
        <v>26.09</v>
      </c>
      <c r="H422">
        <v>23223.79</v>
      </c>
      <c r="I422">
        <f>F422-G422</f>
        <v>-26.09</v>
      </c>
      <c r="J422" t="s">
        <v>17</v>
      </c>
      <c r="K422" s="1" t="s">
        <v>260</v>
      </c>
      <c r="L422" s="1">
        <f>IF(J422=K422,0,1)</f>
        <v>1</v>
      </c>
      <c r="M422" s="1">
        <v>-1100</v>
      </c>
    </row>
    <row r="423" spans="1:13" ht="12.75">
      <c r="A423">
        <v>612</v>
      </c>
      <c r="B423">
        <v>2026</v>
      </c>
      <c r="C423" s="25">
        <v>45980</v>
      </c>
      <c r="D423" t="s">
        <v>220</v>
      </c>
      <c r="E423" t="s">
        <v>177</v>
      </c>
      <c r="G423">
        <v>33.840000000000003</v>
      </c>
      <c r="H423">
        <v>9211.8700000000008</v>
      </c>
      <c r="I423">
        <f>F423-G423</f>
        <v>-33.840000000000003</v>
      </c>
      <c r="J423" t="s">
        <v>17</v>
      </c>
      <c r="K423" s="1" t="s">
        <v>260</v>
      </c>
      <c r="L423" s="1">
        <f>IF(J423=K423,0,1)</f>
        <v>1</v>
      </c>
      <c r="M423" s="1">
        <v>-5.05</v>
      </c>
    </row>
    <row r="424" spans="1:13" ht="12.75" hidden="1">
      <c r="A424">
        <v>543</v>
      </c>
      <c r="B424">
        <v>2026</v>
      </c>
      <c r="C424" s="25">
        <v>45916</v>
      </c>
      <c r="D424" t="s">
        <v>178</v>
      </c>
      <c r="E424" t="s">
        <v>177</v>
      </c>
      <c r="G424">
        <v>11.95</v>
      </c>
      <c r="H424">
        <v>9256.39</v>
      </c>
      <c r="I424">
        <f>F424-G424</f>
        <v>-11.95</v>
      </c>
      <c r="J424" t="s">
        <v>17</v>
      </c>
      <c r="K424" s="1" t="s">
        <v>17</v>
      </c>
      <c r="L424" s="1">
        <f>IF(J424=K424,0,1)</f>
        <v>0</v>
      </c>
      <c r="M424" s="1">
        <v>-4</v>
      </c>
    </row>
    <row r="425" spans="1:13" ht="12.75">
      <c r="A425">
        <v>613</v>
      </c>
      <c r="B425">
        <v>2026</v>
      </c>
      <c r="C425" s="25">
        <v>45980</v>
      </c>
      <c r="D425" t="s">
        <v>220</v>
      </c>
      <c r="E425" t="s">
        <v>177</v>
      </c>
      <c r="G425">
        <v>24.98</v>
      </c>
      <c r="H425">
        <v>9245.7099999999991</v>
      </c>
      <c r="I425">
        <f>F425-G425</f>
        <v>-24.98</v>
      </c>
      <c r="J425" t="s">
        <v>17</v>
      </c>
      <c r="K425" s="1" t="s">
        <v>260</v>
      </c>
      <c r="L425" s="1">
        <f>IF(J425=K425,0,1)</f>
        <v>1</v>
      </c>
      <c r="M425" s="1">
        <v>-4</v>
      </c>
    </row>
    <row r="426" spans="1:13" ht="12.75">
      <c r="A426">
        <v>670</v>
      </c>
      <c r="B426">
        <v>2026</v>
      </c>
      <c r="C426" s="25">
        <v>46022</v>
      </c>
      <c r="D426" t="s">
        <v>220</v>
      </c>
      <c r="E426" t="s">
        <v>177</v>
      </c>
      <c r="G426">
        <v>30.95</v>
      </c>
      <c r="H426">
        <v>11796.99</v>
      </c>
      <c r="I426">
        <f>F426-G426</f>
        <v>-30.95</v>
      </c>
      <c r="J426" t="s">
        <v>17</v>
      </c>
      <c r="K426" s="1" t="s">
        <v>260</v>
      </c>
      <c r="L426" s="1">
        <f>IF(J426=K426,0,1)</f>
        <v>1</v>
      </c>
      <c r="M426" s="1">
        <v>-8</v>
      </c>
    </row>
    <row r="427" spans="1:13" ht="12.75" hidden="1">
      <c r="A427">
        <v>546</v>
      </c>
      <c r="B427">
        <v>2026</v>
      </c>
      <c r="C427" s="25">
        <v>45916</v>
      </c>
      <c r="D427" t="s">
        <v>180</v>
      </c>
      <c r="E427" t="s">
        <v>177</v>
      </c>
      <c r="G427">
        <v>4.41</v>
      </c>
      <c r="H427">
        <v>9281.39</v>
      </c>
      <c r="I427">
        <f>F427-G427</f>
        <v>-4.41</v>
      </c>
      <c r="J427" t="s">
        <v>15</v>
      </c>
      <c r="K427" s="1" t="s">
        <v>15</v>
      </c>
      <c r="L427" s="1">
        <f>IF(J427=K427,0,1)</f>
        <v>0</v>
      </c>
      <c r="M427" s="1">
        <v>-11.95</v>
      </c>
    </row>
    <row r="428" spans="1:13" ht="12.75" hidden="1">
      <c r="A428">
        <v>547</v>
      </c>
      <c r="B428">
        <v>2026</v>
      </c>
      <c r="C428" s="25">
        <v>45916</v>
      </c>
      <c r="D428" t="s">
        <v>230</v>
      </c>
      <c r="E428" t="s">
        <v>177</v>
      </c>
      <c r="G428">
        <v>2.9</v>
      </c>
      <c r="H428">
        <v>9285.7999999999993</v>
      </c>
      <c r="I428">
        <f>F428-G428</f>
        <v>-2.9</v>
      </c>
      <c r="J428" t="s">
        <v>15</v>
      </c>
      <c r="K428" s="1" t="s">
        <v>15</v>
      </c>
      <c r="L428" s="1">
        <f>IF(J428=K428,0,1)</f>
        <v>0</v>
      </c>
      <c r="M428" s="1">
        <v>-51.11</v>
      </c>
    </row>
    <row r="429" spans="1:13" ht="12.75">
      <c r="A429">
        <v>721</v>
      </c>
      <c r="B429">
        <v>2026</v>
      </c>
      <c r="C429" s="25">
        <v>46076</v>
      </c>
      <c r="D429" t="s">
        <v>254</v>
      </c>
      <c r="E429" t="s">
        <v>177</v>
      </c>
      <c r="G429">
        <v>14.28</v>
      </c>
      <c r="H429">
        <v>14466.79</v>
      </c>
      <c r="I429">
        <f>F429-G429</f>
        <v>-14.28</v>
      </c>
      <c r="J429" s="26" t="s">
        <v>24</v>
      </c>
      <c r="K429" s="1" t="s">
        <v>260</v>
      </c>
      <c r="L429" s="1">
        <f>IF(J429=K429,0,1)</f>
        <v>1</v>
      </c>
      <c r="M429" s="1">
        <v>825</v>
      </c>
    </row>
    <row r="430" spans="1:13" ht="12.75" hidden="1">
      <c r="A430">
        <v>549</v>
      </c>
      <c r="B430">
        <v>2026</v>
      </c>
      <c r="C430" s="25">
        <v>45917</v>
      </c>
      <c r="D430" t="s">
        <v>179</v>
      </c>
      <c r="E430" t="s">
        <v>177</v>
      </c>
      <c r="G430">
        <v>6.99</v>
      </c>
      <c r="H430">
        <v>10023.290000000001</v>
      </c>
      <c r="I430">
        <f>F430-G430</f>
        <v>-6.99</v>
      </c>
      <c r="J430" t="s">
        <v>17</v>
      </c>
      <c r="K430" s="1" t="s">
        <v>17</v>
      </c>
      <c r="L430" s="1">
        <f>IF(J430=K430,0,1)</f>
        <v>0</v>
      </c>
      <c r="M430" s="1">
        <v>-6.99</v>
      </c>
    </row>
    <row r="431" spans="1:13" ht="12.75" hidden="1">
      <c r="A431">
        <v>550</v>
      </c>
      <c r="B431">
        <v>2026</v>
      </c>
      <c r="C431" s="25">
        <v>45917</v>
      </c>
      <c r="D431" t="s">
        <v>174</v>
      </c>
      <c r="E431" t="s">
        <v>44</v>
      </c>
      <c r="F431">
        <v>825</v>
      </c>
      <c r="H431">
        <v>10030.280000000001</v>
      </c>
      <c r="I431">
        <f>F431-G431</f>
        <v>825</v>
      </c>
      <c r="J431" t="s">
        <v>14</v>
      </c>
      <c r="K431" s="1" t="s">
        <v>14</v>
      </c>
      <c r="L431" s="1">
        <f>IF(J431=K431,0,1)</f>
        <v>0</v>
      </c>
      <c r="M431" s="1">
        <v>-500</v>
      </c>
    </row>
    <row r="432" spans="1:13" ht="12.75" hidden="1">
      <c r="A432">
        <v>551</v>
      </c>
      <c r="B432">
        <v>2026</v>
      </c>
      <c r="C432" s="25">
        <v>45919</v>
      </c>
      <c r="D432" t="s">
        <v>174</v>
      </c>
      <c r="E432" t="s">
        <v>44</v>
      </c>
      <c r="F432">
        <v>350</v>
      </c>
      <c r="H432">
        <v>9873.2900000000009</v>
      </c>
      <c r="I432">
        <f>F432-G432</f>
        <v>350</v>
      </c>
      <c r="J432" t="s">
        <v>14</v>
      </c>
      <c r="K432" s="1" t="s">
        <v>14</v>
      </c>
      <c r="L432" s="1">
        <f>IF(J432=K432,0,1)</f>
        <v>0</v>
      </c>
      <c r="M432" s="1">
        <v>350</v>
      </c>
    </row>
    <row r="433" spans="1:13" ht="12.75">
      <c r="A433">
        <v>319</v>
      </c>
      <c r="B433">
        <v>2026</v>
      </c>
      <c r="C433" s="25">
        <v>45797</v>
      </c>
      <c r="D433" t="s">
        <v>176</v>
      </c>
      <c r="E433" t="s">
        <v>177</v>
      </c>
      <c r="G433">
        <v>46.7</v>
      </c>
      <c r="H433">
        <v>20214.59</v>
      </c>
      <c r="I433">
        <f>F433-G433</f>
        <v>-46.7</v>
      </c>
      <c r="J433" s="26" t="s">
        <v>8</v>
      </c>
      <c r="K433" s="1" t="s">
        <v>18</v>
      </c>
      <c r="L433" s="1">
        <f>IF(J433=K433,0,1)</f>
        <v>1</v>
      </c>
      <c r="M433" s="1">
        <v>-4.6500000000000004</v>
      </c>
    </row>
    <row r="434" spans="1:13" ht="12.75" hidden="1">
      <c r="A434">
        <v>553</v>
      </c>
      <c r="B434">
        <v>2026</v>
      </c>
      <c r="C434" s="25">
        <v>45923</v>
      </c>
      <c r="D434" t="s">
        <v>178</v>
      </c>
      <c r="E434" t="s">
        <v>177</v>
      </c>
      <c r="G434">
        <v>11.95</v>
      </c>
      <c r="H434">
        <v>9836.98</v>
      </c>
      <c r="I434">
        <f>F434-G434</f>
        <v>-11.95</v>
      </c>
      <c r="J434" t="s">
        <v>17</v>
      </c>
      <c r="K434" s="1" t="s">
        <v>17</v>
      </c>
      <c r="L434" s="1">
        <f>IF(J434=K434,0,1)</f>
        <v>0</v>
      </c>
      <c r="M434" s="1">
        <v>-4</v>
      </c>
    </row>
    <row r="435" spans="1:13" ht="12.75" hidden="1">
      <c r="A435">
        <v>554</v>
      </c>
      <c r="B435">
        <v>2026</v>
      </c>
      <c r="C435" s="25">
        <v>45923</v>
      </c>
      <c r="D435" t="s">
        <v>219</v>
      </c>
      <c r="E435" t="s">
        <v>177</v>
      </c>
      <c r="G435">
        <v>10.7</v>
      </c>
      <c r="H435">
        <v>9848.93</v>
      </c>
      <c r="I435">
        <f>F435-G435</f>
        <v>-10.7</v>
      </c>
      <c r="J435" t="s">
        <v>17</v>
      </c>
      <c r="K435" s="1" t="s">
        <v>17</v>
      </c>
      <c r="L435" s="1">
        <f>IF(J435=K435,0,1)</f>
        <v>0</v>
      </c>
      <c r="M435" s="1">
        <v>-5.05</v>
      </c>
    </row>
    <row r="436" spans="1:13" ht="12.75" hidden="1">
      <c r="A436">
        <v>555</v>
      </c>
      <c r="B436">
        <v>2026</v>
      </c>
      <c r="C436" s="25">
        <v>45923</v>
      </c>
      <c r="D436" t="s">
        <v>231</v>
      </c>
      <c r="E436" t="s">
        <v>177</v>
      </c>
      <c r="G436">
        <v>5.25</v>
      </c>
      <c r="H436">
        <v>9859.6299999999992</v>
      </c>
      <c r="I436">
        <f>F436-G436</f>
        <v>-5.25</v>
      </c>
      <c r="J436" t="s">
        <v>15</v>
      </c>
      <c r="K436" s="1" t="s">
        <v>15</v>
      </c>
      <c r="L436" s="1">
        <f>IF(J436=K436,0,1)</f>
        <v>0</v>
      </c>
      <c r="M436" s="1">
        <v>-10.7</v>
      </c>
    </row>
    <row r="437" spans="1:13" ht="12.75" hidden="1">
      <c r="A437">
        <v>556</v>
      </c>
      <c r="B437">
        <v>2026</v>
      </c>
      <c r="C437" s="25">
        <v>45923</v>
      </c>
      <c r="D437" t="s">
        <v>180</v>
      </c>
      <c r="E437" t="s">
        <v>177</v>
      </c>
      <c r="G437">
        <v>4.41</v>
      </c>
      <c r="H437">
        <v>9864.8799999999992</v>
      </c>
      <c r="I437">
        <f>F437-G437</f>
        <v>-4.41</v>
      </c>
      <c r="J437" t="s">
        <v>15</v>
      </c>
      <c r="K437" s="1" t="s">
        <v>15</v>
      </c>
      <c r="L437" s="1">
        <f>IF(J437=K437,0,1)</f>
        <v>0</v>
      </c>
      <c r="M437" s="1">
        <v>-11.95</v>
      </c>
    </row>
    <row r="438" spans="1:13" ht="12.75">
      <c r="A438">
        <v>334</v>
      </c>
      <c r="B438">
        <v>2026</v>
      </c>
      <c r="C438" s="25">
        <v>45804</v>
      </c>
      <c r="D438" t="s">
        <v>176</v>
      </c>
      <c r="E438" t="s">
        <v>177</v>
      </c>
      <c r="G438">
        <v>37.590000000000003</v>
      </c>
      <c r="H438">
        <v>20149.73</v>
      </c>
      <c r="I438">
        <f>F438-G438</f>
        <v>-37.590000000000003</v>
      </c>
      <c r="J438" s="26" t="s">
        <v>8</v>
      </c>
      <c r="K438" s="1" t="s">
        <v>18</v>
      </c>
      <c r="L438" s="1">
        <f>IF(J438=K438,0,1)</f>
        <v>1</v>
      </c>
      <c r="M438" s="1">
        <v>-39.17</v>
      </c>
    </row>
    <row r="439" spans="1:13" ht="12.75" hidden="1">
      <c r="A439">
        <v>558</v>
      </c>
      <c r="B439">
        <v>2026</v>
      </c>
      <c r="C439" s="25">
        <v>45924</v>
      </c>
      <c r="D439" t="s">
        <v>179</v>
      </c>
      <c r="E439" t="s">
        <v>177</v>
      </c>
      <c r="G439">
        <v>6.99</v>
      </c>
      <c r="H439">
        <v>11480.89</v>
      </c>
      <c r="I439">
        <f>F439-G439</f>
        <v>-6.99</v>
      </c>
      <c r="J439" t="s">
        <v>17</v>
      </c>
      <c r="K439" s="1" t="s">
        <v>17</v>
      </c>
      <c r="L439" s="1">
        <f>IF(J439=K439,0,1)</f>
        <v>0</v>
      </c>
      <c r="M439" s="1">
        <v>1694.17</v>
      </c>
    </row>
    <row r="440" spans="1:13" ht="12.75" hidden="1">
      <c r="A440">
        <v>559</v>
      </c>
      <c r="B440">
        <v>2026</v>
      </c>
      <c r="C440" s="25">
        <v>45924</v>
      </c>
      <c r="D440" t="s">
        <v>192</v>
      </c>
      <c r="E440" t="s">
        <v>177</v>
      </c>
      <c r="G440">
        <v>4.0999999999999996</v>
      </c>
      <c r="H440">
        <v>11487.88</v>
      </c>
      <c r="I440">
        <f>F440-G440</f>
        <v>-4.0999999999999996</v>
      </c>
      <c r="J440" t="s">
        <v>15</v>
      </c>
      <c r="K440" s="1" t="s">
        <v>15</v>
      </c>
      <c r="L440" s="1">
        <f>IF(J440=K440,0,1)</f>
        <v>0</v>
      </c>
      <c r="M440" s="1">
        <v>-1.45</v>
      </c>
    </row>
    <row r="441" spans="1:13" ht="12.75" hidden="1">
      <c r="A441">
        <v>560</v>
      </c>
      <c r="B441">
        <v>2026</v>
      </c>
      <c r="C441" s="25">
        <v>45924</v>
      </c>
      <c r="D441" t="s">
        <v>174</v>
      </c>
      <c r="E441" t="s">
        <v>44</v>
      </c>
      <c r="F441">
        <v>1694.17</v>
      </c>
      <c r="H441">
        <v>11491.98</v>
      </c>
      <c r="I441">
        <f>F441-G441</f>
        <v>1694.17</v>
      </c>
      <c r="J441" t="s">
        <v>14</v>
      </c>
      <c r="K441" s="1" t="s">
        <v>14</v>
      </c>
      <c r="L441" s="1">
        <f>IF(J441=K441,0,1)</f>
        <v>0</v>
      </c>
      <c r="M441" s="1">
        <v>-6.99</v>
      </c>
    </row>
    <row r="442" spans="1:13" ht="12.75">
      <c r="A442">
        <v>338</v>
      </c>
      <c r="B442">
        <v>2026</v>
      </c>
      <c r="C442" s="25">
        <v>45806</v>
      </c>
      <c r="D442" t="s">
        <v>188</v>
      </c>
      <c r="E442" t="s">
        <v>177</v>
      </c>
      <c r="G442">
        <v>40.340000000000003</v>
      </c>
      <c r="H442">
        <v>20072.45</v>
      </c>
      <c r="I442">
        <f>F442-G442</f>
        <v>-40.340000000000003</v>
      </c>
      <c r="J442" s="26" t="s">
        <v>9</v>
      </c>
      <c r="K442" s="1" t="s">
        <v>18</v>
      </c>
      <c r="L442" s="1">
        <f>IF(J442=K442,0,1)</f>
        <v>1</v>
      </c>
      <c r="M442" s="1">
        <v>-20.74</v>
      </c>
    </row>
    <row r="443" spans="1:13" ht="12.75" hidden="1">
      <c r="A443">
        <v>562</v>
      </c>
      <c r="B443">
        <v>2026</v>
      </c>
      <c r="C443" s="25">
        <v>45926</v>
      </c>
      <c r="D443" t="s">
        <v>213</v>
      </c>
      <c r="G443">
        <v>6.3</v>
      </c>
      <c r="H443">
        <v>9026.1299999999992</v>
      </c>
      <c r="I443">
        <f>F443-G443</f>
        <v>-6.3</v>
      </c>
      <c r="J443" t="s">
        <v>4</v>
      </c>
      <c r="K443" s="1" t="s">
        <v>4</v>
      </c>
      <c r="L443" s="1">
        <f>IF(J443=K443,0,1)</f>
        <v>0</v>
      </c>
      <c r="M443" s="1">
        <v>392.28</v>
      </c>
    </row>
    <row r="444" spans="1:13" ht="12.75" hidden="1">
      <c r="A444">
        <v>563</v>
      </c>
      <c r="B444">
        <v>2026</v>
      </c>
      <c r="C444" s="25">
        <v>45926</v>
      </c>
      <c r="D444" t="s">
        <v>185</v>
      </c>
      <c r="E444" t="s">
        <v>108</v>
      </c>
      <c r="F444">
        <v>425</v>
      </c>
      <c r="H444">
        <v>9032.43</v>
      </c>
      <c r="I444">
        <f>F444-G444</f>
        <v>425</v>
      </c>
      <c r="J444" t="s">
        <v>14</v>
      </c>
      <c r="K444" s="1" t="s">
        <v>14</v>
      </c>
      <c r="L444" s="1">
        <f>IF(J444=K444,0,1)</f>
        <v>0</v>
      </c>
      <c r="M444" s="1">
        <v>350</v>
      </c>
    </row>
    <row r="445" spans="1:13" ht="12.75">
      <c r="A445">
        <v>346</v>
      </c>
      <c r="B445">
        <v>2026</v>
      </c>
      <c r="C445" s="25">
        <v>45811</v>
      </c>
      <c r="D445" t="s">
        <v>176</v>
      </c>
      <c r="E445" t="s">
        <v>177</v>
      </c>
      <c r="G445">
        <v>50.49</v>
      </c>
      <c r="H445">
        <v>21483.95</v>
      </c>
      <c r="I445">
        <f>F445-G445</f>
        <v>-50.49</v>
      </c>
      <c r="J445" s="26" t="s">
        <v>8</v>
      </c>
      <c r="K445" s="1" t="s">
        <v>18</v>
      </c>
      <c r="L445" s="1">
        <f>IF(J445=K445,0,1)</f>
        <v>1</v>
      </c>
      <c r="M445" s="1">
        <v>-1047.5</v>
      </c>
    </row>
    <row r="446" spans="1:13" ht="12.75">
      <c r="A446">
        <v>349</v>
      </c>
      <c r="B446">
        <v>2026</v>
      </c>
      <c r="C446" s="25">
        <v>45811</v>
      </c>
      <c r="D446" t="s">
        <v>176</v>
      </c>
      <c r="E446" t="s">
        <v>177</v>
      </c>
      <c r="G446">
        <v>5.15</v>
      </c>
      <c r="H446">
        <v>21552.39</v>
      </c>
      <c r="I446">
        <f>F446-G446</f>
        <v>-5.15</v>
      </c>
      <c r="J446" s="26" t="s">
        <v>8</v>
      </c>
      <c r="K446" s="1" t="s">
        <v>18</v>
      </c>
      <c r="L446" s="1">
        <f>IF(J446=K446,0,1)</f>
        <v>1</v>
      </c>
      <c r="M446" s="1">
        <v>-1047.5</v>
      </c>
    </row>
    <row r="447" spans="1:13" ht="12.75">
      <c r="A447">
        <v>355</v>
      </c>
      <c r="B447">
        <v>2026</v>
      </c>
      <c r="C447" s="25">
        <v>45814</v>
      </c>
      <c r="D447" t="s">
        <v>176</v>
      </c>
      <c r="E447" t="s">
        <v>177</v>
      </c>
      <c r="G447">
        <v>10.039999999999999</v>
      </c>
      <c r="H447">
        <v>22286.71</v>
      </c>
      <c r="I447">
        <f>F447-G447</f>
        <v>-10.039999999999999</v>
      </c>
      <c r="J447" s="26" t="s">
        <v>8</v>
      </c>
      <c r="K447" s="1" t="s">
        <v>18</v>
      </c>
      <c r="L447" s="1">
        <f>IF(J447=K447,0,1)</f>
        <v>1</v>
      </c>
      <c r="M447" s="1">
        <v>-1500</v>
      </c>
    </row>
    <row r="448" spans="1:13" ht="12.75" hidden="1">
      <c r="A448">
        <v>567</v>
      </c>
      <c r="B448">
        <v>2026</v>
      </c>
      <c r="C448" s="25">
        <v>45926</v>
      </c>
      <c r="D448" t="s">
        <v>174</v>
      </c>
      <c r="E448" t="s">
        <v>44</v>
      </c>
      <c r="F448">
        <v>350</v>
      </c>
      <c r="H448">
        <v>12202.43</v>
      </c>
      <c r="I448">
        <f>F448-G448</f>
        <v>350</v>
      </c>
      <c r="J448" t="s">
        <v>14</v>
      </c>
      <c r="K448" s="1" t="s">
        <v>14</v>
      </c>
      <c r="L448" s="1">
        <f>IF(J448=K448,0,1)</f>
        <v>0</v>
      </c>
      <c r="M448" s="1">
        <v>425</v>
      </c>
    </row>
    <row r="449" spans="1:13" ht="12.75" hidden="1">
      <c r="A449">
        <v>568</v>
      </c>
      <c r="B449">
        <v>2026</v>
      </c>
      <c r="C449" s="25">
        <v>45926</v>
      </c>
      <c r="D449" t="s">
        <v>232</v>
      </c>
      <c r="E449" t="s">
        <v>44</v>
      </c>
      <c r="F449">
        <v>392.28</v>
      </c>
      <c r="H449">
        <v>11852.43</v>
      </c>
      <c r="I449">
        <f>F449-G449</f>
        <v>392.28</v>
      </c>
      <c r="J449" t="s">
        <v>14</v>
      </c>
      <c r="K449" s="1" t="s">
        <v>14</v>
      </c>
      <c r="L449" s="1">
        <f>IF(J449=K449,0,1)</f>
        <v>0</v>
      </c>
      <c r="M449" s="1">
        <v>-6.3</v>
      </c>
    </row>
    <row r="450" spans="1:13" ht="12.75">
      <c r="A450">
        <v>360</v>
      </c>
      <c r="B450">
        <v>2026</v>
      </c>
      <c r="C450" s="25">
        <v>45818</v>
      </c>
      <c r="D450" t="s">
        <v>176</v>
      </c>
      <c r="E450" t="s">
        <v>177</v>
      </c>
      <c r="G450">
        <v>49.94</v>
      </c>
      <c r="H450">
        <v>22172.55</v>
      </c>
      <c r="I450">
        <f>F450-G450</f>
        <v>-49.94</v>
      </c>
      <c r="J450" s="26" t="s">
        <v>8</v>
      </c>
      <c r="K450" s="1" t="s">
        <v>18</v>
      </c>
      <c r="L450" s="1">
        <f>IF(J450=K450,0,1)</f>
        <v>1</v>
      </c>
      <c r="M450" s="1">
        <v>-7</v>
      </c>
    </row>
    <row r="451" spans="1:13" ht="12.75">
      <c r="A451">
        <v>361</v>
      </c>
      <c r="B451">
        <v>2026</v>
      </c>
      <c r="C451" s="25">
        <v>45818</v>
      </c>
      <c r="D451" t="s">
        <v>176</v>
      </c>
      <c r="E451" t="s">
        <v>177</v>
      </c>
      <c r="G451">
        <v>40.29</v>
      </c>
      <c r="H451">
        <v>22222.49</v>
      </c>
      <c r="I451">
        <f>F451-G451</f>
        <v>-40.29</v>
      </c>
      <c r="J451" s="26" t="s">
        <v>8</v>
      </c>
      <c r="K451" s="1" t="s">
        <v>18</v>
      </c>
      <c r="L451" s="1">
        <f>IF(J451=K451,0,1)</f>
        <v>1</v>
      </c>
      <c r="M451" s="1">
        <v>-3.75</v>
      </c>
    </row>
    <row r="452" spans="1:13" ht="12.75">
      <c r="A452">
        <v>374</v>
      </c>
      <c r="B452">
        <v>2026</v>
      </c>
      <c r="C452" s="25">
        <v>45825</v>
      </c>
      <c r="D452" t="s">
        <v>176</v>
      </c>
      <c r="E452" t="s">
        <v>177</v>
      </c>
      <c r="G452">
        <v>52.48</v>
      </c>
      <c r="H452">
        <v>25002.17</v>
      </c>
      <c r="I452">
        <f>F452-G452</f>
        <v>-52.48</v>
      </c>
      <c r="J452" s="26" t="s">
        <v>17</v>
      </c>
      <c r="K452" s="1" t="s">
        <v>18</v>
      </c>
      <c r="L452" s="1">
        <f>IF(J452=K452,0,1)</f>
        <v>1</v>
      </c>
      <c r="M452" s="1">
        <v>-37.53</v>
      </c>
    </row>
    <row r="453" spans="1:13" ht="12.75" hidden="1">
      <c r="A453">
        <v>572</v>
      </c>
      <c r="B453">
        <v>2026</v>
      </c>
      <c r="C453" s="25">
        <v>45931</v>
      </c>
      <c r="D453" t="s">
        <v>192</v>
      </c>
      <c r="E453" t="s">
        <v>177</v>
      </c>
      <c r="G453">
        <v>3.4</v>
      </c>
      <c r="H453">
        <v>8975.25</v>
      </c>
      <c r="I453">
        <f>F453-G453</f>
        <v>-3.4</v>
      </c>
      <c r="J453" t="s">
        <v>15</v>
      </c>
      <c r="K453" s="1" t="s">
        <v>15</v>
      </c>
      <c r="L453" s="1">
        <f>IF(J453=K453,0,1)</f>
        <v>0</v>
      </c>
      <c r="M453" s="1">
        <v>-3.75</v>
      </c>
    </row>
    <row r="454" spans="1:13" ht="12.75">
      <c r="A454">
        <v>392</v>
      </c>
      <c r="B454">
        <v>2026</v>
      </c>
      <c r="C454" s="25">
        <v>45831</v>
      </c>
      <c r="D454" t="s">
        <v>176</v>
      </c>
      <c r="E454" t="s">
        <v>177</v>
      </c>
      <c r="G454">
        <v>5.15</v>
      </c>
      <c r="H454">
        <v>24742.22</v>
      </c>
      <c r="I454">
        <f>F454-G454</f>
        <v>-5.15</v>
      </c>
      <c r="J454" s="26" t="s">
        <v>24</v>
      </c>
      <c r="K454" s="1" t="s">
        <v>18</v>
      </c>
      <c r="L454" s="1">
        <f>IF(J454=K454,0,1)</f>
        <v>1</v>
      </c>
      <c r="M454" s="1">
        <v>1675</v>
      </c>
    </row>
    <row r="455" spans="1:13" ht="12.75" hidden="1">
      <c r="A455">
        <v>574</v>
      </c>
      <c r="B455">
        <v>2026</v>
      </c>
      <c r="C455" s="25">
        <v>45933</v>
      </c>
      <c r="D455" t="s">
        <v>174</v>
      </c>
      <c r="E455" t="s">
        <v>44</v>
      </c>
      <c r="F455">
        <v>1675</v>
      </c>
      <c r="H455">
        <v>10650.25</v>
      </c>
      <c r="I455">
        <f>F455-G455</f>
        <v>1675</v>
      </c>
      <c r="J455" t="s">
        <v>14</v>
      </c>
      <c r="K455" s="1" t="s">
        <v>14</v>
      </c>
      <c r="L455" s="1">
        <f>IF(J455=K455,0,1)</f>
        <v>0</v>
      </c>
      <c r="M455" s="1">
        <v>-30</v>
      </c>
    </row>
    <row r="456" spans="1:13" ht="12.75" hidden="1">
      <c r="A456">
        <v>575</v>
      </c>
      <c r="B456">
        <v>2026</v>
      </c>
      <c r="C456" s="25">
        <v>45936</v>
      </c>
      <c r="D456" t="s">
        <v>176</v>
      </c>
      <c r="E456" t="s">
        <v>177</v>
      </c>
      <c r="G456">
        <v>14</v>
      </c>
      <c r="H456">
        <v>10606.25</v>
      </c>
      <c r="I456">
        <f>F456-G456</f>
        <v>-14</v>
      </c>
      <c r="J456" t="s">
        <v>18</v>
      </c>
      <c r="K456" s="1" t="s">
        <v>18</v>
      </c>
      <c r="L456" s="1">
        <f>IF(J456=K456,0,1)</f>
        <v>0</v>
      </c>
      <c r="M456" s="1">
        <v>-14</v>
      </c>
    </row>
    <row r="457" spans="1:13" ht="12.75" hidden="1">
      <c r="A457">
        <v>576</v>
      </c>
      <c r="B457">
        <v>2026</v>
      </c>
      <c r="C457" s="25">
        <v>45937</v>
      </c>
      <c r="D457" t="s">
        <v>176</v>
      </c>
      <c r="E457" t="s">
        <v>177</v>
      </c>
      <c r="G457">
        <v>45.48</v>
      </c>
      <c r="H457">
        <v>10519.99</v>
      </c>
      <c r="I457">
        <f>F457-G457</f>
        <v>-45.48</v>
      </c>
      <c r="J457" t="s">
        <v>18</v>
      </c>
      <c r="K457" s="1" t="s">
        <v>18</v>
      </c>
      <c r="L457" s="1">
        <f>IF(J457=K457,0,1)</f>
        <v>0</v>
      </c>
      <c r="M457" s="1">
        <v>-17.260000000000002</v>
      </c>
    </row>
    <row r="458" spans="1:13" ht="12.75">
      <c r="A458">
        <v>401</v>
      </c>
      <c r="B458">
        <v>2026</v>
      </c>
      <c r="C458" s="25">
        <v>45833</v>
      </c>
      <c r="D458" t="s">
        <v>176</v>
      </c>
      <c r="E458" t="s">
        <v>177</v>
      </c>
      <c r="G458">
        <v>5.15</v>
      </c>
      <c r="H458">
        <v>26668.89</v>
      </c>
      <c r="I458">
        <f>F458-G458</f>
        <v>-5.15</v>
      </c>
      <c r="J458" s="26" t="s">
        <v>20</v>
      </c>
      <c r="K458" s="1" t="s">
        <v>18</v>
      </c>
      <c r="L458" s="1">
        <f>IF(J458=K458,0,1)</f>
        <v>1</v>
      </c>
      <c r="M458" s="1">
        <v>-23.52</v>
      </c>
    </row>
    <row r="459" spans="1:13" ht="12.75">
      <c r="A459">
        <v>426</v>
      </c>
      <c r="B459">
        <v>2026</v>
      </c>
      <c r="C459" s="25">
        <v>45845</v>
      </c>
      <c r="D459" t="s">
        <v>176</v>
      </c>
      <c r="E459" t="s">
        <v>177</v>
      </c>
      <c r="G459">
        <v>5.15</v>
      </c>
      <c r="H459">
        <v>23788.37</v>
      </c>
      <c r="I459">
        <f>F459-G459</f>
        <v>-5.15</v>
      </c>
      <c r="J459" s="26" t="s">
        <v>20</v>
      </c>
      <c r="K459" s="1" t="s">
        <v>18</v>
      </c>
      <c r="L459" s="1">
        <f>IF(J459=K459,0,1)</f>
        <v>1</v>
      </c>
      <c r="M459" s="1">
        <v>-45.48</v>
      </c>
    </row>
    <row r="460" spans="1:13" ht="12.75" hidden="1">
      <c r="A460">
        <v>579</v>
      </c>
      <c r="B460">
        <v>2026</v>
      </c>
      <c r="C460" s="25">
        <v>45938</v>
      </c>
      <c r="D460" t="s">
        <v>174</v>
      </c>
      <c r="E460" t="s">
        <v>44</v>
      </c>
      <c r="F460">
        <v>1550</v>
      </c>
      <c r="H460">
        <v>12069.99</v>
      </c>
      <c r="I460">
        <f>F460-G460</f>
        <v>1550</v>
      </c>
      <c r="J460" t="s">
        <v>14</v>
      </c>
      <c r="K460" s="1" t="s">
        <v>14</v>
      </c>
      <c r="L460" s="1">
        <f>IF(J460=K460,0,1)</f>
        <v>0</v>
      </c>
      <c r="M460" s="1">
        <v>1550</v>
      </c>
    </row>
    <row r="461" spans="1:13" ht="12.75">
      <c r="A461">
        <v>428</v>
      </c>
      <c r="B461">
        <v>2026</v>
      </c>
      <c r="C461" s="25">
        <v>45846</v>
      </c>
      <c r="D461" t="s">
        <v>209</v>
      </c>
      <c r="E461" t="s">
        <v>177</v>
      </c>
      <c r="G461">
        <v>35.229999999999997</v>
      </c>
      <c r="H461">
        <v>23699.09</v>
      </c>
      <c r="I461">
        <f>F461-G461</f>
        <v>-35.229999999999997</v>
      </c>
      <c r="J461" s="26" t="s">
        <v>9</v>
      </c>
      <c r="K461" s="1" t="s">
        <v>18</v>
      </c>
      <c r="L461" s="1">
        <f>IF(J461=K461,0,1)</f>
        <v>1</v>
      </c>
      <c r="M461" s="1">
        <v>-754</v>
      </c>
    </row>
    <row r="462" spans="1:13" ht="12.75">
      <c r="A462">
        <v>443</v>
      </c>
      <c r="B462">
        <v>2026</v>
      </c>
      <c r="C462" s="25">
        <v>45852</v>
      </c>
      <c r="D462" t="s">
        <v>211</v>
      </c>
      <c r="E462" t="s">
        <v>177</v>
      </c>
      <c r="G462">
        <v>20</v>
      </c>
      <c r="H462">
        <v>23006.71</v>
      </c>
      <c r="I462">
        <f>F462-G462</f>
        <v>-20</v>
      </c>
      <c r="J462" s="26" t="s">
        <v>20</v>
      </c>
      <c r="K462" s="1" t="s">
        <v>18</v>
      </c>
      <c r="L462" s="1">
        <f>IF(J462=K462,0,1)</f>
        <v>1</v>
      </c>
      <c r="M462" s="1">
        <v>-1000</v>
      </c>
    </row>
    <row r="463" spans="1:13" ht="12.75" hidden="1">
      <c r="A463">
        <v>582</v>
      </c>
      <c r="B463">
        <v>2026</v>
      </c>
      <c r="C463" s="25">
        <v>45945</v>
      </c>
      <c r="D463" t="s">
        <v>236</v>
      </c>
      <c r="E463" t="s">
        <v>177</v>
      </c>
      <c r="G463">
        <v>38.06</v>
      </c>
      <c r="H463">
        <v>10277.93</v>
      </c>
      <c r="I463">
        <f>F463-G463</f>
        <v>-38.06</v>
      </c>
      <c r="J463" t="s">
        <v>18</v>
      </c>
      <c r="K463" s="1" t="s">
        <v>18</v>
      </c>
      <c r="L463" s="1">
        <f>IF(J463=K463,0,1)</f>
        <v>0</v>
      </c>
      <c r="M463" s="1">
        <v>-38.06</v>
      </c>
    </row>
    <row r="464" spans="1:13" ht="12.75">
      <c r="A464">
        <v>455</v>
      </c>
      <c r="B464">
        <v>2026</v>
      </c>
      <c r="C464" s="25">
        <v>45861</v>
      </c>
      <c r="D464" t="s">
        <v>176</v>
      </c>
      <c r="E464" t="s">
        <v>177</v>
      </c>
      <c r="G464">
        <v>3.8</v>
      </c>
      <c r="H464">
        <v>22712.29</v>
      </c>
      <c r="I464">
        <f>F464-G464</f>
        <v>-3.8</v>
      </c>
      <c r="J464" s="26" t="s">
        <v>20</v>
      </c>
      <c r="K464" s="1" t="s">
        <v>18</v>
      </c>
      <c r="L464" s="1">
        <f>IF(J464=K464,0,1)</f>
        <v>1</v>
      </c>
      <c r="M464" s="1">
        <v>-1047.5</v>
      </c>
    </row>
    <row r="465" spans="1:13" ht="12.75">
      <c r="A465">
        <v>463</v>
      </c>
      <c r="B465">
        <v>2026</v>
      </c>
      <c r="C465" s="25">
        <v>45867</v>
      </c>
      <c r="D465" t="s">
        <v>176</v>
      </c>
      <c r="E465" t="s">
        <v>177</v>
      </c>
      <c r="G465">
        <v>13.8</v>
      </c>
      <c r="H465">
        <v>18881.669999999998</v>
      </c>
      <c r="I465">
        <f>F465-G465</f>
        <v>-13.8</v>
      </c>
      <c r="J465" s="26" t="s">
        <v>20</v>
      </c>
      <c r="K465" s="1" t="s">
        <v>18</v>
      </c>
      <c r="L465" s="1">
        <f>IF(J465=K465,0,1)</f>
        <v>1</v>
      </c>
      <c r="M465" s="1">
        <v>-1047.5</v>
      </c>
    </row>
    <row r="466" spans="1:13" ht="12.75">
      <c r="A466">
        <v>472</v>
      </c>
      <c r="B466">
        <v>2026</v>
      </c>
      <c r="C466" s="25">
        <v>45874</v>
      </c>
      <c r="D466" t="s">
        <v>176</v>
      </c>
      <c r="E466" t="s">
        <v>177</v>
      </c>
      <c r="G466">
        <v>40.71</v>
      </c>
      <c r="H466">
        <v>20276.240000000002</v>
      </c>
      <c r="I466">
        <f>F466-G466</f>
        <v>-40.71</v>
      </c>
      <c r="J466" s="26" t="s">
        <v>20</v>
      </c>
      <c r="K466" s="1" t="s">
        <v>18</v>
      </c>
      <c r="L466" s="1">
        <f>IF(J466=K466,0,1)</f>
        <v>1</v>
      </c>
      <c r="M466" s="1">
        <v>-1500</v>
      </c>
    </row>
    <row r="467" spans="1:13" ht="12.75" hidden="1">
      <c r="A467">
        <v>586</v>
      </c>
      <c r="B467">
        <v>2026</v>
      </c>
      <c r="C467" s="25">
        <v>45958</v>
      </c>
      <c r="D467" t="s">
        <v>213</v>
      </c>
      <c r="G467">
        <v>5.4</v>
      </c>
      <c r="H467">
        <v>6637.41</v>
      </c>
      <c r="I467">
        <f>F467-G467</f>
        <v>-5.4</v>
      </c>
      <c r="J467" t="s">
        <v>4</v>
      </c>
      <c r="K467" s="1" t="s">
        <v>4</v>
      </c>
      <c r="L467" s="1">
        <f>IF(J467=K467,0,1)</f>
        <v>0</v>
      </c>
      <c r="M467" s="1">
        <v>-40.119999999999997</v>
      </c>
    </row>
    <row r="468" spans="1:13" ht="12.75">
      <c r="A468">
        <v>479</v>
      </c>
      <c r="B468">
        <v>2026</v>
      </c>
      <c r="C468" s="25">
        <v>45875</v>
      </c>
      <c r="D468" t="s">
        <v>176</v>
      </c>
      <c r="E468" t="s">
        <v>177</v>
      </c>
      <c r="G468">
        <v>4.8499999999999996</v>
      </c>
      <c r="H468">
        <v>20671.39</v>
      </c>
      <c r="I468">
        <f>F468-G468</f>
        <v>-4.8499999999999996</v>
      </c>
      <c r="J468" s="26" t="s">
        <v>14</v>
      </c>
      <c r="K468" s="1" t="s">
        <v>18</v>
      </c>
      <c r="L468" s="1">
        <f>IF(J468=K468,0,1)</f>
        <v>1</v>
      </c>
      <c r="M468" s="1">
        <v>-5.4</v>
      </c>
    </row>
    <row r="469" spans="1:13" ht="12.75" hidden="1">
      <c r="A469">
        <v>588</v>
      </c>
      <c r="B469">
        <v>2026</v>
      </c>
      <c r="C469" s="25">
        <v>45959</v>
      </c>
      <c r="D469" t="s">
        <v>179</v>
      </c>
      <c r="E469" t="s">
        <v>177</v>
      </c>
      <c r="G469">
        <v>6.99</v>
      </c>
      <c r="H469">
        <v>6628.27</v>
      </c>
      <c r="I469">
        <f>F469-G469</f>
        <v>-6.99</v>
      </c>
      <c r="J469" t="s">
        <v>17</v>
      </c>
      <c r="K469" s="1" t="s">
        <v>17</v>
      </c>
      <c r="L469" s="1">
        <f>IF(J469=K469,0,1)</f>
        <v>0</v>
      </c>
      <c r="M469" s="1">
        <v>-3.75</v>
      </c>
    </row>
    <row r="470" spans="1:13" ht="12.75" hidden="1">
      <c r="A470">
        <v>589</v>
      </c>
      <c r="B470">
        <v>2026</v>
      </c>
      <c r="C470" s="25">
        <v>45959</v>
      </c>
      <c r="D470" t="s">
        <v>192</v>
      </c>
      <c r="E470" t="s">
        <v>177</v>
      </c>
      <c r="G470">
        <v>2.15</v>
      </c>
      <c r="H470">
        <v>6635.26</v>
      </c>
      <c r="I470">
        <f>F470-G470</f>
        <v>-2.15</v>
      </c>
      <c r="J470" t="s">
        <v>15</v>
      </c>
      <c r="K470" s="1" t="s">
        <v>15</v>
      </c>
      <c r="L470" s="1">
        <f>IF(J470=K470,0,1)</f>
        <v>0</v>
      </c>
      <c r="M470" s="1">
        <v>-6.99</v>
      </c>
    </row>
    <row r="471" spans="1:13" ht="12.75" hidden="1">
      <c r="A471">
        <v>590</v>
      </c>
      <c r="B471">
        <v>2026</v>
      </c>
      <c r="C471" s="25">
        <v>45961</v>
      </c>
      <c r="D471" t="s">
        <v>174</v>
      </c>
      <c r="E471" t="s">
        <v>44</v>
      </c>
      <c r="F471">
        <v>350</v>
      </c>
      <c r="H471">
        <v>6978.27</v>
      </c>
      <c r="I471">
        <f>F471-G471</f>
        <v>350</v>
      </c>
      <c r="J471" t="s">
        <v>14</v>
      </c>
      <c r="K471" s="1" t="s">
        <v>14</v>
      </c>
      <c r="L471" s="1">
        <f>IF(J471=K471,0,1)</f>
        <v>0</v>
      </c>
      <c r="M471" s="1">
        <v>350</v>
      </c>
    </row>
    <row r="472" spans="1:13" ht="12.75" hidden="1">
      <c r="A472">
        <v>591</v>
      </c>
      <c r="B472">
        <v>2026</v>
      </c>
      <c r="C472" s="25">
        <v>45964</v>
      </c>
      <c r="D472" t="s">
        <v>176</v>
      </c>
      <c r="E472" t="s">
        <v>177</v>
      </c>
      <c r="G472">
        <v>14</v>
      </c>
      <c r="H472">
        <v>6964.27</v>
      </c>
      <c r="I472">
        <f>F472-G472</f>
        <v>-14</v>
      </c>
      <c r="J472" t="s">
        <v>18</v>
      </c>
      <c r="K472" s="1" t="s">
        <v>18</v>
      </c>
      <c r="L472" s="1">
        <f>IF(J472=K472,0,1)</f>
        <v>0</v>
      </c>
      <c r="M472" s="1">
        <v>-14</v>
      </c>
    </row>
    <row r="473" spans="1:13" ht="12.75" hidden="1">
      <c r="A473">
        <v>592</v>
      </c>
      <c r="B473">
        <v>2026</v>
      </c>
      <c r="C473" s="25">
        <v>45965</v>
      </c>
      <c r="D473" t="s">
        <v>224</v>
      </c>
      <c r="E473" t="s">
        <v>177</v>
      </c>
      <c r="G473">
        <v>55.42</v>
      </c>
      <c r="H473">
        <v>6889.75</v>
      </c>
      <c r="I473">
        <f>F473-G473</f>
        <v>-55.42</v>
      </c>
      <c r="J473" t="s">
        <v>18</v>
      </c>
      <c r="K473" s="1" t="s">
        <v>18</v>
      </c>
      <c r="L473" s="1">
        <f>IF(J473=K473,0,1)</f>
        <v>0</v>
      </c>
      <c r="M473" s="1">
        <v>-3.75</v>
      </c>
    </row>
    <row r="474" spans="1:13" ht="12.75" hidden="1">
      <c r="A474">
        <v>593</v>
      </c>
      <c r="B474">
        <v>2026</v>
      </c>
      <c r="C474" s="25">
        <v>45965</v>
      </c>
      <c r="D474" t="s">
        <v>176</v>
      </c>
      <c r="E474" t="s">
        <v>177</v>
      </c>
      <c r="G474">
        <v>14</v>
      </c>
      <c r="H474">
        <v>6945.17</v>
      </c>
      <c r="I474">
        <f>F474-G474</f>
        <v>-14</v>
      </c>
      <c r="J474" t="s">
        <v>18</v>
      </c>
      <c r="K474" s="1" t="s">
        <v>18</v>
      </c>
      <c r="L474" s="1">
        <f>IF(J474=K474,0,1)</f>
        <v>0</v>
      </c>
      <c r="M474" s="1">
        <v>-14</v>
      </c>
    </row>
    <row r="475" spans="1:13" ht="12.75" hidden="1">
      <c r="A475">
        <v>594</v>
      </c>
      <c r="B475">
        <v>2026</v>
      </c>
      <c r="C475" s="25">
        <v>45965</v>
      </c>
      <c r="D475" t="s">
        <v>230</v>
      </c>
      <c r="E475" t="s">
        <v>177</v>
      </c>
      <c r="G475">
        <v>5.0999999999999996</v>
      </c>
      <c r="H475">
        <v>6959.17</v>
      </c>
      <c r="I475">
        <f>F475-G475</f>
        <v>-5.0999999999999996</v>
      </c>
      <c r="J475" t="s">
        <v>15</v>
      </c>
      <c r="K475" s="1" t="s">
        <v>15</v>
      </c>
      <c r="L475" s="1">
        <f>IF(J475=K475,0,1)</f>
        <v>0</v>
      </c>
      <c r="M475" s="1">
        <v>-55.42</v>
      </c>
    </row>
    <row r="476" spans="1:13" ht="12.75" hidden="1">
      <c r="A476">
        <v>595</v>
      </c>
      <c r="B476">
        <v>2026</v>
      </c>
      <c r="C476" s="25">
        <v>45966</v>
      </c>
      <c r="D476" t="s">
        <v>179</v>
      </c>
      <c r="E476" t="s">
        <v>177</v>
      </c>
      <c r="G476">
        <v>6.99</v>
      </c>
      <c r="H476">
        <v>6878.66</v>
      </c>
      <c r="I476">
        <f>F476-G476</f>
        <v>-6.99</v>
      </c>
      <c r="J476" t="s">
        <v>17</v>
      </c>
      <c r="K476" s="1" t="s">
        <v>17</v>
      </c>
      <c r="L476" s="1">
        <f>IF(J476=K476,0,1)</f>
        <v>0</v>
      </c>
      <c r="M476" s="1">
        <v>-9.8000000000000007</v>
      </c>
    </row>
    <row r="477" spans="1:13" ht="12.75" hidden="1">
      <c r="A477">
        <v>596</v>
      </c>
      <c r="B477">
        <v>2026</v>
      </c>
      <c r="C477" s="25">
        <v>45966</v>
      </c>
      <c r="D477" t="s">
        <v>192</v>
      </c>
      <c r="E477" t="s">
        <v>177</v>
      </c>
      <c r="G477">
        <v>4.0999999999999996</v>
      </c>
      <c r="H477">
        <v>6885.65</v>
      </c>
      <c r="I477">
        <f>F477-G477</f>
        <v>-4.0999999999999996</v>
      </c>
      <c r="J477" t="s">
        <v>15</v>
      </c>
      <c r="K477" s="1" t="s">
        <v>15</v>
      </c>
      <c r="L477" s="1">
        <f>IF(J477=K477,0,1)</f>
        <v>0</v>
      </c>
      <c r="M477" s="1">
        <v>-6.99</v>
      </c>
    </row>
    <row r="478" spans="1:13" ht="12.75" hidden="1">
      <c r="A478">
        <v>597</v>
      </c>
      <c r="B478">
        <v>2026</v>
      </c>
      <c r="C478" s="25">
        <v>45968</v>
      </c>
      <c r="D478" t="s">
        <v>230</v>
      </c>
      <c r="E478" t="s">
        <v>177</v>
      </c>
      <c r="G478">
        <v>5.0999999999999996</v>
      </c>
      <c r="H478">
        <v>6873.56</v>
      </c>
      <c r="I478">
        <f>F478-G478</f>
        <v>-5.0999999999999996</v>
      </c>
      <c r="J478" t="s">
        <v>15</v>
      </c>
      <c r="K478" s="1" t="s">
        <v>15</v>
      </c>
      <c r="L478" s="1">
        <f>IF(J478=K478,0,1)</f>
        <v>0</v>
      </c>
      <c r="M478" s="1">
        <v>-3.75</v>
      </c>
    </row>
    <row r="479" spans="1:13" ht="12.75">
      <c r="A479">
        <v>484</v>
      </c>
      <c r="B479">
        <v>2026</v>
      </c>
      <c r="C479" s="25">
        <v>45880</v>
      </c>
      <c r="D479" t="s">
        <v>176</v>
      </c>
      <c r="E479" t="s">
        <v>177</v>
      </c>
      <c r="G479">
        <v>34.08</v>
      </c>
      <c r="H479">
        <v>20627.810000000001</v>
      </c>
      <c r="I479">
        <f>F479-G479</f>
        <v>-34.08</v>
      </c>
      <c r="J479" s="26" t="s">
        <v>24</v>
      </c>
      <c r="K479" s="1" t="s">
        <v>18</v>
      </c>
      <c r="L479" s="1">
        <f>IF(J479=K479,0,1)</f>
        <v>1</v>
      </c>
      <c r="M479" s="1">
        <v>-3.75</v>
      </c>
    </row>
    <row r="480" spans="1:13" ht="12.75">
      <c r="A480">
        <v>485</v>
      </c>
      <c r="B480">
        <v>2026</v>
      </c>
      <c r="C480" s="25">
        <v>45881</v>
      </c>
      <c r="D480" t="s">
        <v>218</v>
      </c>
      <c r="E480" t="s">
        <v>177</v>
      </c>
      <c r="G480">
        <v>43.93</v>
      </c>
      <c r="H480">
        <v>22006.68</v>
      </c>
      <c r="I480">
        <f>F480-G480</f>
        <v>-43.93</v>
      </c>
      <c r="J480" s="26" t="s">
        <v>9</v>
      </c>
      <c r="K480" s="1" t="s">
        <v>18</v>
      </c>
      <c r="L480" s="1">
        <f>IF(J480=K480,0,1)</f>
        <v>1</v>
      </c>
      <c r="M480" s="1">
        <v>-50.1</v>
      </c>
    </row>
    <row r="481" spans="1:13" ht="12.75" hidden="1">
      <c r="A481">
        <v>600</v>
      </c>
      <c r="B481">
        <v>2026</v>
      </c>
      <c r="C481" s="25">
        <v>45972</v>
      </c>
      <c r="D481" t="s">
        <v>176</v>
      </c>
      <c r="E481" t="s">
        <v>177</v>
      </c>
      <c r="G481">
        <v>15.35</v>
      </c>
      <c r="H481">
        <v>6792.21</v>
      </c>
      <c r="I481">
        <f>F481-G481</f>
        <v>-15.35</v>
      </c>
      <c r="J481" t="s">
        <v>18</v>
      </c>
      <c r="K481" s="1" t="s">
        <v>18</v>
      </c>
      <c r="L481" s="1">
        <f>IF(J481=K481,0,1)</f>
        <v>0</v>
      </c>
      <c r="M481" s="1">
        <v>-11.95</v>
      </c>
    </row>
    <row r="482" spans="1:13" ht="12.75" hidden="1">
      <c r="A482">
        <v>601</v>
      </c>
      <c r="B482">
        <v>2026</v>
      </c>
      <c r="C482" s="25">
        <v>45972</v>
      </c>
      <c r="D482" t="s">
        <v>178</v>
      </c>
      <c r="E482" t="s">
        <v>177</v>
      </c>
      <c r="G482">
        <v>11.95</v>
      </c>
      <c r="H482">
        <v>6807.56</v>
      </c>
      <c r="I482">
        <f>F482-G482</f>
        <v>-11.95</v>
      </c>
      <c r="J482" t="s">
        <v>17</v>
      </c>
      <c r="K482" s="1" t="s">
        <v>17</v>
      </c>
      <c r="L482" s="1">
        <f>IF(J482=K482,0,1)</f>
        <v>0</v>
      </c>
      <c r="M482" s="1">
        <v>-15.35</v>
      </c>
    </row>
    <row r="483" spans="1:13" ht="12.75" hidden="1">
      <c r="A483">
        <v>602</v>
      </c>
      <c r="B483">
        <v>2026</v>
      </c>
      <c r="C483" s="25">
        <v>45973</v>
      </c>
      <c r="D483" t="s">
        <v>174</v>
      </c>
      <c r="E483" t="s">
        <v>44</v>
      </c>
      <c r="F483">
        <v>1650</v>
      </c>
      <c r="H483">
        <v>8442.2099999999991</v>
      </c>
      <c r="I483">
        <f>F483-G483</f>
        <v>1650</v>
      </c>
      <c r="J483" t="s">
        <v>14</v>
      </c>
      <c r="K483" s="1" t="s">
        <v>14</v>
      </c>
      <c r="L483" s="1">
        <f>IF(J483=K483,0,1)</f>
        <v>0</v>
      </c>
      <c r="M483" s="1">
        <v>1650</v>
      </c>
    </row>
    <row r="484" spans="1:13" ht="12.75">
      <c r="A484">
        <v>487</v>
      </c>
      <c r="B484">
        <v>2026</v>
      </c>
      <c r="C484" s="25">
        <v>45881</v>
      </c>
      <c r="D484" t="s">
        <v>176</v>
      </c>
      <c r="E484" t="s">
        <v>177</v>
      </c>
      <c r="G484">
        <v>13.8</v>
      </c>
      <c r="H484">
        <v>22066.57</v>
      </c>
      <c r="I484">
        <f>F484-G484</f>
        <v>-13.8</v>
      </c>
      <c r="J484" s="26" t="s">
        <v>8</v>
      </c>
      <c r="K484" s="1" t="s">
        <v>18</v>
      </c>
      <c r="L484" s="1">
        <f>IF(J484=K484,0,1)</f>
        <v>1</v>
      </c>
      <c r="M484" s="1">
        <v>-3.95</v>
      </c>
    </row>
    <row r="485" spans="1:13" ht="12.75" hidden="1">
      <c r="A485">
        <v>604</v>
      </c>
      <c r="B485">
        <v>2026</v>
      </c>
      <c r="C485" s="25">
        <v>45974</v>
      </c>
      <c r="D485" t="s">
        <v>230</v>
      </c>
      <c r="E485" t="s">
        <v>177</v>
      </c>
      <c r="G485">
        <v>5.0999999999999996</v>
      </c>
      <c r="H485">
        <v>8437.11</v>
      </c>
      <c r="I485">
        <f>F485-G485</f>
        <v>-5.0999999999999996</v>
      </c>
      <c r="J485" t="s">
        <v>15</v>
      </c>
      <c r="K485" s="1" t="s">
        <v>15</v>
      </c>
      <c r="L485" s="1">
        <f>IF(J485=K485,0,1)</f>
        <v>0</v>
      </c>
      <c r="M485" s="1">
        <v>-30.98</v>
      </c>
    </row>
    <row r="486" spans="1:13" ht="12.75">
      <c r="A486">
        <v>499</v>
      </c>
      <c r="B486">
        <v>2026</v>
      </c>
      <c r="C486" s="25">
        <v>45888</v>
      </c>
      <c r="D486" t="s">
        <v>221</v>
      </c>
      <c r="E486" t="s">
        <v>177</v>
      </c>
      <c r="G486">
        <v>31.94</v>
      </c>
      <c r="H486">
        <v>22950.65</v>
      </c>
      <c r="I486">
        <f>F486-G486</f>
        <v>-31.94</v>
      </c>
      <c r="J486" s="26" t="s">
        <v>8</v>
      </c>
      <c r="K486" s="1" t="s">
        <v>18</v>
      </c>
      <c r="L486" s="1">
        <f>IF(J486=K486,0,1)</f>
        <v>1</v>
      </c>
      <c r="M486" s="1">
        <v>375</v>
      </c>
    </row>
    <row r="487" spans="1:13" ht="12.75" hidden="1">
      <c r="A487">
        <v>606</v>
      </c>
      <c r="B487">
        <v>2026</v>
      </c>
      <c r="C487" s="25">
        <v>45975</v>
      </c>
      <c r="D487" t="s">
        <v>230</v>
      </c>
      <c r="E487" t="s">
        <v>177</v>
      </c>
      <c r="G487">
        <v>5.0999999999999996</v>
      </c>
      <c r="H487">
        <v>8776.0300000000007</v>
      </c>
      <c r="I487">
        <f>F487-G487</f>
        <v>-5.0999999999999996</v>
      </c>
      <c r="J487" t="s">
        <v>15</v>
      </c>
      <c r="K487" s="1" t="s">
        <v>15</v>
      </c>
      <c r="L487" s="1">
        <f>IF(J487=K487,0,1)</f>
        <v>0</v>
      </c>
      <c r="M487" s="1">
        <v>-7.8</v>
      </c>
    </row>
    <row r="488" spans="1:13" ht="12.75" hidden="1">
      <c r="A488">
        <v>607</v>
      </c>
      <c r="B488">
        <v>2026</v>
      </c>
      <c r="C488" s="25">
        <v>45975</v>
      </c>
      <c r="D488" t="s">
        <v>174</v>
      </c>
      <c r="E488" t="s">
        <v>44</v>
      </c>
      <c r="F488">
        <v>375</v>
      </c>
      <c r="H488">
        <v>8781.1299999999992</v>
      </c>
      <c r="I488">
        <f>F488-G488</f>
        <v>375</v>
      </c>
      <c r="J488" t="s">
        <v>14</v>
      </c>
      <c r="K488" s="1" t="s">
        <v>14</v>
      </c>
      <c r="L488" s="1">
        <f>IF(J488=K488,0,1)</f>
        <v>0</v>
      </c>
      <c r="M488" s="1">
        <v>-272</v>
      </c>
    </row>
    <row r="489" spans="1:13" ht="12.75">
      <c r="A489">
        <v>500</v>
      </c>
      <c r="B489">
        <v>2026</v>
      </c>
      <c r="C489" s="25">
        <v>45888</v>
      </c>
      <c r="D489" t="s">
        <v>176</v>
      </c>
      <c r="E489" t="s">
        <v>177</v>
      </c>
      <c r="G489">
        <v>14</v>
      </c>
      <c r="H489">
        <v>22982.59</v>
      </c>
      <c r="I489">
        <f>F489-G489</f>
        <v>-14</v>
      </c>
      <c r="J489" s="26" t="s">
        <v>8</v>
      </c>
      <c r="K489" s="1" t="s">
        <v>18</v>
      </c>
      <c r="L489" s="1">
        <f>IF(J489=K489,0,1)</f>
        <v>1</v>
      </c>
      <c r="M489" s="1">
        <v>-9.9499999999999993</v>
      </c>
    </row>
    <row r="490" spans="1:13" ht="12.75">
      <c r="A490">
        <v>510</v>
      </c>
      <c r="B490">
        <v>2026</v>
      </c>
      <c r="C490" s="25">
        <v>45895</v>
      </c>
      <c r="D490" t="s">
        <v>176</v>
      </c>
      <c r="E490" t="s">
        <v>177</v>
      </c>
      <c r="G490">
        <v>15.05</v>
      </c>
      <c r="H490">
        <v>21779.62</v>
      </c>
      <c r="I490">
        <f>F490-G490</f>
        <v>-15.05</v>
      </c>
      <c r="J490" s="26" t="s">
        <v>8</v>
      </c>
      <c r="K490" s="1" t="s">
        <v>18</v>
      </c>
      <c r="L490" s="1">
        <f>IF(J490=K490,0,1)</f>
        <v>1</v>
      </c>
      <c r="M490" s="1">
        <v>-9.9499999999999993</v>
      </c>
    </row>
    <row r="491" spans="1:13" ht="12.75" hidden="1">
      <c r="A491">
        <v>610</v>
      </c>
      <c r="B491">
        <v>2026</v>
      </c>
      <c r="C491" s="25">
        <v>45979</v>
      </c>
      <c r="D491" t="s">
        <v>178</v>
      </c>
      <c r="E491" t="s">
        <v>177</v>
      </c>
      <c r="G491">
        <v>10</v>
      </c>
      <c r="H491">
        <v>8484.98</v>
      </c>
      <c r="I491">
        <f>F491-G491</f>
        <v>-10</v>
      </c>
      <c r="J491" t="s">
        <v>17</v>
      </c>
      <c r="K491" s="1" t="s">
        <v>17</v>
      </c>
      <c r="L491" s="1">
        <f>IF(J491=K491,0,1)</f>
        <v>0</v>
      </c>
      <c r="M491" s="1">
        <v>-10</v>
      </c>
    </row>
    <row r="492" spans="1:13" ht="12.75" hidden="1">
      <c r="A492">
        <v>611</v>
      </c>
      <c r="B492">
        <v>2026</v>
      </c>
      <c r="C492" s="25">
        <v>45979</v>
      </c>
      <c r="D492" t="s">
        <v>230</v>
      </c>
      <c r="E492" t="s">
        <v>177</v>
      </c>
      <c r="G492">
        <v>5.0999999999999996</v>
      </c>
      <c r="H492">
        <v>8494.98</v>
      </c>
      <c r="I492">
        <f>F492-G492</f>
        <v>-5.0999999999999996</v>
      </c>
      <c r="J492" t="s">
        <v>15</v>
      </c>
      <c r="K492" s="1" t="s">
        <v>15</v>
      </c>
      <c r="L492" s="1">
        <f>IF(J492=K492,0,1)</f>
        <v>0</v>
      </c>
      <c r="M492" s="1">
        <v>-34.14</v>
      </c>
    </row>
    <row r="493" spans="1:13" ht="12.75">
      <c r="A493">
        <v>512</v>
      </c>
      <c r="B493">
        <v>2026</v>
      </c>
      <c r="C493" s="25">
        <v>45895</v>
      </c>
      <c r="D493" t="s">
        <v>211</v>
      </c>
      <c r="E493" t="s">
        <v>177</v>
      </c>
      <c r="G493">
        <v>34.44</v>
      </c>
      <c r="H493">
        <v>21798.17</v>
      </c>
      <c r="I493">
        <f>F493-G493</f>
        <v>-34.44</v>
      </c>
      <c r="J493" s="26" t="s">
        <v>20</v>
      </c>
      <c r="K493" s="1" t="s">
        <v>18</v>
      </c>
      <c r="L493" s="1">
        <f>IF(J493=K493,0,1)</f>
        <v>1</v>
      </c>
      <c r="M493" s="1">
        <v>825</v>
      </c>
    </row>
    <row r="494" spans="1:13" ht="12.75">
      <c r="A494">
        <v>513</v>
      </c>
      <c r="B494">
        <v>2026</v>
      </c>
      <c r="C494" s="25">
        <v>45895</v>
      </c>
      <c r="D494" t="s">
        <v>176</v>
      </c>
      <c r="E494" t="s">
        <v>177</v>
      </c>
      <c r="G494">
        <v>14</v>
      </c>
      <c r="H494">
        <v>21832.61</v>
      </c>
      <c r="I494">
        <f>F494-G494</f>
        <v>-14</v>
      </c>
      <c r="J494" s="26" t="s">
        <v>8</v>
      </c>
      <c r="K494" s="1" t="s">
        <v>18</v>
      </c>
      <c r="L494" s="1">
        <f>IF(J494=K494,0,1)</f>
        <v>1</v>
      </c>
      <c r="M494" s="1">
        <v>-9.9499999999999993</v>
      </c>
    </row>
    <row r="495" spans="1:13" ht="12.75" hidden="1">
      <c r="A495">
        <v>614</v>
      </c>
      <c r="B495">
        <v>2026</v>
      </c>
      <c r="C495" s="25">
        <v>45980</v>
      </c>
      <c r="D495" t="s">
        <v>239</v>
      </c>
      <c r="E495" t="s">
        <v>177</v>
      </c>
      <c r="G495">
        <v>5.15</v>
      </c>
      <c r="H495">
        <v>9270.69</v>
      </c>
      <c r="I495">
        <f>F495-G495</f>
        <v>-5.15</v>
      </c>
      <c r="J495" t="s">
        <v>15</v>
      </c>
      <c r="K495" s="1" t="s">
        <v>15</v>
      </c>
      <c r="L495" s="1">
        <f>IF(J495=K495,0,1)</f>
        <v>0</v>
      </c>
      <c r="M495" s="1">
        <v>-24.98</v>
      </c>
    </row>
    <row r="496" spans="1:13" ht="12.75" hidden="1">
      <c r="A496">
        <v>615</v>
      </c>
      <c r="B496">
        <v>2026</v>
      </c>
      <c r="C496" s="25">
        <v>45980</v>
      </c>
      <c r="D496" t="s">
        <v>174</v>
      </c>
      <c r="E496" t="s">
        <v>44</v>
      </c>
      <c r="F496">
        <v>825</v>
      </c>
      <c r="H496">
        <v>9275.84</v>
      </c>
      <c r="I496">
        <f>F496-G496</f>
        <v>825</v>
      </c>
      <c r="J496" t="s">
        <v>14</v>
      </c>
      <c r="K496" s="1" t="s">
        <v>14</v>
      </c>
      <c r="L496" s="1">
        <f>IF(J496=K496,0,1)</f>
        <v>0</v>
      </c>
      <c r="M496" s="1">
        <v>-33.840000000000003</v>
      </c>
    </row>
    <row r="497" spans="1:13" ht="12.75">
      <c r="A497">
        <v>519</v>
      </c>
      <c r="B497">
        <v>2026</v>
      </c>
      <c r="C497" s="25">
        <v>45897</v>
      </c>
      <c r="D497" t="s">
        <v>176</v>
      </c>
      <c r="E497" t="s">
        <v>177</v>
      </c>
      <c r="G497">
        <v>14</v>
      </c>
      <c r="H497">
        <v>21724.720000000001</v>
      </c>
      <c r="I497">
        <f>F497-G497</f>
        <v>-14</v>
      </c>
      <c r="J497" s="26" t="s">
        <v>8</v>
      </c>
      <c r="K497" s="1" t="s">
        <v>18</v>
      </c>
      <c r="L497" s="1">
        <f>IF(J497=K497,0,1)</f>
        <v>1</v>
      </c>
      <c r="M497" s="1">
        <v>-173</v>
      </c>
    </row>
    <row r="498" spans="1:13" ht="12.75">
      <c r="A498">
        <v>525</v>
      </c>
      <c r="B498">
        <v>2026</v>
      </c>
      <c r="C498" s="25">
        <v>45902</v>
      </c>
      <c r="D498" t="s">
        <v>226</v>
      </c>
      <c r="E498" t="s">
        <v>177</v>
      </c>
      <c r="G498">
        <v>39.61</v>
      </c>
      <c r="H498">
        <v>8200.7900000000009</v>
      </c>
      <c r="I498">
        <f>F498-G498</f>
        <v>-39.61</v>
      </c>
      <c r="J498" s="26" t="s">
        <v>8</v>
      </c>
      <c r="K498" s="1" t="s">
        <v>18</v>
      </c>
      <c r="L498" s="1">
        <f>IF(J498=K498,0,1)</f>
        <v>1</v>
      </c>
      <c r="M498" s="1">
        <v>350</v>
      </c>
    </row>
    <row r="499" spans="1:13" ht="12.75" hidden="1">
      <c r="A499">
        <v>618</v>
      </c>
      <c r="B499">
        <v>2026</v>
      </c>
      <c r="C499" s="25">
        <v>45982</v>
      </c>
      <c r="D499" t="s">
        <v>174</v>
      </c>
      <c r="E499" t="s">
        <v>44</v>
      </c>
      <c r="F499">
        <v>350</v>
      </c>
      <c r="H499">
        <v>9388.8700000000008</v>
      </c>
      <c r="I499">
        <f>F499-G499</f>
        <v>350</v>
      </c>
      <c r="J499" t="s">
        <v>14</v>
      </c>
      <c r="K499" s="1" t="s">
        <v>14</v>
      </c>
      <c r="L499" s="1">
        <f>IF(J499=K499,0,1)</f>
        <v>0</v>
      </c>
      <c r="M499" s="1">
        <v>-34.14</v>
      </c>
    </row>
    <row r="500" spans="1:13" ht="12.75">
      <c r="A500">
        <v>526</v>
      </c>
      <c r="B500">
        <v>2026</v>
      </c>
      <c r="C500" s="25">
        <v>45902</v>
      </c>
      <c r="D500" t="s">
        <v>176</v>
      </c>
      <c r="E500" t="s">
        <v>177</v>
      </c>
      <c r="G500">
        <v>14</v>
      </c>
      <c r="H500">
        <v>8240.4</v>
      </c>
      <c r="I500">
        <f>F500-G500</f>
        <v>-14</v>
      </c>
      <c r="J500" s="26" t="s">
        <v>8</v>
      </c>
      <c r="K500" s="1" t="s">
        <v>18</v>
      </c>
      <c r="L500" s="1">
        <f>IF(J500=K500,0,1)</f>
        <v>1</v>
      </c>
      <c r="M500" s="1">
        <v>-3.95</v>
      </c>
    </row>
    <row r="501" spans="1:13" ht="12.75">
      <c r="A501">
        <v>530</v>
      </c>
      <c r="B501">
        <v>2026</v>
      </c>
      <c r="C501" s="25">
        <v>45908</v>
      </c>
      <c r="D501" t="s">
        <v>176</v>
      </c>
      <c r="E501" t="s">
        <v>177</v>
      </c>
      <c r="G501">
        <v>41.14</v>
      </c>
      <c r="H501">
        <v>8931.15</v>
      </c>
      <c r="I501">
        <f>F501-G501</f>
        <v>-41.14</v>
      </c>
      <c r="J501" s="26" t="s">
        <v>8</v>
      </c>
      <c r="K501" s="1" t="s">
        <v>18</v>
      </c>
      <c r="L501" s="1">
        <f>IF(J501=K501,0,1)</f>
        <v>1</v>
      </c>
      <c r="M501" s="1">
        <v>-1047.5</v>
      </c>
    </row>
    <row r="502" spans="1:13" ht="12.75">
      <c r="A502">
        <v>535</v>
      </c>
      <c r="B502">
        <v>2026</v>
      </c>
      <c r="C502" s="25">
        <v>45909</v>
      </c>
      <c r="D502" t="s">
        <v>176</v>
      </c>
      <c r="E502" t="s">
        <v>177</v>
      </c>
      <c r="G502">
        <v>4</v>
      </c>
      <c r="H502">
        <v>8927.15</v>
      </c>
      <c r="I502">
        <f>F502-G502</f>
        <v>-4</v>
      </c>
      <c r="J502" s="26" t="s">
        <v>8</v>
      </c>
      <c r="K502" s="1" t="s">
        <v>18</v>
      </c>
      <c r="L502" s="1">
        <f>IF(J502=K502,0,1)</f>
        <v>1</v>
      </c>
      <c r="M502" s="1">
        <v>-1047.5</v>
      </c>
    </row>
    <row r="503" spans="1:13" ht="12.75">
      <c r="A503">
        <v>541</v>
      </c>
      <c r="B503">
        <v>2026</v>
      </c>
      <c r="C503" s="25">
        <v>45915</v>
      </c>
      <c r="D503" t="s">
        <v>176</v>
      </c>
      <c r="E503" t="s">
        <v>177</v>
      </c>
      <c r="G503">
        <v>4</v>
      </c>
      <c r="H503">
        <v>10388.700000000001</v>
      </c>
      <c r="I503">
        <f>F503-G503</f>
        <v>-4</v>
      </c>
      <c r="J503" s="26" t="s">
        <v>8</v>
      </c>
      <c r="K503" s="1" t="s">
        <v>18</v>
      </c>
      <c r="L503" s="1">
        <f>IF(J503=K503,0,1)</f>
        <v>1</v>
      </c>
      <c r="M503" s="1">
        <v>-1500</v>
      </c>
    </row>
    <row r="504" spans="1:13" ht="12.75">
      <c r="A504">
        <v>542</v>
      </c>
      <c r="B504">
        <v>2026</v>
      </c>
      <c r="C504" s="25">
        <v>45916</v>
      </c>
      <c r="D504" t="s">
        <v>176</v>
      </c>
      <c r="E504" t="s">
        <v>177</v>
      </c>
      <c r="G504">
        <v>51.11</v>
      </c>
      <c r="H504">
        <v>9205.2800000000007</v>
      </c>
      <c r="I504">
        <f>F504-G504</f>
        <v>-51.11</v>
      </c>
      <c r="J504" s="26" t="s">
        <v>8</v>
      </c>
      <c r="K504" s="1" t="s">
        <v>18</v>
      </c>
      <c r="L504" s="1">
        <f>IF(J504=K504,0,1)</f>
        <v>1</v>
      </c>
      <c r="M504" s="1">
        <v>-9.9499999999999993</v>
      </c>
    </row>
    <row r="505" spans="1:13" ht="12.75" hidden="1">
      <c r="A505">
        <v>624</v>
      </c>
      <c r="B505">
        <v>2026</v>
      </c>
      <c r="C505" s="25">
        <v>45986</v>
      </c>
      <c r="D505" t="s">
        <v>178</v>
      </c>
      <c r="E505" t="s">
        <v>177</v>
      </c>
      <c r="G505">
        <v>10</v>
      </c>
      <c r="H505">
        <v>5733.75</v>
      </c>
      <c r="I505">
        <f>F505-G505</f>
        <v>-10</v>
      </c>
      <c r="J505" t="s">
        <v>17</v>
      </c>
      <c r="K505" s="1" t="s">
        <v>17</v>
      </c>
      <c r="L505" s="1">
        <f>IF(J505=K505,0,1)</f>
        <v>0</v>
      </c>
      <c r="M505" s="1">
        <v>-3.5</v>
      </c>
    </row>
    <row r="506" spans="1:13" ht="12.75" hidden="1">
      <c r="A506">
        <v>625</v>
      </c>
      <c r="B506">
        <v>2026</v>
      </c>
      <c r="C506" s="25">
        <v>45986</v>
      </c>
      <c r="D506" t="s">
        <v>180</v>
      </c>
      <c r="E506" t="s">
        <v>177</v>
      </c>
      <c r="G506">
        <v>6.93</v>
      </c>
      <c r="H506">
        <v>5743.75</v>
      </c>
      <c r="I506">
        <f>F506-G506</f>
        <v>-6.93</v>
      </c>
      <c r="J506" t="s">
        <v>15</v>
      </c>
      <c r="K506" s="1" t="s">
        <v>15</v>
      </c>
      <c r="L506" s="1">
        <f>IF(J506=K506,0,1)</f>
        <v>0</v>
      </c>
      <c r="M506" s="1">
        <v>-10</v>
      </c>
    </row>
    <row r="507" spans="1:13" ht="12.75" hidden="1">
      <c r="A507">
        <v>626</v>
      </c>
      <c r="B507">
        <v>2026</v>
      </c>
      <c r="C507" s="25">
        <v>45986</v>
      </c>
      <c r="D507" t="s">
        <v>230</v>
      </c>
      <c r="E507" t="s">
        <v>177</v>
      </c>
      <c r="G507">
        <v>5.0999999999999996</v>
      </c>
      <c r="H507">
        <v>5750.68</v>
      </c>
      <c r="I507">
        <f>F507-G507</f>
        <v>-5.0999999999999996</v>
      </c>
      <c r="J507" t="s">
        <v>15</v>
      </c>
      <c r="K507" s="1" t="s">
        <v>15</v>
      </c>
      <c r="L507" s="1">
        <f>IF(J507=K507,0,1)</f>
        <v>0</v>
      </c>
      <c r="M507" s="1">
        <v>-45.05</v>
      </c>
    </row>
    <row r="508" spans="1:13" ht="12.75">
      <c r="A508">
        <v>545</v>
      </c>
      <c r="B508">
        <v>2026</v>
      </c>
      <c r="C508" s="25">
        <v>45916</v>
      </c>
      <c r="D508" t="s">
        <v>176</v>
      </c>
      <c r="E508" t="s">
        <v>177</v>
      </c>
      <c r="G508">
        <v>5.05</v>
      </c>
      <c r="H508">
        <v>9276.34</v>
      </c>
      <c r="I508">
        <f>F508-G508</f>
        <v>-5.05</v>
      </c>
      <c r="J508" s="26" t="s">
        <v>8</v>
      </c>
      <c r="K508" s="1" t="s">
        <v>18</v>
      </c>
      <c r="L508" s="1">
        <f>IF(J508=K508,0,1)</f>
        <v>1</v>
      </c>
      <c r="M508" s="1">
        <v>3375</v>
      </c>
    </row>
    <row r="509" spans="1:13" ht="12.75" hidden="1">
      <c r="A509">
        <v>628</v>
      </c>
      <c r="B509">
        <v>2026</v>
      </c>
      <c r="C509" s="25">
        <v>45989</v>
      </c>
      <c r="D509" t="s">
        <v>230</v>
      </c>
      <c r="E509" t="s">
        <v>177</v>
      </c>
      <c r="G509">
        <v>2.9</v>
      </c>
      <c r="H509">
        <v>9060.7999999999993</v>
      </c>
      <c r="I509">
        <f>F509-G509</f>
        <v>-2.9</v>
      </c>
      <c r="J509" t="s">
        <v>15</v>
      </c>
      <c r="K509" s="1" t="s">
        <v>15</v>
      </c>
      <c r="L509" s="1">
        <f>IF(J509=K509,0,1)</f>
        <v>0</v>
      </c>
      <c r="M509" s="1">
        <v>-3.5</v>
      </c>
    </row>
    <row r="510" spans="1:13" ht="12.75" hidden="1">
      <c r="A510">
        <v>629</v>
      </c>
      <c r="B510">
        <v>2026</v>
      </c>
      <c r="C510" s="25">
        <v>45989</v>
      </c>
      <c r="D510" t="s">
        <v>174</v>
      </c>
      <c r="E510" t="s">
        <v>44</v>
      </c>
      <c r="F510">
        <v>3375</v>
      </c>
      <c r="H510">
        <v>9063.7000000000007</v>
      </c>
      <c r="I510">
        <f>F510-G510</f>
        <v>3375</v>
      </c>
      <c r="J510" t="s">
        <v>14</v>
      </c>
      <c r="K510" s="1" t="s">
        <v>14</v>
      </c>
      <c r="L510" s="1">
        <f>IF(J510=K510,0,1)</f>
        <v>0</v>
      </c>
      <c r="M510" s="1">
        <v>-51.87</v>
      </c>
    </row>
    <row r="511" spans="1:13" ht="12.75" hidden="1">
      <c r="A511">
        <v>630</v>
      </c>
      <c r="B511">
        <v>2026</v>
      </c>
      <c r="C511" s="25">
        <v>45992</v>
      </c>
      <c r="D511" t="s">
        <v>176</v>
      </c>
      <c r="E511" t="s">
        <v>177</v>
      </c>
      <c r="G511">
        <v>5.05</v>
      </c>
      <c r="H511">
        <v>8695.64</v>
      </c>
      <c r="I511">
        <f>F511-G511</f>
        <v>-5.05</v>
      </c>
      <c r="J511" t="s">
        <v>18</v>
      </c>
      <c r="K511" s="1" t="s">
        <v>18</v>
      </c>
      <c r="L511" s="1">
        <f>IF(J511=K511,0,1)</f>
        <v>0</v>
      </c>
      <c r="M511" s="1">
        <v>-304.33999999999997</v>
      </c>
    </row>
    <row r="512" spans="1:13" ht="12.75">
      <c r="A512">
        <v>552</v>
      </c>
      <c r="B512">
        <v>2026</v>
      </c>
      <c r="C512" s="25">
        <v>45923</v>
      </c>
      <c r="D512" t="s">
        <v>226</v>
      </c>
      <c r="E512" t="s">
        <v>177</v>
      </c>
      <c r="G512">
        <v>39.17</v>
      </c>
      <c r="H512">
        <v>9797.81</v>
      </c>
      <c r="I512">
        <f>F512-G512</f>
        <v>-39.17</v>
      </c>
      <c r="J512" s="26" t="s">
        <v>8</v>
      </c>
      <c r="K512" s="1" t="s">
        <v>18</v>
      </c>
      <c r="L512" s="1">
        <f>IF(J512=K512,0,1)</f>
        <v>1</v>
      </c>
      <c r="M512" s="1">
        <v>-3.95</v>
      </c>
    </row>
    <row r="513" spans="1:13" ht="25.5" hidden="1">
      <c r="A513">
        <v>632</v>
      </c>
      <c r="B513">
        <v>2026</v>
      </c>
      <c r="C513" s="25">
        <v>45992</v>
      </c>
      <c r="D513" t="s">
        <v>240</v>
      </c>
      <c r="E513" t="s">
        <v>241</v>
      </c>
      <c r="G513">
        <v>304.33999999999997</v>
      </c>
      <c r="H513">
        <v>8704.59</v>
      </c>
      <c r="I513">
        <f>F513-G513</f>
        <v>-304.33999999999997</v>
      </c>
      <c r="J513" t="s">
        <v>19</v>
      </c>
      <c r="K513" s="1" t="s">
        <v>264</v>
      </c>
      <c r="L513" s="1">
        <f>IF(J513=K513,0,1)</f>
        <v>0</v>
      </c>
      <c r="M513" s="1">
        <v>-3.95</v>
      </c>
    </row>
    <row r="514" spans="1:13" ht="12.75" hidden="1">
      <c r="A514">
        <v>633</v>
      </c>
      <c r="B514">
        <v>2026</v>
      </c>
      <c r="C514" s="25">
        <v>45993</v>
      </c>
      <c r="D514" t="s">
        <v>176</v>
      </c>
      <c r="E514" t="s">
        <v>177</v>
      </c>
      <c r="G514">
        <v>29.22</v>
      </c>
      <c r="H514">
        <v>8647.6200000000008</v>
      </c>
      <c r="I514">
        <f>F514-G514</f>
        <v>-29.22</v>
      </c>
      <c r="J514" t="s">
        <v>18</v>
      </c>
      <c r="K514" s="1" t="s">
        <v>18</v>
      </c>
      <c r="L514" s="1">
        <f>IF(J514=K514,0,1)</f>
        <v>0</v>
      </c>
      <c r="M514" s="1">
        <v>-3.5</v>
      </c>
    </row>
    <row r="515" spans="1:13" ht="12.75" hidden="1">
      <c r="A515">
        <v>634</v>
      </c>
      <c r="B515">
        <v>2026</v>
      </c>
      <c r="C515" s="25">
        <v>45993</v>
      </c>
      <c r="D515" t="s">
        <v>178</v>
      </c>
      <c r="E515" t="s">
        <v>177</v>
      </c>
      <c r="G515">
        <v>10</v>
      </c>
      <c r="H515">
        <v>8676.84</v>
      </c>
      <c r="I515">
        <f>F515-G515</f>
        <v>-10</v>
      </c>
      <c r="J515" t="s">
        <v>17</v>
      </c>
      <c r="K515" s="1" t="s">
        <v>17</v>
      </c>
      <c r="L515" s="1">
        <f>IF(J515=K515,0,1)</f>
        <v>0</v>
      </c>
      <c r="M515" s="1">
        <v>-10</v>
      </c>
    </row>
    <row r="516" spans="1:13" ht="12.75" hidden="1">
      <c r="A516">
        <v>635</v>
      </c>
      <c r="B516">
        <v>2026</v>
      </c>
      <c r="C516" s="25">
        <v>45993</v>
      </c>
      <c r="D516" t="s">
        <v>230</v>
      </c>
      <c r="E516" t="s">
        <v>177</v>
      </c>
      <c r="G516">
        <v>8.8000000000000007</v>
      </c>
      <c r="H516">
        <v>8686.84</v>
      </c>
      <c r="I516">
        <f>F516-G516</f>
        <v>-8.8000000000000007</v>
      </c>
      <c r="J516" t="s">
        <v>15</v>
      </c>
      <c r="K516" s="1" t="s">
        <v>15</v>
      </c>
      <c r="L516" s="1">
        <f>IF(J516=K516,0,1)</f>
        <v>0</v>
      </c>
      <c r="M516" s="1">
        <v>-29.22</v>
      </c>
    </row>
    <row r="517" spans="1:13" ht="12.75" hidden="1">
      <c r="A517">
        <v>636</v>
      </c>
      <c r="B517">
        <v>2026</v>
      </c>
      <c r="C517" s="25">
        <v>45994</v>
      </c>
      <c r="D517" t="s">
        <v>174</v>
      </c>
      <c r="E517" t="s">
        <v>44</v>
      </c>
      <c r="F517">
        <v>1964.34</v>
      </c>
      <c r="H517">
        <v>10611.96</v>
      </c>
      <c r="I517">
        <f>F517-G517</f>
        <v>1964.34</v>
      </c>
      <c r="J517" t="s">
        <v>14</v>
      </c>
      <c r="K517" s="1" t="s">
        <v>14</v>
      </c>
      <c r="L517" s="1">
        <f>IF(J517=K517,0,1)</f>
        <v>0</v>
      </c>
      <c r="M517" s="1">
        <v>1964.34</v>
      </c>
    </row>
    <row r="518" spans="1:13" ht="12.75">
      <c r="A518">
        <v>557</v>
      </c>
      <c r="B518">
        <v>2026</v>
      </c>
      <c r="C518" s="25">
        <v>45923</v>
      </c>
      <c r="D518" t="s">
        <v>176</v>
      </c>
      <c r="E518" t="s">
        <v>177</v>
      </c>
      <c r="G518">
        <v>4</v>
      </c>
      <c r="H518">
        <v>9869.2900000000009</v>
      </c>
      <c r="I518">
        <f>F518-G518</f>
        <v>-4</v>
      </c>
      <c r="J518" s="26" t="s">
        <v>8</v>
      </c>
      <c r="K518" s="1" t="s">
        <v>18</v>
      </c>
      <c r="L518" s="1">
        <f>IF(J518=K518,0,1)</f>
        <v>1</v>
      </c>
      <c r="M518" s="1">
        <v>-35.130000000000003</v>
      </c>
    </row>
    <row r="519" spans="1:13" ht="12.75" hidden="1">
      <c r="A519">
        <v>638</v>
      </c>
      <c r="B519">
        <v>2026</v>
      </c>
      <c r="C519" s="25">
        <v>45999</v>
      </c>
      <c r="D519" t="s">
        <v>176</v>
      </c>
      <c r="E519" t="s">
        <v>177</v>
      </c>
      <c r="G519">
        <v>15.98</v>
      </c>
      <c r="H519">
        <v>10555.95</v>
      </c>
      <c r="I519">
        <f>F519-G519</f>
        <v>-15.98</v>
      </c>
      <c r="J519" t="s">
        <v>18</v>
      </c>
      <c r="K519" s="1" t="s">
        <v>18</v>
      </c>
      <c r="L519" s="1">
        <f>IF(J519=K519,0,1)</f>
        <v>0</v>
      </c>
      <c r="M519" s="1">
        <v>-3.5</v>
      </c>
    </row>
    <row r="520" spans="1:13" ht="12.75" hidden="1">
      <c r="A520">
        <v>639</v>
      </c>
      <c r="B520">
        <v>2026</v>
      </c>
      <c r="C520" s="25">
        <v>45999</v>
      </c>
      <c r="D520" t="s">
        <v>230</v>
      </c>
      <c r="E520" t="s">
        <v>177</v>
      </c>
      <c r="G520">
        <v>4.9000000000000004</v>
      </c>
      <c r="H520">
        <v>10571.93</v>
      </c>
      <c r="I520">
        <f>F520-G520</f>
        <v>-4.9000000000000004</v>
      </c>
      <c r="J520" t="s">
        <v>15</v>
      </c>
      <c r="K520" s="1" t="s">
        <v>15</v>
      </c>
      <c r="L520" s="1">
        <f>IF(J520=K520,0,1)</f>
        <v>0</v>
      </c>
      <c r="M520" s="1">
        <v>-15.98</v>
      </c>
    </row>
    <row r="521" spans="1:13" ht="12.75">
      <c r="A521">
        <v>561</v>
      </c>
      <c r="B521">
        <v>2026</v>
      </c>
      <c r="C521" s="25">
        <v>45925</v>
      </c>
      <c r="D521" t="s">
        <v>211</v>
      </c>
      <c r="E521" t="s">
        <v>177</v>
      </c>
      <c r="G521">
        <v>20.74</v>
      </c>
      <c r="H521">
        <v>11460.15</v>
      </c>
      <c r="I521">
        <f>F521-G521</f>
        <v>-20.74</v>
      </c>
      <c r="J521" s="26" t="s">
        <v>20</v>
      </c>
      <c r="K521" s="1" t="s">
        <v>18</v>
      </c>
      <c r="L521" s="1">
        <f>IF(J521=K521,0,1)</f>
        <v>1</v>
      </c>
      <c r="M521" s="1">
        <v>-15.98</v>
      </c>
    </row>
    <row r="522" spans="1:13" ht="12.75">
      <c r="A522">
        <v>570</v>
      </c>
      <c r="B522">
        <v>2026</v>
      </c>
      <c r="C522" s="25">
        <v>45930</v>
      </c>
      <c r="D522" t="s">
        <v>176</v>
      </c>
      <c r="E522" t="s">
        <v>177</v>
      </c>
      <c r="G522">
        <v>37.53</v>
      </c>
      <c r="H522">
        <v>8978.65</v>
      </c>
      <c r="I522">
        <f>F522-G522</f>
        <v>-37.53</v>
      </c>
      <c r="J522" s="26" t="s">
        <v>8</v>
      </c>
      <c r="K522" s="1" t="s">
        <v>18</v>
      </c>
      <c r="L522" s="1">
        <f>IF(J522=K522,0,1)</f>
        <v>1</v>
      </c>
      <c r="M522" s="1">
        <v>-41.12</v>
      </c>
    </row>
    <row r="523" spans="1:13" ht="12.75" hidden="1">
      <c r="A523">
        <v>642</v>
      </c>
      <c r="B523">
        <v>2026</v>
      </c>
      <c r="C523" s="25">
        <v>46000</v>
      </c>
      <c r="D523" t="s">
        <v>176</v>
      </c>
      <c r="E523" t="s">
        <v>177</v>
      </c>
      <c r="G523">
        <v>15.98</v>
      </c>
      <c r="H523">
        <v>10539.97</v>
      </c>
      <c r="I523">
        <f>F523-G523</f>
        <v>-15.98</v>
      </c>
      <c r="J523" t="s">
        <v>18</v>
      </c>
      <c r="K523" s="1" t="s">
        <v>18</v>
      </c>
      <c r="L523" s="1">
        <f>IF(J523=K523,0,1)</f>
        <v>0</v>
      </c>
      <c r="M523" s="1">
        <v>-400</v>
      </c>
    </row>
    <row r="524" spans="1:13" ht="12.75">
      <c r="A524">
        <v>573</v>
      </c>
      <c r="B524">
        <v>2026</v>
      </c>
      <c r="C524" s="25">
        <v>45933</v>
      </c>
      <c r="D524" t="s">
        <v>233</v>
      </c>
      <c r="E524" t="s">
        <v>177</v>
      </c>
      <c r="G524">
        <v>30</v>
      </c>
      <c r="H524">
        <v>10620.25</v>
      </c>
      <c r="I524">
        <f>F524-G524</f>
        <v>-30</v>
      </c>
      <c r="J524" s="26" t="s">
        <v>17</v>
      </c>
      <c r="K524" s="1" t="s">
        <v>18</v>
      </c>
      <c r="L524" s="1">
        <f>IF(J524=K524,0,1)</f>
        <v>1</v>
      </c>
      <c r="M524" s="1">
        <v>-3.5</v>
      </c>
    </row>
    <row r="525" spans="1:13" ht="12.75" hidden="1">
      <c r="A525">
        <v>644</v>
      </c>
      <c r="B525">
        <v>2026</v>
      </c>
      <c r="C525" s="25">
        <v>46001</v>
      </c>
      <c r="D525" t="s">
        <v>230</v>
      </c>
      <c r="E525" t="s">
        <v>177</v>
      </c>
      <c r="G525">
        <v>5.8</v>
      </c>
      <c r="H525">
        <v>10093.049999999999</v>
      </c>
      <c r="I525">
        <f>F525-G525</f>
        <v>-5.8</v>
      </c>
      <c r="J525" t="s">
        <v>15</v>
      </c>
      <c r="K525" s="1" t="s">
        <v>15</v>
      </c>
      <c r="L525" s="1">
        <f>IF(J525=K525,0,1)</f>
        <v>0</v>
      </c>
      <c r="M525" s="1">
        <v>-41.77</v>
      </c>
    </row>
    <row r="526" spans="1:13" ht="12.75">
      <c r="A526">
        <v>587</v>
      </c>
      <c r="B526">
        <v>2026</v>
      </c>
      <c r="C526" s="25">
        <v>45958</v>
      </c>
      <c r="D526" t="s">
        <v>237</v>
      </c>
      <c r="E526" t="s">
        <v>177</v>
      </c>
      <c r="G526">
        <v>40.119999999999997</v>
      </c>
      <c r="H526">
        <v>6642.81</v>
      </c>
      <c r="I526">
        <f>F526-G526</f>
        <v>-40.119999999999997</v>
      </c>
      <c r="J526" s="26" t="s">
        <v>9</v>
      </c>
      <c r="K526" s="1" t="s">
        <v>18</v>
      </c>
      <c r="L526" s="1">
        <f>IF(J526=K526,0,1)</f>
        <v>1</v>
      </c>
      <c r="M526" s="1">
        <v>-6</v>
      </c>
    </row>
    <row r="527" spans="1:13" ht="12.75" hidden="1">
      <c r="A527">
        <v>646</v>
      </c>
      <c r="B527">
        <v>2026</v>
      </c>
      <c r="C527" s="25">
        <v>46006</v>
      </c>
      <c r="D527" t="s">
        <v>176</v>
      </c>
      <c r="E527" t="s">
        <v>177</v>
      </c>
      <c r="G527">
        <v>16.39</v>
      </c>
      <c r="H527">
        <v>10033.34</v>
      </c>
      <c r="I527">
        <f>F527-G527</f>
        <v>-16.39</v>
      </c>
      <c r="J527" t="s">
        <v>18</v>
      </c>
      <c r="K527" s="1" t="s">
        <v>18</v>
      </c>
      <c r="L527" s="1">
        <f>IF(J527=K527,0,1)</f>
        <v>0</v>
      </c>
      <c r="M527" s="1">
        <v>-16.39</v>
      </c>
    </row>
    <row r="528" spans="1:13" ht="12.75">
      <c r="A528">
        <v>598</v>
      </c>
      <c r="B528">
        <v>2026</v>
      </c>
      <c r="C528" s="25">
        <v>45971</v>
      </c>
      <c r="D528" t="s">
        <v>218</v>
      </c>
      <c r="E528" t="s">
        <v>177</v>
      </c>
      <c r="G528">
        <v>50.1</v>
      </c>
      <c r="H528">
        <v>6819.51</v>
      </c>
      <c r="I528">
        <f>F528-G528</f>
        <v>-50.1</v>
      </c>
      <c r="J528" s="26" t="s">
        <v>9</v>
      </c>
      <c r="K528" s="1" t="s">
        <v>18</v>
      </c>
      <c r="L528" s="1">
        <f>IF(J528=K528,0,1)</f>
        <v>1</v>
      </c>
      <c r="M528" s="1">
        <v>-3.95</v>
      </c>
    </row>
    <row r="529" spans="1:13" ht="12.75" hidden="1">
      <c r="A529">
        <v>648</v>
      </c>
      <c r="B529">
        <v>2026</v>
      </c>
      <c r="C529" s="25">
        <v>46007</v>
      </c>
      <c r="D529" t="s">
        <v>178</v>
      </c>
      <c r="E529" t="s">
        <v>177</v>
      </c>
      <c r="G529">
        <v>10</v>
      </c>
      <c r="H529">
        <v>10021.89</v>
      </c>
      <c r="I529">
        <f>F529-G529</f>
        <v>-10</v>
      </c>
      <c r="J529" t="s">
        <v>17</v>
      </c>
      <c r="K529" s="1" t="s">
        <v>17</v>
      </c>
      <c r="L529" s="1">
        <f>IF(J529=K529,0,1)</f>
        <v>0</v>
      </c>
      <c r="M529" s="1">
        <v>-10</v>
      </c>
    </row>
    <row r="530" spans="1:13" ht="12.75">
      <c r="A530">
        <v>603</v>
      </c>
      <c r="B530">
        <v>2026</v>
      </c>
      <c r="C530" s="25">
        <v>45974</v>
      </c>
      <c r="D530" t="s">
        <v>238</v>
      </c>
      <c r="E530" t="s">
        <v>177</v>
      </c>
      <c r="G530">
        <v>30.98</v>
      </c>
      <c r="H530">
        <v>8406.1299999999992</v>
      </c>
      <c r="I530">
        <f>F530-G530</f>
        <v>-30.98</v>
      </c>
      <c r="J530" s="26" t="s">
        <v>20</v>
      </c>
      <c r="K530" s="1" t="s">
        <v>18</v>
      </c>
      <c r="L530" s="1">
        <f>IF(J530=K530,0,1)</f>
        <v>1</v>
      </c>
      <c r="M530" s="1">
        <v>-35.130000000000003</v>
      </c>
    </row>
    <row r="531" spans="1:13" ht="12.75">
      <c r="A531">
        <v>609</v>
      </c>
      <c r="B531">
        <v>2026</v>
      </c>
      <c r="C531" s="25">
        <v>45979</v>
      </c>
      <c r="D531" t="s">
        <v>233</v>
      </c>
      <c r="E531" t="s">
        <v>177</v>
      </c>
      <c r="G531">
        <v>34.14</v>
      </c>
      <c r="H531">
        <v>8450.84</v>
      </c>
      <c r="I531">
        <f>F531-G531</f>
        <v>-34.14</v>
      </c>
      <c r="J531" s="26" t="s">
        <v>17</v>
      </c>
      <c r="K531" s="1" t="s">
        <v>18</v>
      </c>
      <c r="L531" s="1">
        <f>IF(J531=K531,0,1)</f>
        <v>1</v>
      </c>
      <c r="M531" s="1">
        <v>-40.130000000000003</v>
      </c>
    </row>
    <row r="532" spans="1:13" ht="12.75" hidden="1">
      <c r="A532">
        <v>651</v>
      </c>
      <c r="B532">
        <v>2026</v>
      </c>
      <c r="C532" s="25">
        <v>46013</v>
      </c>
      <c r="D532" t="s">
        <v>176</v>
      </c>
      <c r="E532" t="s">
        <v>177</v>
      </c>
      <c r="G532">
        <v>4</v>
      </c>
      <c r="H532">
        <v>9942.6299999999992</v>
      </c>
      <c r="I532">
        <f>F532-G532</f>
        <v>-4</v>
      </c>
      <c r="J532" t="s">
        <v>18</v>
      </c>
      <c r="K532" s="1" t="s">
        <v>18</v>
      </c>
      <c r="L532" s="1">
        <f>IF(J532=K532,0,1)</f>
        <v>0</v>
      </c>
      <c r="M532" s="1">
        <v>-3.95</v>
      </c>
    </row>
    <row r="533" spans="1:13" ht="12.75">
      <c r="A533">
        <v>617</v>
      </c>
      <c r="B533">
        <v>2026</v>
      </c>
      <c r="C533" s="25">
        <v>45982</v>
      </c>
      <c r="D533" t="s">
        <v>233</v>
      </c>
      <c r="E533" t="s">
        <v>177</v>
      </c>
      <c r="G533">
        <v>34.14</v>
      </c>
      <c r="H533">
        <v>9354.73</v>
      </c>
      <c r="I533">
        <f>F533-G533</f>
        <v>-34.14</v>
      </c>
      <c r="J533" s="26" t="s">
        <v>17</v>
      </c>
      <c r="K533" s="1" t="s">
        <v>18</v>
      </c>
      <c r="L533" s="1">
        <f>IF(J533=K533,0,1)</f>
        <v>1</v>
      </c>
      <c r="M533" s="1">
        <v>-3.95</v>
      </c>
    </row>
    <row r="534" spans="1:13" ht="12.75" hidden="1">
      <c r="A534">
        <v>653</v>
      </c>
      <c r="B534">
        <v>2026</v>
      </c>
      <c r="C534" s="25">
        <v>46014</v>
      </c>
      <c r="D534" t="s">
        <v>230</v>
      </c>
      <c r="E534" t="s">
        <v>177</v>
      </c>
      <c r="G534">
        <v>4.9000000000000004</v>
      </c>
      <c r="H534">
        <v>9933.7800000000007</v>
      </c>
      <c r="I534">
        <f>F534-G534</f>
        <v>-4.9000000000000004</v>
      </c>
      <c r="J534" t="s">
        <v>15</v>
      </c>
      <c r="K534" s="1" t="s">
        <v>15</v>
      </c>
      <c r="L534" s="1">
        <f>IF(J534=K534,0,1)</f>
        <v>0</v>
      </c>
      <c r="M534" s="1">
        <v>-3.95</v>
      </c>
    </row>
    <row r="535" spans="1:13" ht="12.75">
      <c r="A535">
        <v>623</v>
      </c>
      <c r="B535">
        <v>2026</v>
      </c>
      <c r="C535" s="25">
        <v>45986</v>
      </c>
      <c r="D535" t="s">
        <v>238</v>
      </c>
      <c r="E535" t="s">
        <v>177</v>
      </c>
      <c r="G535">
        <v>45.05</v>
      </c>
      <c r="H535">
        <v>5688.7</v>
      </c>
      <c r="I535">
        <f>F535-G535</f>
        <v>-45.05</v>
      </c>
      <c r="J535" s="26" t="s">
        <v>20</v>
      </c>
      <c r="K535" s="1" t="s">
        <v>18</v>
      </c>
      <c r="L535" s="1">
        <f>IF(J535=K535,0,1)</f>
        <v>1</v>
      </c>
      <c r="M535" s="1">
        <v>-39.19</v>
      </c>
    </row>
    <row r="536" spans="1:13" ht="12.75" hidden="1">
      <c r="A536">
        <v>655</v>
      </c>
      <c r="B536">
        <v>2026</v>
      </c>
      <c r="C536" s="25">
        <v>46015</v>
      </c>
      <c r="D536" t="s">
        <v>213</v>
      </c>
      <c r="G536">
        <v>11.4</v>
      </c>
      <c r="H536">
        <v>11099.99</v>
      </c>
      <c r="I536">
        <f>F536-G536</f>
        <v>-11.4</v>
      </c>
      <c r="J536" t="s">
        <v>4</v>
      </c>
      <c r="K536" s="1" t="s">
        <v>4</v>
      </c>
      <c r="L536" s="1">
        <f>IF(J536=K536,0,1)</f>
        <v>0</v>
      </c>
      <c r="M536" s="1">
        <v>5825</v>
      </c>
    </row>
    <row r="537" spans="1:13" ht="12.75">
      <c r="A537">
        <v>627</v>
      </c>
      <c r="B537">
        <v>2026</v>
      </c>
      <c r="C537" s="25">
        <v>45989</v>
      </c>
      <c r="D537" t="s">
        <v>238</v>
      </c>
      <c r="E537" t="s">
        <v>177</v>
      </c>
      <c r="G537">
        <v>51.87</v>
      </c>
      <c r="H537">
        <v>9008.93</v>
      </c>
      <c r="I537">
        <f>F537-G537</f>
        <v>-51.87</v>
      </c>
      <c r="J537" s="26" t="s">
        <v>20</v>
      </c>
      <c r="K537" s="1" t="s">
        <v>18</v>
      </c>
      <c r="L537" s="1">
        <f>IF(J537=K537,0,1)</f>
        <v>1</v>
      </c>
      <c r="M537" s="1">
        <v>-3.9</v>
      </c>
    </row>
    <row r="538" spans="1:13" ht="12.75">
      <c r="A538">
        <v>637</v>
      </c>
      <c r="B538">
        <v>2026</v>
      </c>
      <c r="C538" s="25">
        <v>45996</v>
      </c>
      <c r="D538" t="s">
        <v>233</v>
      </c>
      <c r="E538" t="s">
        <v>177</v>
      </c>
      <c r="G538">
        <v>35.130000000000003</v>
      </c>
      <c r="H538">
        <v>10576.83</v>
      </c>
      <c r="I538">
        <f>F538-G538</f>
        <v>-35.130000000000003</v>
      </c>
      <c r="J538" s="26" t="s">
        <v>17</v>
      </c>
      <c r="K538" s="1" t="s">
        <v>18</v>
      </c>
      <c r="L538" s="1">
        <f>IF(J538=K538,0,1)</f>
        <v>1</v>
      </c>
      <c r="M538" s="1">
        <v>-300</v>
      </c>
    </row>
    <row r="539" spans="1:13" ht="12.75">
      <c r="A539">
        <v>641</v>
      </c>
      <c r="B539">
        <v>2026</v>
      </c>
      <c r="C539" s="25">
        <v>46000</v>
      </c>
      <c r="D539" t="s">
        <v>233</v>
      </c>
      <c r="E539" t="s">
        <v>177</v>
      </c>
      <c r="G539">
        <v>41.12</v>
      </c>
      <c r="H539">
        <v>10498.85</v>
      </c>
      <c r="I539">
        <f>F539-G539</f>
        <v>-41.12</v>
      </c>
      <c r="J539" s="26" t="s">
        <v>17</v>
      </c>
      <c r="K539" s="1" t="s">
        <v>18</v>
      </c>
      <c r="L539" s="1">
        <f>IF(J539=K539,0,1)</f>
        <v>1</v>
      </c>
      <c r="M539" s="1">
        <v>-1047.5</v>
      </c>
    </row>
    <row r="540" spans="1:13" ht="12.75">
      <c r="A540">
        <v>643</v>
      </c>
      <c r="B540">
        <v>2026</v>
      </c>
      <c r="C540" s="25">
        <v>46001</v>
      </c>
      <c r="D540" t="s">
        <v>238</v>
      </c>
      <c r="E540" t="s">
        <v>177</v>
      </c>
      <c r="G540">
        <v>41.77</v>
      </c>
      <c r="H540">
        <v>10051.280000000001</v>
      </c>
      <c r="I540">
        <f>F540-G540</f>
        <v>-41.77</v>
      </c>
      <c r="J540" s="26" t="s">
        <v>20</v>
      </c>
      <c r="K540" s="1" t="s">
        <v>18</v>
      </c>
      <c r="L540" s="1">
        <f>IF(J540=K540,0,1)</f>
        <v>1</v>
      </c>
      <c r="M540" s="1">
        <v>-2500</v>
      </c>
    </row>
    <row r="541" spans="1:13" ht="12.75">
      <c r="A541">
        <v>647</v>
      </c>
      <c r="B541">
        <v>2026</v>
      </c>
      <c r="C541" s="25">
        <v>46007</v>
      </c>
      <c r="D541" t="s">
        <v>233</v>
      </c>
      <c r="E541" t="s">
        <v>177</v>
      </c>
      <c r="G541">
        <v>35.130000000000003</v>
      </c>
      <c r="H541">
        <v>9986.76</v>
      </c>
      <c r="I541">
        <f>F541-G541</f>
        <v>-35.130000000000003</v>
      </c>
      <c r="J541" s="26" t="s">
        <v>17</v>
      </c>
      <c r="K541" s="1" t="s">
        <v>18</v>
      </c>
      <c r="L541" s="1">
        <f>IF(J541=K541,0,1)</f>
        <v>1</v>
      </c>
      <c r="M541" s="1">
        <v>-747.5</v>
      </c>
    </row>
    <row r="542" spans="1:13" ht="12.75" hidden="1">
      <c r="A542">
        <v>661</v>
      </c>
      <c r="B542">
        <v>2026</v>
      </c>
      <c r="C542" s="25">
        <v>46015</v>
      </c>
      <c r="D542" t="s">
        <v>245</v>
      </c>
      <c r="E542" t="s">
        <v>177</v>
      </c>
      <c r="G542">
        <v>5.2</v>
      </c>
      <c r="H542">
        <v>15714.39</v>
      </c>
      <c r="I542">
        <f>F542-G542</f>
        <v>-5.2</v>
      </c>
      <c r="J542" t="s">
        <v>15</v>
      </c>
      <c r="K542" s="1" t="s">
        <v>15</v>
      </c>
      <c r="L542" s="1">
        <f>IF(J542=K542,0,1)</f>
        <v>0</v>
      </c>
      <c r="M542" s="1">
        <v>-8</v>
      </c>
    </row>
    <row r="543" spans="1:13" ht="12.75" hidden="1">
      <c r="A543">
        <v>662</v>
      </c>
      <c r="B543">
        <v>2026</v>
      </c>
      <c r="C543" s="25">
        <v>46015</v>
      </c>
      <c r="D543" t="s">
        <v>174</v>
      </c>
      <c r="E543" t="s">
        <v>44</v>
      </c>
      <c r="F543">
        <v>5825</v>
      </c>
      <c r="H543">
        <v>15719.59</v>
      </c>
      <c r="I543">
        <f>F543-G543</f>
        <v>5825</v>
      </c>
      <c r="J543" t="s">
        <v>14</v>
      </c>
      <c r="K543" s="1" t="s">
        <v>14</v>
      </c>
      <c r="L543" s="1">
        <f>IF(J543=K543,0,1)</f>
        <v>0</v>
      </c>
      <c r="M543" s="1">
        <v>-11.4</v>
      </c>
    </row>
    <row r="544" spans="1:13" ht="12.75" hidden="1">
      <c r="A544">
        <v>663</v>
      </c>
      <c r="B544">
        <v>2026</v>
      </c>
      <c r="C544" s="25">
        <v>46020</v>
      </c>
      <c r="D544" t="s">
        <v>201</v>
      </c>
      <c r="E544" t="s">
        <v>177</v>
      </c>
      <c r="G544">
        <v>30.01</v>
      </c>
      <c r="H544">
        <v>11064.39</v>
      </c>
      <c r="I544">
        <f>F544-G544</f>
        <v>-30.01</v>
      </c>
      <c r="J544" t="s">
        <v>18</v>
      </c>
      <c r="K544" s="1" t="s">
        <v>18</v>
      </c>
      <c r="L544" s="1">
        <f>IF(J544=K544,0,1)</f>
        <v>0</v>
      </c>
      <c r="M544" s="1">
        <v>-3.95</v>
      </c>
    </row>
    <row r="545" spans="1:13" ht="12.75">
      <c r="A545">
        <v>650</v>
      </c>
      <c r="B545">
        <v>2026</v>
      </c>
      <c r="C545" s="25">
        <v>46010</v>
      </c>
      <c r="D545" t="s">
        <v>233</v>
      </c>
      <c r="E545" t="s">
        <v>177</v>
      </c>
      <c r="G545">
        <v>40.130000000000003</v>
      </c>
      <c r="H545">
        <v>9946.6299999999992</v>
      </c>
      <c r="I545">
        <f>F545-G545</f>
        <v>-40.130000000000003</v>
      </c>
      <c r="J545" s="26" t="s">
        <v>17</v>
      </c>
      <c r="K545" s="1" t="s">
        <v>18</v>
      </c>
      <c r="L545" s="1">
        <f>IF(J545=K545,0,1)</f>
        <v>1</v>
      </c>
      <c r="M545" s="1">
        <v>-3.95</v>
      </c>
    </row>
    <row r="546" spans="1:13" ht="12.75">
      <c r="A546">
        <v>652</v>
      </c>
      <c r="B546">
        <v>2026</v>
      </c>
      <c r="C546" s="25">
        <v>46014</v>
      </c>
      <c r="D546" t="s">
        <v>238</v>
      </c>
      <c r="E546" t="s">
        <v>177</v>
      </c>
      <c r="G546">
        <v>39.19</v>
      </c>
      <c r="H546">
        <v>9894.59</v>
      </c>
      <c r="I546">
        <f>F546-G546</f>
        <v>-39.19</v>
      </c>
      <c r="J546" s="26" t="s">
        <v>20</v>
      </c>
      <c r="K546" s="1" t="s">
        <v>18</v>
      </c>
      <c r="L546" s="1">
        <f>IF(J546=K546,0,1)</f>
        <v>1</v>
      </c>
      <c r="M546" s="1">
        <v>-30.01</v>
      </c>
    </row>
    <row r="547" spans="1:13" ht="12.75">
      <c r="A547">
        <v>666</v>
      </c>
      <c r="B547">
        <v>2026</v>
      </c>
      <c r="C547" s="25">
        <v>46021</v>
      </c>
      <c r="D547" t="s">
        <v>238</v>
      </c>
      <c r="E547" t="s">
        <v>177</v>
      </c>
      <c r="G547">
        <v>40.04</v>
      </c>
      <c r="H547">
        <v>11002.94</v>
      </c>
      <c r="I547">
        <f>F547-G547</f>
        <v>-40.04</v>
      </c>
      <c r="J547" s="26" t="s">
        <v>20</v>
      </c>
      <c r="K547" s="1" t="s">
        <v>18</v>
      </c>
      <c r="L547" s="1">
        <f>IF(J547=K547,0,1)</f>
        <v>1</v>
      </c>
      <c r="M547" s="1">
        <v>-3.95</v>
      </c>
    </row>
    <row r="548" spans="1:13" ht="12.75" hidden="1">
      <c r="A548">
        <v>667</v>
      </c>
      <c r="B548">
        <v>2026</v>
      </c>
      <c r="C548" s="25">
        <v>46021</v>
      </c>
      <c r="D548" t="s">
        <v>178</v>
      </c>
      <c r="E548" t="s">
        <v>177</v>
      </c>
      <c r="G548">
        <v>10</v>
      </c>
      <c r="H548">
        <v>11042.98</v>
      </c>
      <c r="I548">
        <f>F548-G548</f>
        <v>-10</v>
      </c>
      <c r="J548" t="s">
        <v>17</v>
      </c>
      <c r="K548" s="1" t="s">
        <v>17</v>
      </c>
      <c r="L548" s="1">
        <f>IF(J548=K548,0,1)</f>
        <v>0</v>
      </c>
      <c r="M548" s="1">
        <v>-3.95</v>
      </c>
    </row>
    <row r="549" spans="1:13" ht="12.75" hidden="1">
      <c r="A549">
        <v>668</v>
      </c>
      <c r="B549">
        <v>2026</v>
      </c>
      <c r="C549" s="25">
        <v>46021</v>
      </c>
      <c r="D549" t="s">
        <v>180</v>
      </c>
      <c r="E549" t="s">
        <v>177</v>
      </c>
      <c r="G549">
        <v>6.21</v>
      </c>
      <c r="H549">
        <v>11052.98</v>
      </c>
      <c r="I549">
        <f>F549-G549</f>
        <v>-6.21</v>
      </c>
      <c r="J549" t="s">
        <v>15</v>
      </c>
      <c r="K549" s="1" t="s">
        <v>15</v>
      </c>
      <c r="L549" s="1">
        <f>IF(J549=K549,0,1)</f>
        <v>0</v>
      </c>
      <c r="M549" s="1">
        <v>-10</v>
      </c>
    </row>
    <row r="550" spans="1:13" ht="12.75" hidden="1">
      <c r="A550">
        <v>669</v>
      </c>
      <c r="B550">
        <v>2026</v>
      </c>
      <c r="C550" s="25">
        <v>46021</v>
      </c>
      <c r="D550" t="s">
        <v>245</v>
      </c>
      <c r="E550" t="s">
        <v>177</v>
      </c>
      <c r="G550">
        <v>5.2</v>
      </c>
      <c r="H550">
        <v>11059.19</v>
      </c>
      <c r="I550">
        <f>F550-G550</f>
        <v>-5.2</v>
      </c>
      <c r="J550" t="s">
        <v>15</v>
      </c>
      <c r="K550" s="1" t="s">
        <v>15</v>
      </c>
      <c r="L550" s="1">
        <f>IF(J550=K550,0,1)</f>
        <v>0</v>
      </c>
      <c r="M550" s="1">
        <v>-40.04</v>
      </c>
    </row>
    <row r="551" spans="1:13" ht="12.75">
      <c r="A551">
        <v>672</v>
      </c>
      <c r="B551">
        <v>2026</v>
      </c>
      <c r="C551" s="25">
        <v>46028</v>
      </c>
      <c r="D551" t="s">
        <v>233</v>
      </c>
      <c r="E551" t="s">
        <v>177</v>
      </c>
      <c r="G551">
        <v>40.130000000000003</v>
      </c>
      <c r="H551">
        <v>11733.89</v>
      </c>
      <c r="I551">
        <f>F551-G551</f>
        <v>-40.130000000000003</v>
      </c>
      <c r="J551" s="26" t="s">
        <v>17</v>
      </c>
      <c r="K551" s="1" t="s">
        <v>18</v>
      </c>
      <c r="L551" s="1">
        <f>IF(J551=K551,0,1)</f>
        <v>1</v>
      </c>
      <c r="M551" s="1">
        <v>825</v>
      </c>
    </row>
    <row r="552" spans="1:13" ht="12.75" hidden="1">
      <c r="A552">
        <v>671</v>
      </c>
      <c r="B552">
        <v>2026</v>
      </c>
      <c r="C552" s="25">
        <v>46022</v>
      </c>
      <c r="D552" t="s">
        <v>174</v>
      </c>
      <c r="E552" t="s">
        <v>44</v>
      </c>
      <c r="F552">
        <v>825</v>
      </c>
      <c r="H552">
        <v>11827.94</v>
      </c>
      <c r="I552">
        <f>F552-G552</f>
        <v>825</v>
      </c>
      <c r="J552" t="s">
        <v>14</v>
      </c>
      <c r="K552" s="1" t="s">
        <v>14</v>
      </c>
      <c r="L552" s="1">
        <f>IF(J552=K552,0,1)</f>
        <v>0</v>
      </c>
      <c r="M552" s="1">
        <v>-30.95</v>
      </c>
    </row>
    <row r="553" spans="1:13" ht="12.75">
      <c r="A553">
        <v>673</v>
      </c>
      <c r="B553">
        <v>2026</v>
      </c>
      <c r="C553" s="25">
        <v>46028</v>
      </c>
      <c r="D553" t="s">
        <v>176</v>
      </c>
      <c r="E553" t="s">
        <v>177</v>
      </c>
      <c r="G553">
        <v>22.97</v>
      </c>
      <c r="H553">
        <v>11774.02</v>
      </c>
      <c r="I553">
        <f>F553-G553</f>
        <v>-22.97</v>
      </c>
      <c r="J553" s="26" t="s">
        <v>8</v>
      </c>
      <c r="K553" s="1" t="s">
        <v>18</v>
      </c>
      <c r="L553" s="1">
        <f>IF(J553=K553,0,1)</f>
        <v>1</v>
      </c>
      <c r="M553" s="1">
        <v>-22.97</v>
      </c>
    </row>
    <row r="554" spans="1:13" ht="12.75">
      <c r="A554">
        <v>675</v>
      </c>
      <c r="B554">
        <v>2026</v>
      </c>
      <c r="C554" s="25">
        <v>46034</v>
      </c>
      <c r="D554" t="s">
        <v>176</v>
      </c>
      <c r="E554" t="s">
        <v>177</v>
      </c>
      <c r="G554">
        <v>40.11</v>
      </c>
      <c r="H554">
        <v>14109.83</v>
      </c>
      <c r="I554">
        <f>F554-G554</f>
        <v>-40.11</v>
      </c>
      <c r="J554" s="26" t="s">
        <v>8</v>
      </c>
      <c r="K554" s="1" t="s">
        <v>18</v>
      </c>
      <c r="L554" s="1">
        <f>IF(J554=K554,0,1)</f>
        <v>1</v>
      </c>
      <c r="M554" s="1">
        <v>-40.130000000000003</v>
      </c>
    </row>
    <row r="555" spans="1:13" ht="12.75" hidden="1">
      <c r="A555">
        <v>674</v>
      </c>
      <c r="B555">
        <v>2026</v>
      </c>
      <c r="C555" s="25">
        <v>46029</v>
      </c>
      <c r="D555" t="s">
        <v>174</v>
      </c>
      <c r="E555" t="s">
        <v>44</v>
      </c>
      <c r="F555">
        <v>2420</v>
      </c>
      <c r="H555">
        <v>14153.89</v>
      </c>
      <c r="I555">
        <f>F555-G555</f>
        <v>2420</v>
      </c>
      <c r="J555" t="s">
        <v>14</v>
      </c>
      <c r="K555" s="1" t="s">
        <v>14</v>
      </c>
      <c r="L555" s="1">
        <f>IF(J555=K555,0,1)</f>
        <v>0</v>
      </c>
      <c r="M555" s="1">
        <v>2420</v>
      </c>
    </row>
    <row r="556" spans="1:13" ht="12.75">
      <c r="A556">
        <v>677</v>
      </c>
      <c r="B556">
        <v>2026</v>
      </c>
      <c r="C556" s="25">
        <v>46035</v>
      </c>
      <c r="D556" t="s">
        <v>176</v>
      </c>
      <c r="E556" t="s">
        <v>177</v>
      </c>
      <c r="G556">
        <v>41.45</v>
      </c>
      <c r="H556">
        <v>14053.35</v>
      </c>
      <c r="I556">
        <f>F556-G556</f>
        <v>-41.45</v>
      </c>
      <c r="J556" s="26" t="s">
        <v>8</v>
      </c>
      <c r="K556" s="1" t="s">
        <v>18</v>
      </c>
      <c r="L556" s="1">
        <f>IF(J556=K556,0,1)</f>
        <v>1</v>
      </c>
      <c r="M556" s="1">
        <v>-7.5</v>
      </c>
    </row>
    <row r="557" spans="1:13" ht="12.75">
      <c r="A557">
        <v>684</v>
      </c>
      <c r="B557">
        <v>2026</v>
      </c>
      <c r="C557" s="25">
        <v>46041</v>
      </c>
      <c r="D557" t="s">
        <v>218</v>
      </c>
      <c r="E557" t="s">
        <v>177</v>
      </c>
      <c r="G557">
        <v>34.200000000000003</v>
      </c>
      <c r="H557">
        <v>14955.16</v>
      </c>
      <c r="I557">
        <f>F557-G557</f>
        <v>-34.200000000000003</v>
      </c>
      <c r="J557" s="26" t="s">
        <v>9</v>
      </c>
      <c r="K557" s="1" t="s">
        <v>18</v>
      </c>
      <c r="L557" s="1">
        <f>IF(J557=K557,0,1)</f>
        <v>1</v>
      </c>
      <c r="M557" s="1">
        <v>-40.11</v>
      </c>
    </row>
    <row r="558" spans="1:13" ht="12.75">
      <c r="A558">
        <v>685</v>
      </c>
      <c r="B558">
        <v>2026</v>
      </c>
      <c r="C558" s="25">
        <v>46041</v>
      </c>
      <c r="D558" t="s">
        <v>176</v>
      </c>
      <c r="E558" t="s">
        <v>177</v>
      </c>
      <c r="G558">
        <v>11.04</v>
      </c>
      <c r="H558">
        <v>14989.36</v>
      </c>
      <c r="I558">
        <f>F558-G558</f>
        <v>-11.04</v>
      </c>
      <c r="J558" s="26" t="s">
        <v>8</v>
      </c>
      <c r="K558" s="1" t="s">
        <v>18</v>
      </c>
      <c r="L558" s="1">
        <f>IF(J558=K558,0,1)</f>
        <v>1</v>
      </c>
      <c r="M558" s="1">
        <v>-3.95</v>
      </c>
    </row>
    <row r="559" spans="1:13" ht="12.75" hidden="1">
      <c r="A559">
        <v>678</v>
      </c>
      <c r="B559">
        <v>2026</v>
      </c>
      <c r="C559" s="25">
        <v>46035</v>
      </c>
      <c r="D559" t="s">
        <v>178</v>
      </c>
      <c r="E559" t="s">
        <v>177</v>
      </c>
      <c r="G559">
        <v>10</v>
      </c>
      <c r="H559">
        <v>14094.8</v>
      </c>
      <c r="I559">
        <f>F559-G559</f>
        <v>-10</v>
      </c>
      <c r="J559" t="s">
        <v>17</v>
      </c>
      <c r="K559" s="1" t="s">
        <v>17</v>
      </c>
      <c r="L559" s="1">
        <f>IF(J559=K559,0,1)</f>
        <v>0</v>
      </c>
      <c r="M559" s="1">
        <v>-3.95</v>
      </c>
    </row>
    <row r="560" spans="1:13" ht="12.75" hidden="1">
      <c r="A560">
        <v>679</v>
      </c>
      <c r="B560">
        <v>2026</v>
      </c>
      <c r="C560" s="25">
        <v>46035</v>
      </c>
      <c r="D560" t="s">
        <v>247</v>
      </c>
      <c r="E560" t="s">
        <v>177</v>
      </c>
      <c r="G560">
        <v>3.49</v>
      </c>
      <c r="H560">
        <v>14104.8</v>
      </c>
      <c r="I560">
        <f>F560-G560</f>
        <v>-3.49</v>
      </c>
      <c r="J560" t="s">
        <v>15</v>
      </c>
      <c r="K560" s="1" t="s">
        <v>15</v>
      </c>
      <c r="L560" s="1">
        <f>IF(J560=K560,0,1)</f>
        <v>0</v>
      </c>
      <c r="M560" s="1">
        <v>-10</v>
      </c>
    </row>
    <row r="561" spans="1:13" ht="12.75">
      <c r="A561">
        <v>688</v>
      </c>
      <c r="B561">
        <v>2026</v>
      </c>
      <c r="C561" s="25">
        <v>46043</v>
      </c>
      <c r="D561" t="s">
        <v>233</v>
      </c>
      <c r="E561" t="s">
        <v>177</v>
      </c>
      <c r="G561">
        <v>31.04</v>
      </c>
      <c r="H561">
        <v>15734.37</v>
      </c>
      <c r="I561">
        <f>F561-G561</f>
        <v>-31.04</v>
      </c>
      <c r="J561" s="26" t="s">
        <v>17</v>
      </c>
      <c r="K561" s="1" t="s">
        <v>18</v>
      </c>
      <c r="L561" s="1">
        <f>IF(J561=K561,0,1)</f>
        <v>1</v>
      </c>
      <c r="M561" s="1">
        <v>-41.45</v>
      </c>
    </row>
    <row r="562" spans="1:13" ht="12.75">
      <c r="A562">
        <v>696</v>
      </c>
      <c r="B562">
        <v>2026</v>
      </c>
      <c r="C562" s="25">
        <v>46049</v>
      </c>
      <c r="D562" t="s">
        <v>211</v>
      </c>
      <c r="E562" t="s">
        <v>177</v>
      </c>
      <c r="G562">
        <v>29.43</v>
      </c>
      <c r="H562">
        <v>15484.25</v>
      </c>
      <c r="I562">
        <f>F562-G562</f>
        <v>-29.43</v>
      </c>
      <c r="J562" s="26" t="s">
        <v>20</v>
      </c>
      <c r="K562" s="1" t="s">
        <v>18</v>
      </c>
      <c r="L562" s="1">
        <f>IF(J562=K562,0,1)</f>
        <v>1</v>
      </c>
      <c r="M562" s="1">
        <v>1250</v>
      </c>
    </row>
    <row r="563" spans="1:13" ht="12.75" hidden="1">
      <c r="A563">
        <v>682</v>
      </c>
      <c r="B563">
        <v>2026</v>
      </c>
      <c r="C563" s="25">
        <v>46036</v>
      </c>
      <c r="D563" t="s">
        <v>174</v>
      </c>
      <c r="E563" t="s">
        <v>44</v>
      </c>
      <c r="F563">
        <v>1250</v>
      </c>
      <c r="H563">
        <v>15303.35</v>
      </c>
      <c r="I563">
        <f>F563-G563</f>
        <v>1250</v>
      </c>
      <c r="J563" t="s">
        <v>14</v>
      </c>
      <c r="K563" s="1" t="s">
        <v>14</v>
      </c>
      <c r="L563" s="1">
        <f>IF(J563=K563,0,1)</f>
        <v>0</v>
      </c>
      <c r="M563" s="1">
        <v>-300</v>
      </c>
    </row>
    <row r="564" spans="1:13" ht="12.75" hidden="1">
      <c r="A564">
        <v>683</v>
      </c>
      <c r="B564">
        <v>2026</v>
      </c>
      <c r="C564" s="25">
        <v>46038</v>
      </c>
      <c r="D564" t="s">
        <v>248</v>
      </c>
      <c r="E564" t="s">
        <v>177</v>
      </c>
      <c r="G564">
        <v>2.95</v>
      </c>
      <c r="H564">
        <v>15000.4</v>
      </c>
      <c r="I564">
        <f>F564-G564</f>
        <v>-2.95</v>
      </c>
      <c r="J564" t="s">
        <v>15</v>
      </c>
      <c r="K564" s="1" t="s">
        <v>15</v>
      </c>
      <c r="L564" s="1">
        <f>IF(J564=K564,0,1)</f>
        <v>0</v>
      </c>
      <c r="M564" s="1">
        <v>-3.65</v>
      </c>
    </row>
    <row r="565" spans="1:13" ht="12.75">
      <c r="A565">
        <v>701</v>
      </c>
      <c r="B565">
        <v>2026</v>
      </c>
      <c r="C565" s="25">
        <v>46050</v>
      </c>
      <c r="D565" t="s">
        <v>176</v>
      </c>
      <c r="E565" t="s">
        <v>177</v>
      </c>
      <c r="G565">
        <v>16</v>
      </c>
      <c r="H565">
        <v>8825.85</v>
      </c>
      <c r="I565">
        <f>F565-G565</f>
        <v>-16</v>
      </c>
      <c r="J565" s="26" t="s">
        <v>8</v>
      </c>
      <c r="K565" s="1" t="s">
        <v>18</v>
      </c>
      <c r="L565" s="1">
        <f>IF(J565=K565,0,1)</f>
        <v>1</v>
      </c>
      <c r="M565" s="1">
        <v>-11.04</v>
      </c>
    </row>
    <row r="566" spans="1:13" ht="12.75">
      <c r="A566">
        <v>708</v>
      </c>
      <c r="B566">
        <v>2026</v>
      </c>
      <c r="C566" s="25">
        <v>46058</v>
      </c>
      <c r="D566" t="s">
        <v>237</v>
      </c>
      <c r="E566" t="s">
        <v>177</v>
      </c>
      <c r="G566">
        <v>40.46</v>
      </c>
      <c r="H566">
        <v>10100.09</v>
      </c>
      <c r="I566">
        <f>F566-G566</f>
        <v>-40.46</v>
      </c>
      <c r="J566" s="26" t="s">
        <v>9</v>
      </c>
      <c r="K566" s="1" t="s">
        <v>18</v>
      </c>
      <c r="L566" s="1">
        <f>IF(J566=K566,0,1)</f>
        <v>1</v>
      </c>
      <c r="M566" s="1">
        <v>-34.200000000000003</v>
      </c>
    </row>
    <row r="567" spans="1:13" ht="12.75">
      <c r="A567">
        <v>709</v>
      </c>
      <c r="B567">
        <v>2026</v>
      </c>
      <c r="C567" s="25">
        <v>46062</v>
      </c>
      <c r="D567" t="s">
        <v>176</v>
      </c>
      <c r="E567" t="s">
        <v>177</v>
      </c>
      <c r="G567">
        <v>4</v>
      </c>
      <c r="H567">
        <v>10096.09</v>
      </c>
      <c r="I567">
        <f>F567-G567</f>
        <v>-4</v>
      </c>
      <c r="J567" s="26" t="s">
        <v>8</v>
      </c>
      <c r="K567" s="1" t="s">
        <v>18</v>
      </c>
      <c r="L567" s="1">
        <f>IF(J567=K567,0,1)</f>
        <v>1</v>
      </c>
      <c r="M567" s="1">
        <v>-3.95</v>
      </c>
    </row>
    <row r="568" spans="1:13" ht="12.75">
      <c r="A568">
        <v>724</v>
      </c>
      <c r="B568">
        <v>2026</v>
      </c>
      <c r="C568" s="25">
        <v>46077</v>
      </c>
      <c r="D568" t="s">
        <v>176</v>
      </c>
      <c r="E568" t="s">
        <v>177</v>
      </c>
      <c r="G568">
        <v>5.05</v>
      </c>
      <c r="H568">
        <v>18250.79</v>
      </c>
      <c r="I568">
        <f>F568-G568</f>
        <v>-5.05</v>
      </c>
      <c r="J568" s="26" t="s">
        <v>8</v>
      </c>
      <c r="K568" s="1" t="s">
        <v>18</v>
      </c>
      <c r="L568" s="1">
        <f>IF(J568=K568,0,1)</f>
        <v>1</v>
      </c>
      <c r="M568" s="1">
        <v>-5.25</v>
      </c>
    </row>
    <row r="569" spans="1:13" ht="12.75">
      <c r="A569">
        <v>726</v>
      </c>
      <c r="B569">
        <v>2026</v>
      </c>
      <c r="C569" s="25">
        <v>46078</v>
      </c>
      <c r="D569" t="s">
        <v>176</v>
      </c>
      <c r="E569" t="s">
        <v>177</v>
      </c>
      <c r="G569">
        <v>55.05</v>
      </c>
      <c r="H569">
        <v>20705.740000000002</v>
      </c>
      <c r="I569">
        <f>F569-G569</f>
        <v>-55.05</v>
      </c>
      <c r="J569" s="26" t="s">
        <v>8</v>
      </c>
      <c r="K569" s="1" t="s">
        <v>18</v>
      </c>
      <c r="L569" s="1">
        <f>IF(J569=K569,0,1)</f>
        <v>1</v>
      </c>
      <c r="M569" s="1">
        <v>825</v>
      </c>
    </row>
    <row r="570" spans="1:13" ht="12.75" hidden="1">
      <c r="A570">
        <v>689</v>
      </c>
      <c r="B570">
        <v>2026</v>
      </c>
      <c r="C570" s="25">
        <v>46043</v>
      </c>
      <c r="D570" t="s">
        <v>174</v>
      </c>
      <c r="E570" t="s">
        <v>44</v>
      </c>
      <c r="F570">
        <v>825</v>
      </c>
      <c r="H570">
        <v>15765.41</v>
      </c>
      <c r="I570">
        <f>F570-G570</f>
        <v>825</v>
      </c>
      <c r="J570" t="s">
        <v>14</v>
      </c>
      <c r="K570" s="1" t="s">
        <v>14</v>
      </c>
      <c r="L570" s="1">
        <f>IF(J570=K570,0,1)</f>
        <v>0</v>
      </c>
      <c r="M570" s="1">
        <v>-31.04</v>
      </c>
    </row>
    <row r="571" spans="1:13" ht="12.75">
      <c r="A571">
        <v>733</v>
      </c>
      <c r="B571">
        <v>2026</v>
      </c>
      <c r="C571" s="25">
        <v>46083</v>
      </c>
      <c r="D571" t="s">
        <v>176</v>
      </c>
      <c r="E571" t="s">
        <v>177</v>
      </c>
      <c r="G571">
        <v>4</v>
      </c>
      <c r="H571">
        <v>17136.34</v>
      </c>
      <c r="I571">
        <f>F571-G571</f>
        <v>-4</v>
      </c>
      <c r="J571" s="26" t="s">
        <v>8</v>
      </c>
      <c r="K571" s="1" t="s">
        <v>18</v>
      </c>
      <c r="L571" s="1">
        <f>IF(J571=K571,0,1)</f>
        <v>1</v>
      </c>
      <c r="M571" s="1">
        <v>-200</v>
      </c>
    </row>
    <row r="572" spans="1:13" ht="12.75">
      <c r="A572">
        <v>734</v>
      </c>
      <c r="B572">
        <v>2026</v>
      </c>
      <c r="C572" s="25">
        <v>46084</v>
      </c>
      <c r="D572" t="s">
        <v>233</v>
      </c>
      <c r="E572" t="s">
        <v>177</v>
      </c>
      <c r="G572">
        <v>34.28</v>
      </c>
      <c r="H572">
        <v>17098.060000000001</v>
      </c>
      <c r="I572">
        <f>F572-G572</f>
        <v>-34.28</v>
      </c>
      <c r="J572" s="26" t="s">
        <v>17</v>
      </c>
      <c r="K572" s="1" t="s">
        <v>18</v>
      </c>
      <c r="L572" s="1">
        <f>IF(J572=K572,0,1)</f>
        <v>1</v>
      </c>
      <c r="M572" s="1">
        <v>-3.49</v>
      </c>
    </row>
    <row r="573" spans="1:13" ht="12.75">
      <c r="A573">
        <v>735</v>
      </c>
      <c r="B573">
        <v>2026</v>
      </c>
      <c r="C573" s="25">
        <v>46084</v>
      </c>
      <c r="D573" t="s">
        <v>176</v>
      </c>
      <c r="E573" t="s">
        <v>177</v>
      </c>
      <c r="G573">
        <v>4</v>
      </c>
      <c r="H573">
        <v>17132.34</v>
      </c>
      <c r="I573">
        <f>F573-G573</f>
        <v>-4</v>
      </c>
      <c r="J573" s="26" t="s">
        <v>8</v>
      </c>
      <c r="K573" s="1" t="s">
        <v>18</v>
      </c>
      <c r="L573" s="1">
        <f>IF(J573=K573,0,1)</f>
        <v>1</v>
      </c>
      <c r="M573" s="1">
        <v>-5.0999999999999996</v>
      </c>
    </row>
    <row r="574" spans="1:13" ht="12.75">
      <c r="A574">
        <v>738</v>
      </c>
      <c r="B574">
        <v>2026</v>
      </c>
      <c r="C574" s="25">
        <v>46086</v>
      </c>
      <c r="D574" t="s">
        <v>176</v>
      </c>
      <c r="E574" t="s">
        <v>177</v>
      </c>
      <c r="G574">
        <v>46.34</v>
      </c>
      <c r="H574">
        <v>17876.72</v>
      </c>
      <c r="I574">
        <f>F574-G574</f>
        <v>-46.34</v>
      </c>
      <c r="J574" s="26" t="s">
        <v>8</v>
      </c>
      <c r="K574" s="1" t="s">
        <v>18</v>
      </c>
      <c r="L574" s="1">
        <f>IF(J574=K574,0,1)</f>
        <v>1</v>
      </c>
      <c r="M574" s="1">
        <v>-10</v>
      </c>
    </row>
    <row r="575" spans="1:13" ht="12.75">
      <c r="A575">
        <v>741</v>
      </c>
      <c r="B575">
        <v>2026</v>
      </c>
      <c r="C575" s="25">
        <v>46090</v>
      </c>
      <c r="D575" t="s">
        <v>176</v>
      </c>
      <c r="E575" t="s">
        <v>177</v>
      </c>
      <c r="G575">
        <v>4.6500000000000004</v>
      </c>
      <c r="H575">
        <v>18297.07</v>
      </c>
      <c r="I575">
        <f>F575-G575</f>
        <v>-4.6500000000000004</v>
      </c>
      <c r="J575" s="26" t="s">
        <v>8</v>
      </c>
      <c r="K575" s="1" t="s">
        <v>18</v>
      </c>
      <c r="L575" s="1">
        <f>IF(J575=K575,0,1)</f>
        <v>1</v>
      </c>
      <c r="M575" s="1">
        <v>-29.43</v>
      </c>
    </row>
    <row r="576" spans="1:13" ht="12.75">
      <c r="A576">
        <v>745</v>
      </c>
      <c r="B576">
        <v>2026</v>
      </c>
      <c r="C576" s="25">
        <v>46093</v>
      </c>
      <c r="D576" t="s">
        <v>176</v>
      </c>
      <c r="E576" t="s">
        <v>177</v>
      </c>
      <c r="G576">
        <v>49.9</v>
      </c>
      <c r="H576">
        <v>18925.39</v>
      </c>
      <c r="I576">
        <f>F576-G576</f>
        <v>-49.9</v>
      </c>
      <c r="J576" s="26" t="s">
        <v>8</v>
      </c>
      <c r="K576" s="1" t="s">
        <v>18</v>
      </c>
      <c r="L576" s="1">
        <f>IF(J576=K576,0,1)</f>
        <v>1</v>
      </c>
      <c r="M576" s="1">
        <v>-1047.5</v>
      </c>
    </row>
    <row r="577" spans="1:13" ht="12.75">
      <c r="A577">
        <v>747</v>
      </c>
      <c r="B577">
        <v>2026</v>
      </c>
      <c r="C577" s="25">
        <v>46098</v>
      </c>
      <c r="D577" t="s">
        <v>238</v>
      </c>
      <c r="E577" t="s">
        <v>177</v>
      </c>
      <c r="G577">
        <v>30.09</v>
      </c>
      <c r="H577">
        <v>18850.68</v>
      </c>
      <c r="I577">
        <f>F577-G577</f>
        <v>-30.09</v>
      </c>
      <c r="J577" s="26" t="s">
        <v>20</v>
      </c>
      <c r="K577" s="1" t="s">
        <v>18</v>
      </c>
      <c r="L577" s="1">
        <f>IF(J577=K577,0,1)</f>
        <v>1</v>
      </c>
      <c r="M577" s="1">
        <v>-1047.5</v>
      </c>
    </row>
    <row r="578" spans="1:13" ht="12.75" hidden="1">
      <c r="A578">
        <v>697</v>
      </c>
      <c r="B578">
        <v>2026</v>
      </c>
      <c r="C578" s="25">
        <v>46049</v>
      </c>
      <c r="D578" t="s">
        <v>178</v>
      </c>
      <c r="E578" t="s">
        <v>177</v>
      </c>
      <c r="G578">
        <v>10</v>
      </c>
      <c r="H578">
        <v>15513.68</v>
      </c>
      <c r="I578">
        <f>F578-G578</f>
        <v>-10</v>
      </c>
      <c r="J578" t="s">
        <v>17</v>
      </c>
      <c r="K578" s="1" t="s">
        <v>17</v>
      </c>
      <c r="L578" s="1">
        <f>IF(J578=K578,0,1)</f>
        <v>0</v>
      </c>
      <c r="M578" s="1">
        <v>-1500</v>
      </c>
    </row>
    <row r="579" spans="1:13" ht="12.75" hidden="1">
      <c r="A579">
        <v>698</v>
      </c>
      <c r="B579">
        <v>2026</v>
      </c>
      <c r="C579" s="25">
        <v>46049</v>
      </c>
      <c r="D579" t="s">
        <v>180</v>
      </c>
      <c r="E579" t="s">
        <v>177</v>
      </c>
      <c r="G579">
        <v>3.19</v>
      </c>
      <c r="H579">
        <v>15523.68</v>
      </c>
      <c r="I579">
        <f>F579-G579</f>
        <v>-3.19</v>
      </c>
      <c r="J579" t="s">
        <v>15</v>
      </c>
      <c r="K579" s="1" t="s">
        <v>15</v>
      </c>
      <c r="L579" s="1">
        <f>IF(J579=K579,0,1)</f>
        <v>0</v>
      </c>
      <c r="M579" s="1">
        <v>-6017.4</v>
      </c>
    </row>
    <row r="580" spans="1:13" ht="12.75" hidden="1">
      <c r="A580">
        <v>699</v>
      </c>
      <c r="B580">
        <v>2026</v>
      </c>
      <c r="C580" s="25">
        <v>46050</v>
      </c>
      <c r="D580" t="s">
        <v>213</v>
      </c>
      <c r="G580">
        <v>3</v>
      </c>
      <c r="H580">
        <v>8771.6</v>
      </c>
      <c r="I580">
        <f>F580-G580</f>
        <v>-3</v>
      </c>
      <c r="J580" t="s">
        <v>4</v>
      </c>
      <c r="K580" s="1" t="s">
        <v>4</v>
      </c>
      <c r="L580" s="1">
        <f>IF(J580=K580,0,1)</f>
        <v>0</v>
      </c>
      <c r="M580" s="1">
        <v>2975</v>
      </c>
    </row>
    <row r="581" spans="1:13" ht="12.75" hidden="1">
      <c r="A581">
        <v>700</v>
      </c>
      <c r="B581">
        <v>2026</v>
      </c>
      <c r="C581" s="25">
        <v>46050</v>
      </c>
      <c r="D581" t="s">
        <v>250</v>
      </c>
      <c r="E581" t="s">
        <v>177</v>
      </c>
      <c r="G581">
        <v>51.25</v>
      </c>
      <c r="H581">
        <v>8774.6</v>
      </c>
      <c r="I581">
        <f>F581-G581</f>
        <v>-51.25</v>
      </c>
      <c r="J581" t="s">
        <v>18</v>
      </c>
      <c r="K581" s="1" t="s">
        <v>18</v>
      </c>
      <c r="L581" s="1">
        <f>IF(J581=K581,0,1)</f>
        <v>0</v>
      </c>
      <c r="M581" s="1">
        <v>-5</v>
      </c>
    </row>
    <row r="582" spans="1:13" ht="12.75">
      <c r="A582">
        <v>749</v>
      </c>
      <c r="B582">
        <v>2026</v>
      </c>
      <c r="C582" s="25">
        <v>46098</v>
      </c>
      <c r="D582" t="s">
        <v>176</v>
      </c>
      <c r="E582" t="s">
        <v>177</v>
      </c>
      <c r="G582">
        <v>16</v>
      </c>
      <c r="H582">
        <v>18905.740000000002</v>
      </c>
      <c r="I582">
        <f>F582-G582</f>
        <v>-16</v>
      </c>
      <c r="J582" s="26" t="s">
        <v>8</v>
      </c>
      <c r="K582" s="1" t="s">
        <v>18</v>
      </c>
      <c r="L582" s="1">
        <f>IF(J582=K582,0,1)</f>
        <v>1</v>
      </c>
      <c r="M582" s="1">
        <v>-16</v>
      </c>
    </row>
    <row r="583" spans="1:13" ht="12.75" hidden="1">
      <c r="A583">
        <v>702</v>
      </c>
      <c r="B583">
        <v>2026</v>
      </c>
      <c r="C583" s="25">
        <v>46050</v>
      </c>
      <c r="D583" t="s">
        <v>178</v>
      </c>
      <c r="E583" t="s">
        <v>177</v>
      </c>
      <c r="G583">
        <v>5</v>
      </c>
      <c r="H583">
        <v>8841.85</v>
      </c>
      <c r="I583">
        <f>F583-G583</f>
        <v>-5</v>
      </c>
      <c r="J583" t="s">
        <v>17</v>
      </c>
      <c r="K583" s="1" t="s">
        <v>17</v>
      </c>
      <c r="L583" s="1">
        <f>IF(J583=K583,0,1)</f>
        <v>0</v>
      </c>
      <c r="M583" s="1">
        <v>-51.25</v>
      </c>
    </row>
    <row r="584" spans="1:13" ht="12.75" hidden="1">
      <c r="A584">
        <v>703</v>
      </c>
      <c r="B584">
        <v>2026</v>
      </c>
      <c r="C584" s="25">
        <v>46050</v>
      </c>
      <c r="D584" t="s">
        <v>174</v>
      </c>
      <c r="E584" t="s">
        <v>44</v>
      </c>
      <c r="F584">
        <v>2975</v>
      </c>
      <c r="H584">
        <v>8846.85</v>
      </c>
      <c r="I584">
        <f>F584-G584</f>
        <v>2975</v>
      </c>
      <c r="J584" t="s">
        <v>14</v>
      </c>
      <c r="K584" s="1" t="s">
        <v>14</v>
      </c>
      <c r="L584" s="1">
        <f>IF(J584=K584,0,1)</f>
        <v>0</v>
      </c>
      <c r="M584" s="1">
        <v>-3</v>
      </c>
    </row>
    <row r="585" spans="1:13" ht="12.75">
      <c r="A585">
        <v>750</v>
      </c>
      <c r="B585">
        <v>2026</v>
      </c>
      <c r="C585" s="25">
        <v>46099</v>
      </c>
      <c r="D585" t="s">
        <v>258</v>
      </c>
      <c r="E585" t="s">
        <v>177</v>
      </c>
      <c r="G585">
        <v>44.47</v>
      </c>
      <c r="H585">
        <v>18801.21</v>
      </c>
      <c r="I585">
        <f>F585-G585</f>
        <v>-44.47</v>
      </c>
      <c r="J585" s="26" t="s">
        <v>8</v>
      </c>
      <c r="K585" s="1" t="s">
        <v>18</v>
      </c>
      <c r="L585" s="1">
        <f>IF(J585=K585,0,1)</f>
        <v>1</v>
      </c>
      <c r="M585" s="1">
        <v>-319</v>
      </c>
    </row>
    <row r="586" spans="1:13" ht="12.75" hidden="1">
      <c r="A586">
        <v>705</v>
      </c>
      <c r="B586">
        <v>2026</v>
      </c>
      <c r="C586" s="25">
        <v>46052</v>
      </c>
      <c r="D586" t="s">
        <v>252</v>
      </c>
      <c r="E586" t="s">
        <v>177</v>
      </c>
      <c r="G586">
        <v>8.1</v>
      </c>
      <c r="H586">
        <v>8444.5</v>
      </c>
      <c r="I586">
        <f>F586-G586</f>
        <v>-8.1</v>
      </c>
      <c r="J586" t="s">
        <v>17</v>
      </c>
      <c r="K586" s="1" t="s">
        <v>17</v>
      </c>
      <c r="L586" s="1">
        <f>IF(J586=K586,0,1)</f>
        <v>0</v>
      </c>
      <c r="M586" s="1">
        <v>-8.1</v>
      </c>
    </row>
    <row r="587" spans="1:13" ht="12.75">
      <c r="A587">
        <v>753</v>
      </c>
      <c r="B587">
        <v>2026</v>
      </c>
      <c r="C587" s="25">
        <v>46100</v>
      </c>
      <c r="D587" t="s">
        <v>176</v>
      </c>
      <c r="E587" t="s">
        <v>177</v>
      </c>
      <c r="G587">
        <v>4</v>
      </c>
      <c r="H587">
        <v>18797.21</v>
      </c>
      <c r="I587">
        <f>F587-G587</f>
        <v>-4</v>
      </c>
      <c r="J587" s="26" t="s">
        <v>8</v>
      </c>
      <c r="K587" s="1" t="s">
        <v>18</v>
      </c>
      <c r="L587" s="1">
        <f>IF(J587=K587,0,1)</f>
        <v>1</v>
      </c>
      <c r="M587" s="1">
        <v>-5.0999999999999996</v>
      </c>
    </row>
    <row r="588" spans="1:13" ht="12.75" hidden="1">
      <c r="A588">
        <v>707</v>
      </c>
      <c r="B588">
        <v>2026</v>
      </c>
      <c r="C588" s="25">
        <v>46057</v>
      </c>
      <c r="D588" t="s">
        <v>174</v>
      </c>
      <c r="E588" t="s">
        <v>44</v>
      </c>
      <c r="F588">
        <v>1700</v>
      </c>
      <c r="H588">
        <v>10140.549999999999</v>
      </c>
      <c r="I588">
        <f>F588-G588</f>
        <v>1700</v>
      </c>
      <c r="J588" t="s">
        <v>14</v>
      </c>
      <c r="K588" s="1" t="s">
        <v>14</v>
      </c>
      <c r="L588" s="1">
        <f>IF(J588=K588,0,1)</f>
        <v>0</v>
      </c>
      <c r="M588" s="1">
        <v>1700</v>
      </c>
    </row>
    <row r="589" spans="1:13" ht="12.75">
      <c r="A589">
        <v>755</v>
      </c>
      <c r="B589">
        <v>2026</v>
      </c>
      <c r="C589" s="25">
        <v>46104</v>
      </c>
      <c r="D589" t="s">
        <v>238</v>
      </c>
      <c r="E589" t="s">
        <v>177</v>
      </c>
      <c r="G589">
        <v>35.49</v>
      </c>
      <c r="H589">
        <v>18751.32</v>
      </c>
      <c r="I589">
        <f>F589-G589</f>
        <v>-35.49</v>
      </c>
      <c r="J589" s="26" t="s">
        <v>8</v>
      </c>
      <c r="K589" s="1" t="s">
        <v>18</v>
      </c>
      <c r="L589" s="1">
        <f>IF(J589=K589,0,1)</f>
        <v>1</v>
      </c>
      <c r="M589" s="1">
        <v>-40.46</v>
      </c>
    </row>
    <row r="590" spans="1:13" ht="12.75">
      <c r="A590">
        <v>756</v>
      </c>
      <c r="B590">
        <v>2026</v>
      </c>
      <c r="C590" s="25">
        <v>46105</v>
      </c>
      <c r="D590" t="s">
        <v>176</v>
      </c>
      <c r="E590" t="s">
        <v>177</v>
      </c>
      <c r="G590">
        <v>51.22</v>
      </c>
      <c r="H590">
        <v>18700.099999999999</v>
      </c>
      <c r="I590">
        <f>F590-G590</f>
        <v>-51.22</v>
      </c>
      <c r="J590" s="26" t="s">
        <v>20</v>
      </c>
      <c r="K590" s="1" t="s">
        <v>18</v>
      </c>
      <c r="L590" s="1">
        <f>IF(J590=K590,0,1)</f>
        <v>1</v>
      </c>
      <c r="M590" s="1">
        <v>-5.3</v>
      </c>
    </row>
    <row r="591" spans="1:13" ht="12.75" hidden="1">
      <c r="A591">
        <v>710</v>
      </c>
      <c r="B591">
        <v>2026</v>
      </c>
      <c r="C591" s="25">
        <v>46063</v>
      </c>
      <c r="D591" t="s">
        <v>201</v>
      </c>
      <c r="E591" t="s">
        <v>177</v>
      </c>
      <c r="G591">
        <v>31.2</v>
      </c>
      <c r="H591">
        <v>10060.94</v>
      </c>
      <c r="I591">
        <f>F591-G591</f>
        <v>-31.2</v>
      </c>
      <c r="J591" t="s">
        <v>18</v>
      </c>
      <c r="K591" s="1" t="s">
        <v>18</v>
      </c>
      <c r="L591" s="1">
        <f>IF(J591=K591,0,1)</f>
        <v>0</v>
      </c>
      <c r="M591" s="1">
        <v>-9.48</v>
      </c>
    </row>
    <row r="592" spans="1:13" ht="12.75">
      <c r="A592">
        <v>760</v>
      </c>
      <c r="B592">
        <v>2026</v>
      </c>
      <c r="C592" s="25">
        <v>46107</v>
      </c>
      <c r="D592" t="s">
        <v>176</v>
      </c>
      <c r="E592" t="s">
        <v>177</v>
      </c>
      <c r="G592">
        <v>39.51</v>
      </c>
      <c r="H592">
        <v>21270.04</v>
      </c>
      <c r="I592">
        <f>F592-G592</f>
        <v>-39.51</v>
      </c>
      <c r="J592" s="26" t="s">
        <v>8</v>
      </c>
      <c r="K592" s="1" t="s">
        <v>18</v>
      </c>
      <c r="L592" s="1">
        <f>IF(J592=K592,0,1)</f>
        <v>1</v>
      </c>
      <c r="M592" s="1">
        <v>-31.2</v>
      </c>
    </row>
    <row r="593" spans="1:13" ht="12.75" hidden="1">
      <c r="A593">
        <v>712</v>
      </c>
      <c r="B593">
        <v>2026</v>
      </c>
      <c r="C593" s="25">
        <v>46064</v>
      </c>
      <c r="D593" t="s">
        <v>174</v>
      </c>
      <c r="E593" t="s">
        <v>44</v>
      </c>
      <c r="F593">
        <v>1250</v>
      </c>
      <c r="H593">
        <v>11310.94</v>
      </c>
      <c r="I593">
        <f>F593-G593</f>
        <v>1250</v>
      </c>
      <c r="J593" t="s">
        <v>14</v>
      </c>
      <c r="K593" s="1" t="s">
        <v>14</v>
      </c>
      <c r="L593" s="1">
        <f>IF(J593=K593,0,1)</f>
        <v>0</v>
      </c>
      <c r="M593" s="1">
        <v>1250</v>
      </c>
    </row>
    <row r="594" spans="1:13" ht="12.75">
      <c r="A594">
        <v>766</v>
      </c>
      <c r="B594">
        <v>2026</v>
      </c>
      <c r="C594" s="25">
        <v>46111</v>
      </c>
      <c r="D594" t="s">
        <v>176</v>
      </c>
      <c r="E594" t="s">
        <v>177</v>
      </c>
      <c r="G594">
        <v>5.05</v>
      </c>
      <c r="H594">
        <v>16659.189999999999</v>
      </c>
      <c r="I594">
        <f>F594-G594</f>
        <v>-5.05</v>
      </c>
      <c r="J594" s="26" t="s">
        <v>8</v>
      </c>
      <c r="K594" s="1" t="s">
        <v>18</v>
      </c>
      <c r="L594" s="1">
        <f>IF(J594=K594,0,1)</f>
        <v>1</v>
      </c>
      <c r="M594" s="1">
        <v>-310</v>
      </c>
    </row>
    <row r="595" spans="1:13" ht="12.75">
      <c r="A595">
        <v>767</v>
      </c>
      <c r="B595">
        <v>2026</v>
      </c>
      <c r="C595" s="25">
        <v>46112</v>
      </c>
      <c r="D595" t="s">
        <v>218</v>
      </c>
      <c r="E595" t="s">
        <v>177</v>
      </c>
      <c r="G595">
        <v>58.76</v>
      </c>
      <c r="H595">
        <v>16565.37</v>
      </c>
      <c r="I595">
        <f>F595-G595</f>
        <v>-58.76</v>
      </c>
      <c r="J595" s="26" t="s">
        <v>9</v>
      </c>
      <c r="K595" s="1" t="s">
        <v>18</v>
      </c>
      <c r="L595" s="1">
        <f>IF(J595=K595,0,1)</f>
        <v>1</v>
      </c>
      <c r="M595" s="1">
        <v>-10</v>
      </c>
    </row>
    <row r="596" spans="1:13" ht="12.75" hidden="1">
      <c r="A596">
        <v>715</v>
      </c>
      <c r="B596">
        <v>2026</v>
      </c>
      <c r="C596" s="25">
        <v>46070</v>
      </c>
      <c r="D596" t="s">
        <v>253</v>
      </c>
      <c r="E596" t="s">
        <v>177</v>
      </c>
      <c r="G596">
        <v>45.44</v>
      </c>
      <c r="H596">
        <v>10933.85</v>
      </c>
      <c r="I596">
        <f>F596-G596</f>
        <v>-45.44</v>
      </c>
      <c r="J596" t="s">
        <v>18</v>
      </c>
      <c r="K596" s="1" t="s">
        <v>18</v>
      </c>
      <c r="L596" s="1">
        <f>IF(J596=K596,0,1)</f>
        <v>0</v>
      </c>
      <c r="M596" s="1">
        <v>-5.99</v>
      </c>
    </row>
    <row r="597" spans="1:13" ht="12.75">
      <c r="A597">
        <v>722</v>
      </c>
      <c r="B597">
        <v>2026</v>
      </c>
      <c r="C597" s="25">
        <v>46076</v>
      </c>
      <c r="D597" t="s">
        <v>255</v>
      </c>
      <c r="E597" t="s">
        <v>44</v>
      </c>
      <c r="F597">
        <v>3447.22</v>
      </c>
      <c r="H597">
        <v>14481.07</v>
      </c>
      <c r="I597">
        <f>F597-G597</f>
        <v>3447.22</v>
      </c>
      <c r="J597" t="s">
        <v>10</v>
      </c>
      <c r="K597" s="1" t="s">
        <v>266</v>
      </c>
      <c r="L597" s="1">
        <f>IF(J597=K597,0,1)</f>
        <v>1</v>
      </c>
      <c r="M597" s="1">
        <v>-45.44</v>
      </c>
    </row>
    <row r="598" spans="1:13" ht="12.75" hidden="1">
      <c r="A598">
        <v>717</v>
      </c>
      <c r="B598">
        <v>2026</v>
      </c>
      <c r="C598" s="25">
        <v>46070</v>
      </c>
      <c r="D598" t="s">
        <v>178</v>
      </c>
      <c r="E598" t="s">
        <v>177</v>
      </c>
      <c r="G598">
        <v>10</v>
      </c>
      <c r="H598">
        <v>10990.94</v>
      </c>
      <c r="I598">
        <f>F598-G598</f>
        <v>-10</v>
      </c>
      <c r="J598" t="s">
        <v>17</v>
      </c>
      <c r="K598" s="1" t="s">
        <v>17</v>
      </c>
      <c r="L598" s="1">
        <f>IF(J598=K598,0,1)</f>
        <v>0</v>
      </c>
      <c r="M598" s="1">
        <v>-300</v>
      </c>
    </row>
    <row r="599" spans="1:13" ht="12.75" hidden="1">
      <c r="A599">
        <v>718</v>
      </c>
      <c r="B599">
        <v>2026</v>
      </c>
      <c r="C599" s="25">
        <v>46071</v>
      </c>
      <c r="D599" t="s">
        <v>174</v>
      </c>
      <c r="E599" t="s">
        <v>44</v>
      </c>
      <c r="F599">
        <v>400</v>
      </c>
      <c r="H599">
        <v>11033.85</v>
      </c>
      <c r="I599">
        <f>F599-G599</f>
        <v>400</v>
      </c>
      <c r="J599" t="s">
        <v>14</v>
      </c>
      <c r="K599" s="1" t="s">
        <v>14</v>
      </c>
      <c r="L599" s="1">
        <f>IF(J599=K599,0,1)</f>
        <v>0</v>
      </c>
      <c r="M599" s="1">
        <v>400</v>
      </c>
    </row>
    <row r="600" spans="1:13" ht="12.75">
      <c r="A600">
        <v>725</v>
      </c>
      <c r="B600">
        <v>2026</v>
      </c>
      <c r="C600" s="25">
        <v>46077</v>
      </c>
      <c r="D600" t="s">
        <v>255</v>
      </c>
      <c r="E600" t="s">
        <v>44</v>
      </c>
      <c r="F600">
        <v>4871.6000000000004</v>
      </c>
      <c r="H600">
        <v>18255.84</v>
      </c>
      <c r="I600">
        <f>F600-G600</f>
        <v>4871.6000000000004</v>
      </c>
      <c r="J600" t="s">
        <v>10</v>
      </c>
      <c r="K600" s="1" t="s">
        <v>266</v>
      </c>
      <c r="L600" s="1">
        <f>IF(J600=K600,0,1)</f>
        <v>1</v>
      </c>
      <c r="M600" s="1">
        <v>3447.22</v>
      </c>
    </row>
    <row r="601" spans="1:13" ht="12.75" hidden="1">
      <c r="A601">
        <v>720</v>
      </c>
      <c r="B601">
        <v>2026</v>
      </c>
      <c r="C601" s="25">
        <v>46076</v>
      </c>
      <c r="D601" t="s">
        <v>201</v>
      </c>
      <c r="E601" t="s">
        <v>177</v>
      </c>
      <c r="G601">
        <v>35.049999999999997</v>
      </c>
      <c r="H601">
        <v>14431.74</v>
      </c>
      <c r="I601">
        <f>F601-G601</f>
        <v>-35.049999999999997</v>
      </c>
      <c r="J601" t="s">
        <v>18</v>
      </c>
      <c r="K601" s="1" t="s">
        <v>18</v>
      </c>
      <c r="L601" s="1">
        <f>IF(J601=K601,0,1)</f>
        <v>0</v>
      </c>
      <c r="M601" s="1">
        <v>-14.28</v>
      </c>
    </row>
    <row r="602" spans="1:13" ht="12.75">
      <c r="A602">
        <v>743</v>
      </c>
      <c r="B602">
        <v>2026</v>
      </c>
      <c r="C602" s="25">
        <v>46092</v>
      </c>
      <c r="D602" t="s">
        <v>256</v>
      </c>
      <c r="E602" t="s">
        <v>177</v>
      </c>
      <c r="G602">
        <v>20.09</v>
      </c>
      <c r="H602">
        <v>18975.29</v>
      </c>
      <c r="I602">
        <f>F602-G602</f>
        <v>-20.09</v>
      </c>
      <c r="J602" s="26" t="s">
        <v>25</v>
      </c>
      <c r="K602" s="1" t="s">
        <v>27</v>
      </c>
      <c r="L602" s="1">
        <f>IF(J602=K602,0,1)</f>
        <v>1</v>
      </c>
      <c r="M602" s="1">
        <v>-35.049999999999997</v>
      </c>
    </row>
    <row r="603" spans="1:13" ht="12.75">
      <c r="A603">
        <v>444</v>
      </c>
      <c r="B603">
        <v>2026</v>
      </c>
      <c r="C603" s="25">
        <v>45852</v>
      </c>
      <c r="D603" t="s">
        <v>212</v>
      </c>
      <c r="E603" t="s">
        <v>177</v>
      </c>
      <c r="G603">
        <v>15.8</v>
      </c>
      <c r="H603">
        <v>23026.71</v>
      </c>
      <c r="I603">
        <f>F603-G603</f>
        <v>-15.8</v>
      </c>
      <c r="J603" s="26" t="s">
        <v>25</v>
      </c>
      <c r="K603" s="1" t="s">
        <v>263</v>
      </c>
      <c r="L603" s="1">
        <f>IF(J603=K603,0,1)</f>
        <v>1</v>
      </c>
      <c r="M603" s="1">
        <v>-1047.5</v>
      </c>
    </row>
    <row r="604" spans="1:13" ht="12.75" hidden="1">
      <c r="A604">
        <v>723</v>
      </c>
      <c r="B604">
        <v>2026</v>
      </c>
      <c r="C604" s="25">
        <v>46077</v>
      </c>
      <c r="D604" t="s">
        <v>178</v>
      </c>
      <c r="E604" t="s">
        <v>177</v>
      </c>
      <c r="G604">
        <v>10</v>
      </c>
      <c r="H604">
        <v>18240.79</v>
      </c>
      <c r="I604">
        <f>F604-G604</f>
        <v>-10</v>
      </c>
      <c r="J604" t="s">
        <v>17</v>
      </c>
      <c r="K604" s="1" t="s">
        <v>17</v>
      </c>
      <c r="L604" s="1">
        <f>IF(J604=K604,0,1)</f>
        <v>0</v>
      </c>
      <c r="M604" s="1">
        <v>4871.6000000000004</v>
      </c>
    </row>
    <row r="605" spans="1:13" ht="12.75">
      <c r="A605">
        <v>486</v>
      </c>
      <c r="B605">
        <v>2026</v>
      </c>
      <c r="C605" s="25">
        <v>45881</v>
      </c>
      <c r="D605" t="s">
        <v>212</v>
      </c>
      <c r="E605" t="s">
        <v>177</v>
      </c>
      <c r="G605">
        <v>15.96</v>
      </c>
      <c r="H605">
        <v>22050.61</v>
      </c>
      <c r="I605">
        <f>F605-G605</f>
        <v>-15.96</v>
      </c>
      <c r="J605" s="26" t="s">
        <v>25</v>
      </c>
      <c r="K605" s="1" t="s">
        <v>263</v>
      </c>
      <c r="L605" s="1">
        <f>IF(J605=K605,0,1)</f>
        <v>1</v>
      </c>
      <c r="M605" s="1">
        <v>-5.25</v>
      </c>
    </row>
    <row r="606" spans="1:13" ht="12.75">
      <c r="A606">
        <v>488</v>
      </c>
      <c r="B606">
        <v>2026</v>
      </c>
      <c r="C606" s="25">
        <v>45881</v>
      </c>
      <c r="D606" t="s">
        <v>212</v>
      </c>
      <c r="E606" t="s">
        <v>177</v>
      </c>
      <c r="G606">
        <v>12.59</v>
      </c>
      <c r="H606">
        <v>22080.37</v>
      </c>
      <c r="I606">
        <f>F606-G606</f>
        <v>-12.59</v>
      </c>
      <c r="J606" s="26" t="s">
        <v>25</v>
      </c>
      <c r="K606" s="1" t="s">
        <v>263</v>
      </c>
      <c r="L606" s="1">
        <f>IF(J606=K606,0,1)</f>
        <v>1</v>
      </c>
      <c r="M606" s="1">
        <v>-10</v>
      </c>
    </row>
    <row r="607" spans="1:13" ht="12.75">
      <c r="A607">
        <v>577</v>
      </c>
      <c r="B607">
        <v>2026</v>
      </c>
      <c r="C607" s="25">
        <v>45937</v>
      </c>
      <c r="D607" t="s">
        <v>234</v>
      </c>
      <c r="E607" t="s">
        <v>177</v>
      </c>
      <c r="G607">
        <v>23.52</v>
      </c>
      <c r="H607">
        <v>10565.47</v>
      </c>
      <c r="I607">
        <f>F607-G607</f>
        <v>-23.52</v>
      </c>
      <c r="J607" t="s">
        <v>9</v>
      </c>
      <c r="K607" s="1" t="s">
        <v>263</v>
      </c>
      <c r="L607" s="1">
        <f>IF(J607=K607,0,1)</f>
        <v>1</v>
      </c>
      <c r="M607" s="1">
        <v>2525</v>
      </c>
    </row>
    <row r="608" spans="1:13" ht="12.75" hidden="1">
      <c r="A608">
        <v>727</v>
      </c>
      <c r="B608">
        <v>2026</v>
      </c>
      <c r="C608" s="25">
        <v>46078</v>
      </c>
      <c r="D608" t="s">
        <v>178</v>
      </c>
      <c r="E608" t="s">
        <v>177</v>
      </c>
      <c r="G608">
        <v>5</v>
      </c>
      <c r="H608">
        <v>20760.79</v>
      </c>
      <c r="I608">
        <f>F608-G608</f>
        <v>-5</v>
      </c>
      <c r="J608" t="s">
        <v>17</v>
      </c>
      <c r="K608" s="1" t="s">
        <v>17</v>
      </c>
      <c r="L608" s="1">
        <f>IF(J608=K608,0,1)</f>
        <v>0</v>
      </c>
      <c r="M608" s="1">
        <v>-5</v>
      </c>
    </row>
    <row r="609" spans="1:13" ht="12.75" hidden="1">
      <c r="A609">
        <v>728</v>
      </c>
      <c r="B609">
        <v>2026</v>
      </c>
      <c r="C609" s="25">
        <v>46078</v>
      </c>
      <c r="D609" t="s">
        <v>174</v>
      </c>
      <c r="E609" t="s">
        <v>44</v>
      </c>
      <c r="F609">
        <v>2525</v>
      </c>
      <c r="H609">
        <v>20765.79</v>
      </c>
      <c r="I609">
        <f>F609-G609</f>
        <v>2525</v>
      </c>
      <c r="J609" t="s">
        <v>14</v>
      </c>
      <c r="K609" s="1" t="s">
        <v>14</v>
      </c>
      <c r="L609" s="1">
        <f>IF(J609=K609,0,1)</f>
        <v>0</v>
      </c>
      <c r="M609" s="1">
        <v>-55.05</v>
      </c>
    </row>
    <row r="610" spans="1:13" ht="12.75">
      <c r="A610">
        <v>578</v>
      </c>
      <c r="B610">
        <v>2026</v>
      </c>
      <c r="C610" s="25">
        <v>45937</v>
      </c>
      <c r="D610" t="s">
        <v>212</v>
      </c>
      <c r="E610" t="s">
        <v>177</v>
      </c>
      <c r="G610">
        <v>17.260000000000002</v>
      </c>
      <c r="H610">
        <v>10588.99</v>
      </c>
      <c r="I610">
        <f>F610-G610</f>
        <v>-17.260000000000002</v>
      </c>
      <c r="J610" s="27" t="s">
        <v>25</v>
      </c>
      <c r="K610" s="1" t="s">
        <v>263</v>
      </c>
      <c r="L610" s="1">
        <f>IF(J610=K610,0,1)</f>
        <v>1</v>
      </c>
      <c r="M610" s="1">
        <v>-1047.5</v>
      </c>
    </row>
    <row r="611" spans="1:13" ht="12.75">
      <c r="A611">
        <v>748</v>
      </c>
      <c r="B611">
        <v>2026</v>
      </c>
      <c r="C611" s="25">
        <v>46098</v>
      </c>
      <c r="D611" t="s">
        <v>257</v>
      </c>
      <c r="E611" t="s">
        <v>177</v>
      </c>
      <c r="G611">
        <v>24.97</v>
      </c>
      <c r="H611">
        <v>18880.77</v>
      </c>
      <c r="I611">
        <f>F611-G611</f>
        <v>-24.97</v>
      </c>
      <c r="J611" t="s">
        <v>15</v>
      </c>
      <c r="K611" s="1" t="s">
        <v>263</v>
      </c>
      <c r="L611" s="1">
        <f>IF(J611=K611,0,1)</f>
        <v>1</v>
      </c>
      <c r="M611" s="1">
        <v>-2500</v>
      </c>
    </row>
    <row r="612" spans="1:13" ht="12.75" hidden="1">
      <c r="A612">
        <v>731</v>
      </c>
      <c r="B612">
        <v>2026</v>
      </c>
      <c r="C612" s="25">
        <v>46080</v>
      </c>
      <c r="D612" t="s">
        <v>213</v>
      </c>
      <c r="G612">
        <v>9.9</v>
      </c>
      <c r="H612">
        <v>17140.34</v>
      </c>
      <c r="I612">
        <f>F612-G612</f>
        <v>-9.9</v>
      </c>
      <c r="J612" t="s">
        <v>4</v>
      </c>
      <c r="K612" s="1" t="s">
        <v>4</v>
      </c>
      <c r="L612" s="1">
        <f>IF(J612=K612,0,1)</f>
        <v>0</v>
      </c>
      <c r="M612" s="1">
        <v>-8</v>
      </c>
    </row>
    <row r="613" spans="1:13" ht="12.75">
      <c r="A613">
        <v>313</v>
      </c>
      <c r="B613">
        <v>2026</v>
      </c>
      <c r="C613" s="25">
        <v>45772</v>
      </c>
      <c r="D613" t="s">
        <v>56</v>
      </c>
      <c r="E613" t="s">
        <v>48</v>
      </c>
      <c r="G613">
        <v>1047.5</v>
      </c>
      <c r="H613">
        <v>19117.47</v>
      </c>
      <c r="I613">
        <f>F613-G613</f>
        <v>-1047.5</v>
      </c>
      <c r="J613" t="s">
        <v>22</v>
      </c>
      <c r="K613" s="1" t="s">
        <v>28</v>
      </c>
      <c r="L613" s="1">
        <f>IF(J613=K613,0,1)</f>
        <v>1</v>
      </c>
      <c r="M613" s="1">
        <v>-9.9</v>
      </c>
    </row>
    <row r="614" spans="1:13" ht="12.75">
      <c r="A614">
        <v>330</v>
      </c>
      <c r="B614">
        <v>2026</v>
      </c>
      <c r="C614" s="25">
        <v>45800</v>
      </c>
      <c r="D614" t="s">
        <v>56</v>
      </c>
      <c r="E614" t="s">
        <v>48</v>
      </c>
      <c r="G614">
        <v>1047.5</v>
      </c>
      <c r="H614">
        <v>21453.81</v>
      </c>
      <c r="I614">
        <f>F614-G614</f>
        <v>-1047.5</v>
      </c>
      <c r="J614" t="s">
        <v>22</v>
      </c>
      <c r="K614" s="1" t="s">
        <v>28</v>
      </c>
      <c r="L614" s="1">
        <f>IF(J614=K614,0,1)</f>
        <v>1</v>
      </c>
      <c r="M614" s="1">
        <v>-2.75</v>
      </c>
    </row>
    <row r="615" spans="1:13" ht="12.75">
      <c r="A615">
        <v>409</v>
      </c>
      <c r="B615">
        <v>2026</v>
      </c>
      <c r="C615" s="25">
        <v>45835</v>
      </c>
      <c r="D615" t="s">
        <v>56</v>
      </c>
      <c r="E615" t="s">
        <v>48</v>
      </c>
      <c r="G615">
        <v>1047.5</v>
      </c>
      <c r="H615">
        <v>27003.8</v>
      </c>
      <c r="I615">
        <f>F615-G615</f>
        <v>-1047.5</v>
      </c>
      <c r="J615" t="s">
        <v>22</v>
      </c>
      <c r="K615" s="1" t="s">
        <v>28</v>
      </c>
      <c r="L615" s="1">
        <f>IF(J615=K615,0,1)</f>
        <v>1</v>
      </c>
      <c r="M615" s="1">
        <v>-3.6</v>
      </c>
    </row>
    <row r="616" spans="1:13" ht="12.75">
      <c r="A616">
        <v>453</v>
      </c>
      <c r="B616">
        <v>2026</v>
      </c>
      <c r="C616" s="25">
        <v>45861</v>
      </c>
      <c r="D616" t="s">
        <v>56</v>
      </c>
      <c r="E616" t="s">
        <v>48</v>
      </c>
      <c r="G616">
        <v>1047.5</v>
      </c>
      <c r="H616">
        <v>21658.79</v>
      </c>
      <c r="I616">
        <f>F616-G616</f>
        <v>-1047.5</v>
      </c>
      <c r="J616" t="s">
        <v>22</v>
      </c>
      <c r="K616" s="1" t="s">
        <v>28</v>
      </c>
      <c r="L616" s="1">
        <f>IF(J616=K616,0,1)</f>
        <v>1</v>
      </c>
      <c r="M616" s="1">
        <v>-34.28</v>
      </c>
    </row>
    <row r="617" spans="1:13" ht="12.75" hidden="1">
      <c r="A617">
        <v>736</v>
      </c>
      <c r="B617">
        <v>2026</v>
      </c>
      <c r="C617" s="25">
        <v>46085</v>
      </c>
      <c r="D617" t="s">
        <v>174</v>
      </c>
      <c r="E617" t="s">
        <v>44</v>
      </c>
      <c r="F617">
        <v>825</v>
      </c>
      <c r="H617">
        <v>17923.060000000001</v>
      </c>
      <c r="I617">
        <f>F617-G617</f>
        <v>825</v>
      </c>
      <c r="J617" t="s">
        <v>14</v>
      </c>
      <c r="K617" s="1" t="s">
        <v>14</v>
      </c>
      <c r="L617" s="1">
        <f>IF(J617=K617,0,1)</f>
        <v>0</v>
      </c>
      <c r="M617" s="1">
        <v>825</v>
      </c>
    </row>
    <row r="618" spans="1:13" ht="12.75">
      <c r="A618">
        <v>507</v>
      </c>
      <c r="B618">
        <v>2026</v>
      </c>
      <c r="C618" s="25">
        <v>45891</v>
      </c>
      <c r="D618" t="s">
        <v>56</v>
      </c>
      <c r="E618" t="s">
        <v>48</v>
      </c>
      <c r="G618">
        <v>1047.5</v>
      </c>
      <c r="H618">
        <v>23074.36</v>
      </c>
      <c r="I618">
        <f>F618-G618</f>
        <v>-1047.5</v>
      </c>
      <c r="J618" t="s">
        <v>22</v>
      </c>
      <c r="K618" s="1" t="s">
        <v>28</v>
      </c>
      <c r="L618" s="1">
        <f>IF(J618=K618,0,1)</f>
        <v>1</v>
      </c>
      <c r="M618" s="1">
        <v>-46.34</v>
      </c>
    </row>
    <row r="619" spans="1:13" ht="12.75">
      <c r="A619">
        <v>566</v>
      </c>
      <c r="B619">
        <v>2026</v>
      </c>
      <c r="C619" s="25">
        <v>45926</v>
      </c>
      <c r="D619" t="s">
        <v>56</v>
      </c>
      <c r="E619" t="s">
        <v>48</v>
      </c>
      <c r="G619">
        <v>1047.5</v>
      </c>
      <c r="H619">
        <v>11154.93</v>
      </c>
      <c r="I619">
        <f>F619-G619</f>
        <v>-1047.5</v>
      </c>
      <c r="J619" t="s">
        <v>22</v>
      </c>
      <c r="K619" s="1" t="s">
        <v>28</v>
      </c>
      <c r="L619" s="1">
        <f>IF(J619=K619,0,1)</f>
        <v>1</v>
      </c>
      <c r="M619" s="1">
        <v>-400</v>
      </c>
    </row>
    <row r="620" spans="1:13" ht="12.75" hidden="1">
      <c r="A620">
        <v>739</v>
      </c>
      <c r="B620">
        <v>2026</v>
      </c>
      <c r="C620" s="25">
        <v>46087</v>
      </c>
      <c r="D620" t="s">
        <v>174</v>
      </c>
      <c r="E620" t="s">
        <v>44</v>
      </c>
      <c r="F620">
        <v>825</v>
      </c>
      <c r="H620">
        <v>18301.72</v>
      </c>
      <c r="I620">
        <f>F620-G620</f>
        <v>825</v>
      </c>
      <c r="J620" t="s">
        <v>14</v>
      </c>
      <c r="K620" s="1" t="s">
        <v>14</v>
      </c>
      <c r="L620" s="1">
        <f>IF(J620=K620,0,1)</f>
        <v>0</v>
      </c>
      <c r="M620" s="1">
        <v>825</v>
      </c>
    </row>
    <row r="621" spans="1:13" ht="12.75" hidden="1">
      <c r="A621">
        <v>740</v>
      </c>
      <c r="B621">
        <v>2026</v>
      </c>
      <c r="C621" s="25">
        <v>46090</v>
      </c>
      <c r="D621" t="s">
        <v>201</v>
      </c>
      <c r="E621" t="s">
        <v>177</v>
      </c>
      <c r="G621">
        <v>38.69</v>
      </c>
      <c r="H621">
        <v>18258.38</v>
      </c>
      <c r="I621">
        <f>F621-G621</f>
        <v>-38.69</v>
      </c>
      <c r="J621" t="s">
        <v>18</v>
      </c>
      <c r="K621" s="1" t="s">
        <v>18</v>
      </c>
      <c r="L621" s="1">
        <f>IF(J621=K621,0,1)</f>
        <v>0</v>
      </c>
      <c r="M621" s="1">
        <v>-2.75</v>
      </c>
    </row>
    <row r="622" spans="1:13" ht="12.75">
      <c r="A622">
        <v>584</v>
      </c>
      <c r="B622">
        <v>2026</v>
      </c>
      <c r="C622" s="25">
        <v>45954</v>
      </c>
      <c r="D622" t="s">
        <v>56</v>
      </c>
      <c r="E622" t="s">
        <v>48</v>
      </c>
      <c r="G622">
        <v>1047.5</v>
      </c>
      <c r="H622">
        <v>8182.93</v>
      </c>
      <c r="I622">
        <f>F622-G622</f>
        <v>-1047.5</v>
      </c>
      <c r="J622" t="s">
        <v>22</v>
      </c>
      <c r="K622" s="1" t="s">
        <v>28</v>
      </c>
      <c r="L622" s="1">
        <f>IF(J622=K622,0,1)</f>
        <v>1</v>
      </c>
      <c r="M622" s="1">
        <v>-38.69</v>
      </c>
    </row>
    <row r="623" spans="1:13" ht="12.75" hidden="1">
      <c r="A623">
        <v>742</v>
      </c>
      <c r="B623">
        <v>2026</v>
      </c>
      <c r="C623" s="25">
        <v>46091</v>
      </c>
      <c r="D623" t="s">
        <v>178</v>
      </c>
      <c r="E623" t="s">
        <v>177</v>
      </c>
      <c r="G623">
        <v>10</v>
      </c>
      <c r="H623">
        <v>18248.38</v>
      </c>
      <c r="I623">
        <f>F623-G623</f>
        <v>-10</v>
      </c>
      <c r="J623" t="s">
        <v>17</v>
      </c>
      <c r="K623" s="1" t="s">
        <v>17</v>
      </c>
      <c r="L623" s="1">
        <f>IF(J623=K623,0,1)</f>
        <v>0</v>
      </c>
      <c r="M623" s="1">
        <v>-10</v>
      </c>
    </row>
    <row r="624" spans="1:13" ht="12.75">
      <c r="A624">
        <v>620</v>
      </c>
      <c r="B624">
        <v>2026</v>
      </c>
      <c r="C624" s="25">
        <v>45985</v>
      </c>
      <c r="D624" t="s">
        <v>56</v>
      </c>
      <c r="E624" t="s">
        <v>48</v>
      </c>
      <c r="G624">
        <v>1047.5</v>
      </c>
      <c r="H624">
        <v>7255.78</v>
      </c>
      <c r="I624">
        <f>F624-G624</f>
        <v>-1047.5</v>
      </c>
      <c r="J624" t="s">
        <v>22</v>
      </c>
      <c r="K624" s="1" t="s">
        <v>28</v>
      </c>
      <c r="L624" s="1">
        <f>IF(J624=K624,0,1)</f>
        <v>1</v>
      </c>
      <c r="M624" s="1">
        <v>747</v>
      </c>
    </row>
    <row r="625" spans="1:13" ht="12.75" hidden="1">
      <c r="A625">
        <v>744</v>
      </c>
      <c r="B625">
        <v>2026</v>
      </c>
      <c r="C625" s="25">
        <v>46092</v>
      </c>
      <c r="D625" t="s">
        <v>174</v>
      </c>
      <c r="E625" t="s">
        <v>44</v>
      </c>
      <c r="F625">
        <v>747</v>
      </c>
      <c r="H625">
        <v>18995.38</v>
      </c>
      <c r="I625">
        <f>F625-G625</f>
        <v>747</v>
      </c>
      <c r="J625" t="s">
        <v>14</v>
      </c>
      <c r="K625" s="1" t="s">
        <v>14</v>
      </c>
      <c r="L625" s="1">
        <f>IF(J625=K625,0,1)</f>
        <v>0</v>
      </c>
      <c r="M625" s="1">
        <v>-20.09</v>
      </c>
    </row>
    <row r="626" spans="1:13" ht="12.75">
      <c r="A626">
        <v>659</v>
      </c>
      <c r="B626">
        <v>2026</v>
      </c>
      <c r="C626" s="25">
        <v>46015</v>
      </c>
      <c r="D626" t="s">
        <v>56</v>
      </c>
      <c r="E626" t="s">
        <v>48</v>
      </c>
      <c r="G626">
        <v>1047.5</v>
      </c>
      <c r="H626">
        <v>14366.89</v>
      </c>
      <c r="I626">
        <f>F626-G626</f>
        <v>-1047.5</v>
      </c>
      <c r="J626" t="s">
        <v>22</v>
      </c>
      <c r="K626" s="1" t="s">
        <v>28</v>
      </c>
      <c r="L626" s="1">
        <f>IF(J626=K626,0,1)</f>
        <v>1</v>
      </c>
      <c r="M626" s="1">
        <v>-49.9</v>
      </c>
    </row>
    <row r="627" spans="1:13" ht="12.75">
      <c r="A627">
        <v>695</v>
      </c>
      <c r="B627">
        <v>2026</v>
      </c>
      <c r="C627" s="25">
        <v>46049</v>
      </c>
      <c r="D627" t="s">
        <v>56</v>
      </c>
      <c r="E627" t="s">
        <v>48</v>
      </c>
      <c r="G627">
        <v>1047.5</v>
      </c>
      <c r="H627">
        <v>14436.75</v>
      </c>
      <c r="I627">
        <f>F627-G627</f>
        <v>-1047.5</v>
      </c>
      <c r="J627" t="s">
        <v>22</v>
      </c>
      <c r="K627" s="1" t="s">
        <v>28</v>
      </c>
      <c r="L627" s="1">
        <f>IF(J627=K627,0,1)</f>
        <v>1</v>
      </c>
      <c r="M627" s="1">
        <v>-6.1</v>
      </c>
    </row>
    <row r="628" spans="1:13" ht="12.75">
      <c r="A628">
        <v>730</v>
      </c>
      <c r="B628">
        <v>2026</v>
      </c>
      <c r="C628" s="25">
        <v>46079</v>
      </c>
      <c r="D628" t="s">
        <v>56</v>
      </c>
      <c r="E628" t="s">
        <v>48</v>
      </c>
      <c r="G628">
        <v>1047.5</v>
      </c>
      <c r="H628">
        <v>19658.240000000002</v>
      </c>
      <c r="I628">
        <f>F628-G628</f>
        <v>-1047.5</v>
      </c>
      <c r="J628" t="s">
        <v>22</v>
      </c>
      <c r="K628" s="1" t="s">
        <v>28</v>
      </c>
      <c r="L628" s="1">
        <f>IF(J628=K628,0,1)</f>
        <v>1</v>
      </c>
      <c r="M628" s="1">
        <v>-16</v>
      </c>
    </row>
    <row r="629" spans="1:13" ht="12.75">
      <c r="A629">
        <v>764</v>
      </c>
      <c r="B629">
        <v>2026</v>
      </c>
      <c r="C629" s="25">
        <v>46108</v>
      </c>
      <c r="D629" t="s">
        <v>56</v>
      </c>
      <c r="E629" t="s">
        <v>48</v>
      </c>
      <c r="G629">
        <v>1047.5</v>
      </c>
      <c r="H629">
        <v>20211.740000000002</v>
      </c>
      <c r="I629">
        <f>F629-G629</f>
        <v>-1047.5</v>
      </c>
      <c r="J629" t="s">
        <v>22</v>
      </c>
      <c r="K629" s="1" t="s">
        <v>28</v>
      </c>
      <c r="L629" s="1">
        <f>IF(J629=K629,0,1)</f>
        <v>1</v>
      </c>
      <c r="M629" s="1">
        <v>-24.97</v>
      </c>
    </row>
    <row r="630" spans="1:13" ht="12.75">
      <c r="A630">
        <v>312</v>
      </c>
      <c r="B630">
        <v>2026</v>
      </c>
      <c r="C630" s="25">
        <v>45772</v>
      </c>
      <c r="D630" t="s">
        <v>175</v>
      </c>
      <c r="E630" t="s">
        <v>48</v>
      </c>
      <c r="G630">
        <v>833.33</v>
      </c>
      <c r="H630">
        <v>18284.14</v>
      </c>
      <c r="I630">
        <f>F630-G630</f>
        <v>-833.33</v>
      </c>
      <c r="J630" s="26" t="s">
        <v>26</v>
      </c>
      <c r="K630" s="1" t="s">
        <v>259</v>
      </c>
      <c r="L630" s="1">
        <f>IF(J630=K630,0,1)</f>
        <v>1</v>
      </c>
      <c r="M630" s="1">
        <v>-30.09</v>
      </c>
    </row>
    <row r="631" spans="1:13" ht="12.75">
      <c r="A631">
        <v>331</v>
      </c>
      <c r="B631">
        <v>2026</v>
      </c>
      <c r="C631" s="25">
        <v>45800</v>
      </c>
      <c r="D631" t="s">
        <v>184</v>
      </c>
      <c r="E631" t="s">
        <v>48</v>
      </c>
      <c r="G631">
        <v>833.33</v>
      </c>
      <c r="H631">
        <v>22501.31</v>
      </c>
      <c r="I631">
        <f>F631-G631</f>
        <v>-833.33</v>
      </c>
      <c r="J631" s="26" t="s">
        <v>22</v>
      </c>
      <c r="K631" s="1" t="s">
        <v>259</v>
      </c>
      <c r="L631" s="1">
        <f>IF(J631=K631,0,1)</f>
        <v>1</v>
      </c>
      <c r="M631" s="1">
        <v>-5</v>
      </c>
    </row>
    <row r="632" spans="1:13" ht="12.75" hidden="1">
      <c r="A632">
        <v>751</v>
      </c>
      <c r="B632">
        <v>2026</v>
      </c>
      <c r="C632" s="25">
        <v>46099</v>
      </c>
      <c r="D632" t="s">
        <v>178</v>
      </c>
      <c r="E632" t="s">
        <v>177</v>
      </c>
      <c r="G632">
        <v>5</v>
      </c>
      <c r="H632">
        <v>18845.68</v>
      </c>
      <c r="I632">
        <f>F632-G632</f>
        <v>-5</v>
      </c>
      <c r="J632" t="s">
        <v>17</v>
      </c>
      <c r="K632" s="1" t="s">
        <v>17</v>
      </c>
      <c r="L632" s="1">
        <f>IF(J632=K632,0,1)</f>
        <v>0</v>
      </c>
      <c r="M632" s="1">
        <v>-44.47</v>
      </c>
    </row>
    <row r="633" spans="1:13" ht="12.75" hidden="1">
      <c r="A633">
        <v>752</v>
      </c>
      <c r="B633">
        <v>2026</v>
      </c>
      <c r="C633" s="25">
        <v>46100</v>
      </c>
      <c r="D633" t="s">
        <v>178</v>
      </c>
      <c r="E633" t="s">
        <v>177</v>
      </c>
      <c r="G633">
        <v>5</v>
      </c>
      <c r="H633">
        <v>18792.21</v>
      </c>
      <c r="I633">
        <f>F633-G633</f>
        <v>-5</v>
      </c>
      <c r="J633" t="s">
        <v>17</v>
      </c>
      <c r="K633" s="1" t="s">
        <v>17</v>
      </c>
      <c r="L633" s="1">
        <f>IF(J633=K633,0,1)</f>
        <v>0</v>
      </c>
      <c r="M633" s="1">
        <v>-6.45</v>
      </c>
    </row>
    <row r="634" spans="1:13" ht="12.75">
      <c r="A634">
        <v>408</v>
      </c>
      <c r="B634">
        <v>2026</v>
      </c>
      <c r="C634" s="25">
        <v>45835</v>
      </c>
      <c r="D634" t="s">
        <v>175</v>
      </c>
      <c r="E634" t="s">
        <v>48</v>
      </c>
      <c r="G634">
        <v>833.33</v>
      </c>
      <c r="H634">
        <v>26170.47</v>
      </c>
      <c r="I634">
        <f>F634-G634</f>
        <v>-833.33</v>
      </c>
      <c r="J634" s="26" t="s">
        <v>26</v>
      </c>
      <c r="K634" s="1" t="s">
        <v>259</v>
      </c>
      <c r="L634" s="1">
        <f>IF(J634=K634,0,1)</f>
        <v>1</v>
      </c>
      <c r="M634" s="1">
        <v>-5</v>
      </c>
    </row>
    <row r="635" spans="1:13" ht="12.75" hidden="1">
      <c r="A635">
        <v>754</v>
      </c>
      <c r="B635">
        <v>2026</v>
      </c>
      <c r="C635" s="25">
        <v>46101</v>
      </c>
      <c r="D635" t="s">
        <v>245</v>
      </c>
      <c r="E635" t="s">
        <v>177</v>
      </c>
      <c r="G635">
        <v>5.4</v>
      </c>
      <c r="H635">
        <v>18786.810000000001</v>
      </c>
      <c r="I635">
        <f>F635-G635</f>
        <v>-5.4</v>
      </c>
      <c r="J635" t="s">
        <v>15</v>
      </c>
      <c r="K635" s="1" t="s">
        <v>15</v>
      </c>
      <c r="L635" s="1">
        <f>IF(J635=K635,0,1)</f>
        <v>0</v>
      </c>
      <c r="M635" s="1">
        <v>-6.1</v>
      </c>
    </row>
    <row r="636" spans="1:13" ht="12.75">
      <c r="A636">
        <v>452</v>
      </c>
      <c r="B636">
        <v>2026</v>
      </c>
      <c r="C636" s="25">
        <v>45861</v>
      </c>
      <c r="D636" t="s">
        <v>175</v>
      </c>
      <c r="E636" t="s">
        <v>48</v>
      </c>
      <c r="G636">
        <v>1690.01</v>
      </c>
      <c r="H636">
        <v>19968.78</v>
      </c>
      <c r="I636">
        <f>F636-G636</f>
        <v>-1690.01</v>
      </c>
      <c r="J636" s="26" t="s">
        <v>26</v>
      </c>
      <c r="K636" s="1" t="s">
        <v>259</v>
      </c>
      <c r="L636" s="1">
        <f>IF(J636=K636,0,1)</f>
        <v>1</v>
      </c>
      <c r="M636" s="1">
        <v>-35.49</v>
      </c>
    </row>
    <row r="637" spans="1:13" ht="12.75">
      <c r="A637">
        <v>508</v>
      </c>
      <c r="B637">
        <v>2026</v>
      </c>
      <c r="C637" s="25">
        <v>45891</v>
      </c>
      <c r="D637" t="s">
        <v>175</v>
      </c>
      <c r="E637" t="s">
        <v>48</v>
      </c>
      <c r="G637">
        <v>1047.5</v>
      </c>
      <c r="H637">
        <v>24121.86</v>
      </c>
      <c r="I637">
        <f>F637-G637</f>
        <v>-1047.5</v>
      </c>
      <c r="J637" s="26" t="s">
        <v>26</v>
      </c>
      <c r="K637" s="1" t="s">
        <v>259</v>
      </c>
      <c r="L637" s="1">
        <f>IF(J637=K637,0,1)</f>
        <v>1</v>
      </c>
      <c r="M637" s="1">
        <v>-51.22</v>
      </c>
    </row>
    <row r="638" spans="1:13" ht="12.75" hidden="1">
      <c r="A638">
        <v>757</v>
      </c>
      <c r="B638">
        <v>2026</v>
      </c>
      <c r="C638" s="25">
        <v>46106</v>
      </c>
      <c r="D638" t="s">
        <v>180</v>
      </c>
      <c r="E638" t="s">
        <v>177</v>
      </c>
      <c r="G638">
        <v>5.55</v>
      </c>
      <c r="H638">
        <v>21314.55</v>
      </c>
      <c r="I638">
        <f>F638-G638</f>
        <v>-5.55</v>
      </c>
      <c r="J638" t="s">
        <v>15</v>
      </c>
      <c r="K638" s="1" t="s">
        <v>15</v>
      </c>
      <c r="L638" s="1">
        <f>IF(J638=K638,0,1)</f>
        <v>0</v>
      </c>
      <c r="M638" s="1">
        <v>2625</v>
      </c>
    </row>
    <row r="639" spans="1:13" ht="12.75" hidden="1">
      <c r="A639">
        <v>758</v>
      </c>
      <c r="B639">
        <v>2026</v>
      </c>
      <c r="C639" s="25">
        <v>46106</v>
      </c>
      <c r="D639" t="s">
        <v>178</v>
      </c>
      <c r="E639" t="s">
        <v>177</v>
      </c>
      <c r="G639">
        <v>5</v>
      </c>
      <c r="H639">
        <v>21320.1</v>
      </c>
      <c r="I639">
        <f>F639-G639</f>
        <v>-5</v>
      </c>
      <c r="J639" t="s">
        <v>17</v>
      </c>
      <c r="K639" s="1" t="s">
        <v>17</v>
      </c>
      <c r="L639" s="1">
        <f>IF(J639=K639,0,1)</f>
        <v>0</v>
      </c>
      <c r="M639" s="1">
        <v>-5</v>
      </c>
    </row>
    <row r="640" spans="1:13" ht="12.75" hidden="1">
      <c r="A640">
        <v>759</v>
      </c>
      <c r="B640">
        <v>2026</v>
      </c>
      <c r="C640" s="25">
        <v>46106</v>
      </c>
      <c r="D640" t="s">
        <v>174</v>
      </c>
      <c r="E640" t="s">
        <v>44</v>
      </c>
      <c r="F640">
        <v>2625</v>
      </c>
      <c r="H640">
        <v>21325.1</v>
      </c>
      <c r="I640">
        <f>F640-G640</f>
        <v>2625</v>
      </c>
      <c r="J640" t="s">
        <v>14</v>
      </c>
      <c r="K640" s="1" t="s">
        <v>14</v>
      </c>
      <c r="L640" s="1">
        <f>IF(J640=K640,0,1)</f>
        <v>0</v>
      </c>
      <c r="M640" s="1">
        <v>-6.1</v>
      </c>
    </row>
    <row r="641" spans="1:13" ht="12.75">
      <c r="A641">
        <v>565</v>
      </c>
      <c r="B641">
        <v>2026</v>
      </c>
      <c r="C641" s="25">
        <v>45926</v>
      </c>
      <c r="D641" t="s">
        <v>175</v>
      </c>
      <c r="E641" t="s">
        <v>48</v>
      </c>
      <c r="G641">
        <v>1047.5</v>
      </c>
      <c r="H641">
        <v>10107.43</v>
      </c>
      <c r="I641">
        <f>F641-G641</f>
        <v>-1047.5</v>
      </c>
      <c r="J641" s="26" t="s">
        <v>26</v>
      </c>
      <c r="K641" s="1" t="s">
        <v>259</v>
      </c>
      <c r="L641" s="1">
        <f>IF(J641=K641,0,1)</f>
        <v>1</v>
      </c>
      <c r="M641" s="1">
        <v>-5</v>
      </c>
    </row>
    <row r="642" spans="1:13" ht="12.75" hidden="1">
      <c r="A642">
        <v>761</v>
      </c>
      <c r="B642">
        <v>2026</v>
      </c>
      <c r="C642" s="25">
        <v>46107</v>
      </c>
      <c r="D642" t="s">
        <v>178</v>
      </c>
      <c r="E642" t="s">
        <v>177</v>
      </c>
      <c r="G642">
        <v>5</v>
      </c>
      <c r="H642">
        <v>21309.55</v>
      </c>
      <c r="I642">
        <f>F642-G642</f>
        <v>-5</v>
      </c>
      <c r="J642" t="s">
        <v>17</v>
      </c>
      <c r="K642" s="1" t="s">
        <v>17</v>
      </c>
      <c r="L642" s="1">
        <f>IF(J642=K642,0,1)</f>
        <v>0</v>
      </c>
      <c r="M642" s="1">
        <v>-39.51</v>
      </c>
    </row>
    <row r="643" spans="1:13" ht="12.75">
      <c r="A643">
        <v>585</v>
      </c>
      <c r="B643">
        <v>2026</v>
      </c>
      <c r="C643" s="25">
        <v>45954</v>
      </c>
      <c r="D643" t="s">
        <v>175</v>
      </c>
      <c r="E643" t="s">
        <v>48</v>
      </c>
      <c r="G643">
        <v>1047.5</v>
      </c>
      <c r="H643">
        <v>9230.43</v>
      </c>
      <c r="I643">
        <f>F643-G643</f>
        <v>-1047.5</v>
      </c>
      <c r="J643" s="26" t="s">
        <v>26</v>
      </c>
      <c r="K643" s="1" t="s">
        <v>259</v>
      </c>
      <c r="L643" s="1">
        <f>IF(J643=K643,0,1)</f>
        <v>1</v>
      </c>
      <c r="M643" s="1">
        <v>-6.1</v>
      </c>
    </row>
    <row r="644" spans="1:13" ht="12.75">
      <c r="A644">
        <v>621</v>
      </c>
      <c r="B644">
        <v>2026</v>
      </c>
      <c r="C644" s="25">
        <v>45985</v>
      </c>
      <c r="D644" t="s">
        <v>175</v>
      </c>
      <c r="E644" t="s">
        <v>48</v>
      </c>
      <c r="G644">
        <v>1047.5</v>
      </c>
      <c r="H644">
        <v>8303.2800000000007</v>
      </c>
      <c r="I644">
        <f>F644-G644</f>
        <v>-1047.5</v>
      </c>
      <c r="J644" s="26" t="s">
        <v>26</v>
      </c>
      <c r="K644" s="1" t="s">
        <v>259</v>
      </c>
      <c r="L644" s="1">
        <f>IF(J644=K644,0,1)</f>
        <v>1</v>
      </c>
      <c r="M644" s="1">
        <v>-1047.5</v>
      </c>
    </row>
    <row r="645" spans="1:13" ht="12.75">
      <c r="A645">
        <v>657</v>
      </c>
      <c r="B645">
        <v>2026</v>
      </c>
      <c r="C645" s="25">
        <v>46015</v>
      </c>
      <c r="D645" t="s">
        <v>175</v>
      </c>
      <c r="E645" t="s">
        <v>48</v>
      </c>
      <c r="G645">
        <v>747.5</v>
      </c>
      <c r="H645">
        <v>11119.39</v>
      </c>
      <c r="I645">
        <f>F645-G645</f>
        <v>-747.5</v>
      </c>
      <c r="J645" s="26" t="s">
        <v>26</v>
      </c>
      <c r="K645" s="1" t="s">
        <v>259</v>
      </c>
      <c r="L645" s="1">
        <f>IF(J645=K645,0,1)</f>
        <v>1</v>
      </c>
      <c r="M645" s="1">
        <v>-1047.5</v>
      </c>
    </row>
    <row r="646" spans="1:13" ht="12.75">
      <c r="A646">
        <v>660</v>
      </c>
      <c r="B646">
        <v>2026</v>
      </c>
      <c r="C646" s="25">
        <v>46015</v>
      </c>
      <c r="D646" t="s">
        <v>175</v>
      </c>
      <c r="E646" t="s">
        <v>48</v>
      </c>
      <c r="G646">
        <v>300</v>
      </c>
      <c r="H646">
        <v>15414.39</v>
      </c>
      <c r="I646">
        <f>F646-G646</f>
        <v>-300</v>
      </c>
      <c r="J646" s="26" t="s">
        <v>26</v>
      </c>
      <c r="K646" s="1" t="s">
        <v>259</v>
      </c>
      <c r="L646" s="1">
        <f>IF(J646=K646,0,1)</f>
        <v>1</v>
      </c>
      <c r="M646" s="1">
        <v>-2500</v>
      </c>
    </row>
    <row r="647" spans="1:13" ht="12.75">
      <c r="A647">
        <v>694</v>
      </c>
      <c r="B647">
        <v>2026</v>
      </c>
      <c r="C647" s="25">
        <v>46049</v>
      </c>
      <c r="D647" t="s">
        <v>175</v>
      </c>
      <c r="E647" t="s">
        <v>48</v>
      </c>
      <c r="G647">
        <v>1047.5</v>
      </c>
      <c r="H647">
        <v>13389.25</v>
      </c>
      <c r="I647">
        <f>F647-G647</f>
        <v>-1047.5</v>
      </c>
      <c r="J647" s="26" t="s">
        <v>26</v>
      </c>
      <c r="K647" s="1" t="s">
        <v>259</v>
      </c>
      <c r="L647" s="1">
        <f>IF(J647=K647,0,1)</f>
        <v>1</v>
      </c>
      <c r="M647" s="1">
        <v>-6.1</v>
      </c>
    </row>
    <row r="648" spans="1:13" ht="12.75">
      <c r="A648">
        <v>719</v>
      </c>
      <c r="B648">
        <v>2026</v>
      </c>
      <c r="C648" s="25">
        <v>46076</v>
      </c>
      <c r="D648" t="s">
        <v>175</v>
      </c>
      <c r="E648" t="s">
        <v>48</v>
      </c>
      <c r="G648">
        <v>1047.5</v>
      </c>
      <c r="H648">
        <v>13384.24</v>
      </c>
      <c r="I648">
        <f>F648-G648</f>
        <v>-1047.5</v>
      </c>
      <c r="J648" s="26" t="s">
        <v>26</v>
      </c>
      <c r="K648" s="1" t="s">
        <v>259</v>
      </c>
      <c r="L648" s="1">
        <f>IF(J648=K648,0,1)</f>
        <v>1</v>
      </c>
      <c r="M648" s="1">
        <v>-6.1</v>
      </c>
    </row>
    <row r="649" spans="1:13" ht="12.75" hidden="1">
      <c r="A649">
        <v>768</v>
      </c>
      <c r="B649">
        <v>2026</v>
      </c>
      <c r="C649" s="25">
        <v>46112</v>
      </c>
      <c r="D649" t="s">
        <v>250</v>
      </c>
      <c r="E649" t="s">
        <v>177</v>
      </c>
      <c r="G649">
        <v>27.76</v>
      </c>
      <c r="H649">
        <v>16624.13</v>
      </c>
      <c r="I649">
        <f>F649-G649</f>
        <v>-27.76</v>
      </c>
      <c r="J649" t="s">
        <v>18</v>
      </c>
      <c r="K649" s="1" t="s">
        <v>18</v>
      </c>
      <c r="L649" s="1">
        <f>IF(J649=K649,0,1)</f>
        <v>0</v>
      </c>
      <c r="M649" s="1">
        <v>-2</v>
      </c>
    </row>
    <row r="650" spans="1:13" ht="12.75">
      <c r="A650">
        <v>763</v>
      </c>
      <c r="B650">
        <v>2026</v>
      </c>
      <c r="C650" s="25">
        <v>46108</v>
      </c>
      <c r="D650" t="s">
        <v>175</v>
      </c>
      <c r="E650" t="s">
        <v>48</v>
      </c>
      <c r="G650">
        <v>1047.5</v>
      </c>
      <c r="H650">
        <v>19164.240000000002</v>
      </c>
      <c r="I650">
        <f>F650-G650</f>
        <v>-1047.5</v>
      </c>
      <c r="J650" s="26" t="s">
        <v>26</v>
      </c>
      <c r="K650" s="1" t="s">
        <v>259</v>
      </c>
      <c r="L650" s="1">
        <f>IF(J650=K650,0,1)</f>
        <v>1</v>
      </c>
      <c r="M650" s="1">
        <v>-27.76</v>
      </c>
    </row>
    <row r="651" spans="1:13" ht="12.75" hidden="1">
      <c r="A651">
        <v>770</v>
      </c>
      <c r="B651">
        <v>2026</v>
      </c>
      <c r="C651" s="25">
        <v>46112</v>
      </c>
      <c r="D651" t="s">
        <v>192</v>
      </c>
      <c r="E651" t="s">
        <v>177</v>
      </c>
      <c r="G651">
        <v>3.35</v>
      </c>
      <c r="H651">
        <v>16655.84</v>
      </c>
      <c r="I651">
        <f>F651-G651</f>
        <v>-3.35</v>
      </c>
      <c r="J651" t="s">
        <v>15</v>
      </c>
      <c r="K651" s="1" t="s">
        <v>15</v>
      </c>
      <c r="L651" s="1">
        <f>IF(J651=K651,0,1)</f>
        <v>0</v>
      </c>
      <c r="M651" s="1">
        <v>-58.76</v>
      </c>
    </row>
  </sheetData>
  <autoFilter ref="A181:L651" xr:uid="{00000000-0001-0000-0000-000000000000}">
    <filterColumn colId="11">
      <filters>
        <filter val="1"/>
      </filters>
    </filterColumn>
    <sortState xmlns:xlrd2="http://schemas.microsoft.com/office/spreadsheetml/2017/richdata2" ref="A183:L650">
      <sortCondition ref="K181:K651"/>
    </sortState>
  </autoFilter>
  <pageMargins left="1" right="1" top="1" bottom="1" header="0.25" footer="0.25"/>
  <pageSetup orientation="portrait"/>
  <headerFooter>
    <oddHeader>&amp;C&amp;"Calibri"&amp;1 &amp;K000000 INTERNAL#_x000D_</oddHeader>
    <oddFooter>&amp;C&amp;"Helvetica Neue,Regular"&amp;12 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C66"/>
  <sheetViews>
    <sheetView topLeftCell="A19" workbookViewId="0">
      <selection activeCell="I26" sqref="I26"/>
    </sheetView>
  </sheetViews>
  <sheetFormatPr defaultRowHeight="12.75"/>
  <cols>
    <col min="1" max="1" width="12.85546875" style="24" bestFit="1" customWidth="1"/>
    <col min="2" max="3" width="10.28515625" style="24" bestFit="1" customWidth="1"/>
    <col min="4" max="4" width="11.28515625" style="24" bestFit="1" customWidth="1"/>
    <col min="5" max="5" width="11.28515625" style="24" customWidth="1"/>
    <col min="6" max="6" width="11.5703125" style="24" bestFit="1" customWidth="1"/>
    <col min="7" max="7" width="10.28515625" style="10" bestFit="1" customWidth="1"/>
    <col min="9" max="9" width="50.42578125" style="10" bestFit="1" customWidth="1"/>
    <col min="10" max="10" width="10.28515625" style="10" bestFit="1" customWidth="1"/>
    <col min="11" max="11" width="13.42578125" style="8" bestFit="1" customWidth="1"/>
    <col min="12" max="12" width="10.28515625" style="10" bestFit="1" customWidth="1"/>
    <col min="13" max="13" width="9.140625" style="10" customWidth="1"/>
    <col min="21" max="21" width="9.28515625" style="24" bestFit="1" customWidth="1"/>
    <col min="22" max="23" width="9.28515625" style="24" customWidth="1"/>
    <col min="24" max="25" width="10.28515625" style="24" bestFit="1" customWidth="1"/>
    <col min="26" max="26" width="10.42578125" style="10" bestFit="1" customWidth="1"/>
    <col min="27" max="27" width="9.140625" style="10" customWidth="1"/>
    <col min="28" max="28" width="10.28515625" style="10" bestFit="1" customWidth="1"/>
    <col min="29" max="29" width="9.140625" style="10" customWidth="1"/>
  </cols>
  <sheetData>
    <row r="3" spans="1:2" ht="25.5" customHeight="1">
      <c r="A3" t="s">
        <v>0</v>
      </c>
      <c r="B3" t="s">
        <v>1</v>
      </c>
    </row>
    <row r="4" spans="1:2">
      <c r="A4" t="s">
        <v>2</v>
      </c>
    </row>
    <row r="5" spans="1:2" ht="15" customHeight="1">
      <c r="A5" t="s">
        <v>3</v>
      </c>
    </row>
    <row r="6" spans="1:2" ht="15" customHeight="1">
      <c r="A6" t="s">
        <v>4</v>
      </c>
    </row>
    <row r="7" spans="1:2" ht="15" customHeight="1">
      <c r="A7" t="s">
        <v>5</v>
      </c>
    </row>
    <row r="8" spans="1:2" ht="15" customHeight="1">
      <c r="A8" t="s">
        <v>6</v>
      </c>
    </row>
    <row r="9" spans="1:2" ht="15" customHeight="1">
      <c r="A9" t="s">
        <v>7</v>
      </c>
    </row>
    <row r="10" spans="1:2" ht="15" customHeight="1">
      <c r="A10" t="s">
        <v>8</v>
      </c>
    </row>
    <row r="11" spans="1:2" ht="15" customHeight="1">
      <c r="A11" t="s">
        <v>9</v>
      </c>
    </row>
    <row r="12" spans="1:2" ht="15" customHeight="1">
      <c r="A12" t="s">
        <v>10</v>
      </c>
    </row>
    <row r="13" spans="1:2" ht="15" customHeight="1">
      <c r="A13" t="s">
        <v>11</v>
      </c>
    </row>
    <row r="14" spans="1:2" ht="15" customHeight="1">
      <c r="A14" t="s">
        <v>12</v>
      </c>
    </row>
    <row r="15" spans="1:2" ht="15" customHeight="1">
      <c r="A15" t="s">
        <v>13</v>
      </c>
    </row>
    <row r="16" spans="1:2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 ht="25.5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RAW25</vt:lpstr>
      <vt:lpstr>Analysis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Alam</dc:creator>
  <cp:lastModifiedBy>Umair Chaudhry</cp:lastModifiedBy>
  <dcterms:created xsi:type="dcterms:W3CDTF">2026-06-05T10:42:17Z</dcterms:created>
  <dcterms:modified xsi:type="dcterms:W3CDTF">2026-07-22T15:38:05Z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175f8ac-0ac0-4491-aeb5-8acadf90044f_Enabled">
    <vt:lpwstr>true</vt:lpwstr>
  </property>
  <property fmtid="{D5CDD505-2E9C-101B-9397-08002B2CF9AE}" pid="5" name="MSIP_Label_b175f8ac-0ac0-4491-aeb5-8acadf90044f_SetDate">
    <vt:lpwstr>2024-04-22T14:40:23Z</vt:lpwstr>
  </property>
  <property fmtid="{D5CDD505-2E9C-101B-9397-08002B2CF9AE}" pid="6" name="MSIP_Label_b175f8ac-0ac0-4491-aeb5-8acadf90044f_Method">
    <vt:lpwstr>Privileged</vt:lpwstr>
  </property>
  <property fmtid="{D5CDD505-2E9C-101B-9397-08002B2CF9AE}" pid="7" name="MSIP_Label_b175f8ac-0ac0-4491-aeb5-8acadf90044f_Name">
    <vt:lpwstr>Internal - Prod</vt:lpwstr>
  </property>
  <property fmtid="{D5CDD505-2E9C-101B-9397-08002B2CF9AE}" pid="8" name="MSIP_Label_b175f8ac-0ac0-4491-aeb5-8acadf90044f_SiteId">
    <vt:lpwstr>5b2d121f-48c2-42b5-abd2-286c96656636</vt:lpwstr>
  </property>
  <property fmtid="{D5CDD505-2E9C-101B-9397-08002B2CF9AE}" pid="9" name="MSIP_Label_b175f8ac-0ac0-4491-aeb5-8acadf90044f_ActionId">
    <vt:lpwstr>f2baff0a-21be-44ec-8b65-aae864fe02f6</vt:lpwstr>
  </property>
  <property fmtid="{D5CDD505-2E9C-101B-9397-08002B2CF9AE}" pid="10" name="MSIP_Label_b175f8ac-0ac0-4491-aeb5-8acadf90044f_ContentBits">
    <vt:lpwstr>1</vt:lpwstr>
  </property>
</Properties>
</file>